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Volumes/Extra Stuff/"/>
    </mc:Choice>
  </mc:AlternateContent>
  <xr:revisionPtr revIDLastSave="0" documentId="13_ncr:9_{B35F41A7-D254-B042-80F0-30195937AF84}" xr6:coauthVersionLast="47" xr6:coauthVersionMax="47" xr10:uidLastSave="{00000000-0000-0000-0000-000000000000}"/>
  <bookViews>
    <workbookView xWindow="0" yWindow="780" windowWidth="34200" windowHeight="19960" activeTab="5" xr2:uid="{00000000-000D-0000-FFFF-FFFF00000000}"/>
  </bookViews>
  <sheets>
    <sheet name="Artist Profile Data (Weekly)" sheetId="1" r:id="rId1"/>
    <sheet name="Streaming Data (2024-2026)" sheetId="6" r:id="rId2"/>
    <sheet name="The Piano Index (Weekly)" sheetId="2" r:id="rId3"/>
    <sheet name="The Piano Index (3-Month)" sheetId="5" r:id="rId4"/>
    <sheet name="CY2026 YTD" sheetId="8" r:id="rId5"/>
    <sheet name="CY2026 YTD (Misc. Artists)" sheetId="9" r:id="rId6"/>
    <sheet name="The Piano Index (YoY)" sheetId="7" r:id="rId7"/>
    <sheet name="Change Log" sheetId="3" r:id="rId8"/>
    <sheet name="Lookups" sheetId="4" r:id="rId9"/>
  </sheets>
  <definedNames>
    <definedName name="_xlnm._FilterDatabase" localSheetId="0" hidden="1">'Artist Profile Data (Weekly)'!$A$1:$AD$499</definedName>
    <definedName name="_xlnm._FilterDatabase" localSheetId="1" hidden="1">'Streaming Data (2024-2026)'!$A$1:$AH$501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D20" i="9" l="1"/>
  <c r="E20" i="9"/>
  <c r="F20" i="9"/>
  <c r="G20" i="9"/>
  <c r="H20" i="9"/>
  <c r="O20" i="9" s="1"/>
  <c r="I20" i="9"/>
  <c r="P20" i="9" s="1"/>
  <c r="J20" i="9"/>
  <c r="S20" i="9" s="1"/>
  <c r="A509" i="6"/>
  <c r="B509" i="6"/>
  <c r="A510" i="6"/>
  <c r="B510" i="6"/>
  <c r="A511" i="6"/>
  <c r="B511" i="6"/>
  <c r="A512" i="6"/>
  <c r="B512" i="6"/>
  <c r="A513" i="6"/>
  <c r="B513" i="6"/>
  <c r="A502" i="6"/>
  <c r="B502" i="6"/>
  <c r="A503" i="6"/>
  <c r="B503" i="6"/>
  <c r="A504" i="6"/>
  <c r="B504" i="6"/>
  <c r="A505" i="6"/>
  <c r="B505" i="6"/>
  <c r="A506" i="6"/>
  <c r="B506" i="6"/>
  <c r="A507" i="6"/>
  <c r="B507" i="6"/>
  <c r="A508" i="6"/>
  <c r="B508" i="6"/>
  <c r="J80" i="9"/>
  <c r="I80" i="9"/>
  <c r="H80" i="9"/>
  <c r="G80" i="9"/>
  <c r="F80" i="9"/>
  <c r="E80" i="9"/>
  <c r="D80" i="9"/>
  <c r="J79" i="9"/>
  <c r="I79" i="9"/>
  <c r="H79" i="9"/>
  <c r="G79" i="9"/>
  <c r="F79" i="9"/>
  <c r="E79" i="9"/>
  <c r="D79" i="9"/>
  <c r="J78" i="9"/>
  <c r="I78" i="9"/>
  <c r="H78" i="9"/>
  <c r="G78" i="9"/>
  <c r="F78" i="9"/>
  <c r="E78" i="9"/>
  <c r="D78" i="9"/>
  <c r="J73" i="9"/>
  <c r="I73" i="9"/>
  <c r="H73" i="9"/>
  <c r="G73" i="9"/>
  <c r="F73" i="9"/>
  <c r="E73" i="9"/>
  <c r="D73" i="9"/>
  <c r="J72" i="9"/>
  <c r="I72" i="9"/>
  <c r="H72" i="9"/>
  <c r="G72" i="9"/>
  <c r="F72" i="9"/>
  <c r="E72" i="9"/>
  <c r="D72" i="9"/>
  <c r="J71" i="9"/>
  <c r="I71" i="9"/>
  <c r="H71" i="9"/>
  <c r="G71" i="9"/>
  <c r="F71" i="9"/>
  <c r="E71" i="9"/>
  <c r="D71" i="9"/>
  <c r="J70" i="9"/>
  <c r="I70" i="9"/>
  <c r="H70" i="9"/>
  <c r="G70" i="9"/>
  <c r="F70" i="9"/>
  <c r="E70" i="9"/>
  <c r="D70" i="9"/>
  <c r="J69" i="9"/>
  <c r="I69" i="9"/>
  <c r="H69" i="9"/>
  <c r="G69" i="9"/>
  <c r="F69" i="9"/>
  <c r="E69" i="9"/>
  <c r="D69" i="9"/>
  <c r="J68" i="9"/>
  <c r="I68" i="9"/>
  <c r="H68" i="9"/>
  <c r="G68" i="9"/>
  <c r="F68" i="9"/>
  <c r="E68" i="9"/>
  <c r="D68" i="9"/>
  <c r="J67" i="9"/>
  <c r="I67" i="9"/>
  <c r="H67" i="9"/>
  <c r="G67" i="9"/>
  <c r="F67" i="9"/>
  <c r="E67" i="9"/>
  <c r="D67" i="9"/>
  <c r="J66" i="9"/>
  <c r="I66" i="9"/>
  <c r="H66" i="9"/>
  <c r="G66" i="9"/>
  <c r="F66" i="9"/>
  <c r="E66" i="9"/>
  <c r="D66" i="9"/>
  <c r="J65" i="9"/>
  <c r="I65" i="9"/>
  <c r="H65" i="9"/>
  <c r="G65" i="9"/>
  <c r="F65" i="9"/>
  <c r="E65" i="9"/>
  <c r="D65" i="9"/>
  <c r="J64" i="9"/>
  <c r="I64" i="9"/>
  <c r="H64" i="9"/>
  <c r="G64" i="9"/>
  <c r="F64" i="9"/>
  <c r="E64" i="9"/>
  <c r="D64" i="9"/>
  <c r="J63" i="9"/>
  <c r="I63" i="9"/>
  <c r="H63" i="9"/>
  <c r="G63" i="9"/>
  <c r="F63" i="9"/>
  <c r="E63" i="9"/>
  <c r="D63" i="9"/>
  <c r="J62" i="9"/>
  <c r="I62" i="9"/>
  <c r="H62" i="9"/>
  <c r="G62" i="9"/>
  <c r="F62" i="9"/>
  <c r="E62" i="9"/>
  <c r="D62" i="9"/>
  <c r="J59" i="9"/>
  <c r="I59" i="9"/>
  <c r="H59" i="9"/>
  <c r="G59" i="9"/>
  <c r="F59" i="9"/>
  <c r="E59" i="9"/>
  <c r="D59" i="9"/>
  <c r="J57" i="9"/>
  <c r="I57" i="9"/>
  <c r="H57" i="9"/>
  <c r="G57" i="9"/>
  <c r="F57" i="9"/>
  <c r="E57" i="9"/>
  <c r="D57" i="9"/>
  <c r="J56" i="9"/>
  <c r="I56" i="9"/>
  <c r="H56" i="9"/>
  <c r="G56" i="9"/>
  <c r="F56" i="9"/>
  <c r="E56" i="9"/>
  <c r="D56" i="9"/>
  <c r="J61" i="9"/>
  <c r="I61" i="9"/>
  <c r="H61" i="9"/>
  <c r="G61" i="9"/>
  <c r="F61" i="9"/>
  <c r="E61" i="9"/>
  <c r="D61" i="9"/>
  <c r="J58" i="9"/>
  <c r="I58" i="9"/>
  <c r="H58" i="9"/>
  <c r="G58" i="9"/>
  <c r="F58" i="9"/>
  <c r="E58" i="9"/>
  <c r="D58" i="9"/>
  <c r="J54" i="9"/>
  <c r="I54" i="9"/>
  <c r="H54" i="9"/>
  <c r="G54" i="9"/>
  <c r="F54" i="9"/>
  <c r="E54" i="9"/>
  <c r="D54" i="9"/>
  <c r="J60" i="9"/>
  <c r="I60" i="9"/>
  <c r="H60" i="9"/>
  <c r="G60" i="9"/>
  <c r="F60" i="9"/>
  <c r="E60" i="9"/>
  <c r="D60" i="9"/>
  <c r="J55" i="9"/>
  <c r="I55" i="9"/>
  <c r="H55" i="9"/>
  <c r="G55" i="9"/>
  <c r="F55" i="9"/>
  <c r="E55" i="9"/>
  <c r="D55" i="9"/>
  <c r="J49" i="9"/>
  <c r="I49" i="9"/>
  <c r="H49" i="9"/>
  <c r="G49" i="9"/>
  <c r="F49" i="9"/>
  <c r="E49" i="9"/>
  <c r="D49" i="9"/>
  <c r="J48" i="9"/>
  <c r="I48" i="9"/>
  <c r="H48" i="9"/>
  <c r="G48" i="9"/>
  <c r="F48" i="9"/>
  <c r="E48" i="9"/>
  <c r="D48" i="9"/>
  <c r="J47" i="9"/>
  <c r="I47" i="9"/>
  <c r="H47" i="9"/>
  <c r="G47" i="9"/>
  <c r="F47" i="9"/>
  <c r="E47" i="9"/>
  <c r="D47" i="9"/>
  <c r="J46" i="9"/>
  <c r="I46" i="9"/>
  <c r="H46" i="9"/>
  <c r="G46" i="9"/>
  <c r="F46" i="9"/>
  <c r="E46" i="9"/>
  <c r="D46" i="9"/>
  <c r="J45" i="9"/>
  <c r="I45" i="9"/>
  <c r="H45" i="9"/>
  <c r="G45" i="9"/>
  <c r="F45" i="9"/>
  <c r="E45" i="9"/>
  <c r="D45" i="9"/>
  <c r="J44" i="9"/>
  <c r="I44" i="9"/>
  <c r="H44" i="9"/>
  <c r="G44" i="9"/>
  <c r="F44" i="9"/>
  <c r="E44" i="9"/>
  <c r="D44" i="9"/>
  <c r="J43" i="9"/>
  <c r="I43" i="9"/>
  <c r="H43" i="9"/>
  <c r="G43" i="9"/>
  <c r="F43" i="9"/>
  <c r="E43" i="9"/>
  <c r="D43" i="9"/>
  <c r="J42" i="9"/>
  <c r="I42" i="9"/>
  <c r="H42" i="9"/>
  <c r="G42" i="9"/>
  <c r="F42" i="9"/>
  <c r="E42" i="9"/>
  <c r="D42" i="9"/>
  <c r="J41" i="9"/>
  <c r="I41" i="9"/>
  <c r="H41" i="9"/>
  <c r="G41" i="9"/>
  <c r="F41" i="9"/>
  <c r="E41" i="9"/>
  <c r="D41" i="9"/>
  <c r="J40" i="9"/>
  <c r="I40" i="9"/>
  <c r="H40" i="9"/>
  <c r="G40" i="9"/>
  <c r="F40" i="9"/>
  <c r="E40" i="9"/>
  <c r="D40" i="9"/>
  <c r="J39" i="9"/>
  <c r="I39" i="9"/>
  <c r="H39" i="9"/>
  <c r="G39" i="9"/>
  <c r="F39" i="9"/>
  <c r="E39" i="9"/>
  <c r="D39" i="9"/>
  <c r="J38" i="9"/>
  <c r="I38" i="9"/>
  <c r="H38" i="9"/>
  <c r="G38" i="9"/>
  <c r="F38" i="9"/>
  <c r="E38" i="9"/>
  <c r="D38" i="9"/>
  <c r="J37" i="9"/>
  <c r="I37" i="9"/>
  <c r="H37" i="9"/>
  <c r="G37" i="9"/>
  <c r="F37" i="9"/>
  <c r="E37" i="9"/>
  <c r="D37" i="9"/>
  <c r="J32" i="9"/>
  <c r="I32" i="9"/>
  <c r="H32" i="9"/>
  <c r="G32" i="9"/>
  <c r="F32" i="9"/>
  <c r="E32" i="9"/>
  <c r="D32" i="9"/>
  <c r="J30" i="9"/>
  <c r="I30" i="9"/>
  <c r="H30" i="9"/>
  <c r="G30" i="9"/>
  <c r="F30" i="9"/>
  <c r="E30" i="9"/>
  <c r="D30" i="9"/>
  <c r="J31" i="9"/>
  <c r="I31" i="9"/>
  <c r="H31" i="9"/>
  <c r="G31" i="9"/>
  <c r="F31" i="9"/>
  <c r="E31" i="9"/>
  <c r="D31" i="9"/>
  <c r="J35" i="9"/>
  <c r="I35" i="9"/>
  <c r="H35" i="9"/>
  <c r="G35" i="9"/>
  <c r="F35" i="9"/>
  <c r="E35" i="9"/>
  <c r="D35" i="9"/>
  <c r="J34" i="9"/>
  <c r="I34" i="9"/>
  <c r="H34" i="9"/>
  <c r="G34" i="9"/>
  <c r="F34" i="9"/>
  <c r="E34" i="9"/>
  <c r="D34" i="9"/>
  <c r="J33" i="9"/>
  <c r="I33" i="9"/>
  <c r="H33" i="9"/>
  <c r="G33" i="9"/>
  <c r="F33" i="9"/>
  <c r="E33" i="9"/>
  <c r="D33" i="9"/>
  <c r="J36" i="9"/>
  <c r="I36" i="9"/>
  <c r="H36" i="9"/>
  <c r="G36" i="9"/>
  <c r="F36" i="9"/>
  <c r="E36" i="9"/>
  <c r="D36" i="9"/>
  <c r="J25" i="9"/>
  <c r="I25" i="9"/>
  <c r="H25" i="9"/>
  <c r="G25" i="9"/>
  <c r="F25" i="9"/>
  <c r="E25" i="9"/>
  <c r="D25" i="9"/>
  <c r="J24" i="9"/>
  <c r="I24" i="9"/>
  <c r="H24" i="9"/>
  <c r="G24" i="9"/>
  <c r="F24" i="9"/>
  <c r="E24" i="9"/>
  <c r="D24" i="9"/>
  <c r="J23" i="9"/>
  <c r="I23" i="9"/>
  <c r="H23" i="9"/>
  <c r="G23" i="9"/>
  <c r="F23" i="9"/>
  <c r="E23" i="9"/>
  <c r="D23" i="9"/>
  <c r="J22" i="9"/>
  <c r="I22" i="9"/>
  <c r="H22" i="9"/>
  <c r="G22" i="9"/>
  <c r="F22" i="9"/>
  <c r="E22" i="9"/>
  <c r="D22" i="9"/>
  <c r="J21" i="9"/>
  <c r="I21" i="9"/>
  <c r="H21" i="9"/>
  <c r="G21" i="9"/>
  <c r="F21" i="9"/>
  <c r="E21" i="9"/>
  <c r="D21" i="9"/>
  <c r="J19" i="9"/>
  <c r="I19" i="9"/>
  <c r="H19" i="9"/>
  <c r="G19" i="9"/>
  <c r="F19" i="9"/>
  <c r="E19" i="9"/>
  <c r="D19" i="9"/>
  <c r="J18" i="9"/>
  <c r="I18" i="9"/>
  <c r="H18" i="9"/>
  <c r="G18" i="9"/>
  <c r="F18" i="9"/>
  <c r="E18" i="9"/>
  <c r="D18" i="9"/>
  <c r="J17" i="9"/>
  <c r="I17" i="9"/>
  <c r="H17" i="9"/>
  <c r="G17" i="9"/>
  <c r="F17" i="9"/>
  <c r="E17" i="9"/>
  <c r="D17" i="9"/>
  <c r="J16" i="9"/>
  <c r="I16" i="9"/>
  <c r="H16" i="9"/>
  <c r="G16" i="9"/>
  <c r="F16" i="9"/>
  <c r="E16" i="9"/>
  <c r="D16" i="9"/>
  <c r="J15" i="9"/>
  <c r="I15" i="9"/>
  <c r="H15" i="9"/>
  <c r="G15" i="9"/>
  <c r="F15" i="9"/>
  <c r="E15" i="9"/>
  <c r="D15" i="9"/>
  <c r="J14" i="9"/>
  <c r="I14" i="9"/>
  <c r="H14" i="9"/>
  <c r="G14" i="9"/>
  <c r="F14" i="9"/>
  <c r="E14" i="9"/>
  <c r="D14" i="9"/>
  <c r="J13" i="9"/>
  <c r="I13" i="9"/>
  <c r="H13" i="9"/>
  <c r="G13" i="9"/>
  <c r="F13" i="9"/>
  <c r="E13" i="9"/>
  <c r="D13" i="9"/>
  <c r="J12" i="9"/>
  <c r="I12" i="9"/>
  <c r="H12" i="9"/>
  <c r="G12" i="9"/>
  <c r="F12" i="9"/>
  <c r="E12" i="9"/>
  <c r="D12" i="9"/>
  <c r="J7" i="9"/>
  <c r="I7" i="9"/>
  <c r="H7" i="9"/>
  <c r="G7" i="9"/>
  <c r="F7" i="9"/>
  <c r="E7" i="9"/>
  <c r="D7" i="9"/>
  <c r="J5" i="9"/>
  <c r="I5" i="9"/>
  <c r="H5" i="9"/>
  <c r="G5" i="9"/>
  <c r="F5" i="9"/>
  <c r="E5" i="9"/>
  <c r="D5" i="9"/>
  <c r="J6" i="9"/>
  <c r="I6" i="9"/>
  <c r="H6" i="9"/>
  <c r="G6" i="9"/>
  <c r="F6" i="9"/>
  <c r="E6" i="9"/>
  <c r="D6" i="9"/>
  <c r="J9" i="9"/>
  <c r="I9" i="9"/>
  <c r="H9" i="9"/>
  <c r="G9" i="9"/>
  <c r="F9" i="9"/>
  <c r="E9" i="9"/>
  <c r="D9" i="9"/>
  <c r="J10" i="9"/>
  <c r="I10" i="9"/>
  <c r="H10" i="9"/>
  <c r="G10" i="9"/>
  <c r="F10" i="9"/>
  <c r="E10" i="9"/>
  <c r="D10" i="9"/>
  <c r="J8" i="9"/>
  <c r="I8" i="9"/>
  <c r="H8" i="9"/>
  <c r="G8" i="9"/>
  <c r="F8" i="9"/>
  <c r="E8" i="9"/>
  <c r="D8" i="9"/>
  <c r="J11" i="9"/>
  <c r="I11" i="9"/>
  <c r="H11" i="9"/>
  <c r="G11" i="9"/>
  <c r="F11" i="9"/>
  <c r="E11" i="9"/>
  <c r="D11" i="9"/>
  <c r="N20" i="9" l="1"/>
  <c r="M20" i="9"/>
  <c r="L20" i="9"/>
  <c r="N78" i="9"/>
  <c r="P80" i="9"/>
  <c r="S5" i="9"/>
  <c r="S18" i="9"/>
  <c r="Q20" i="9"/>
  <c r="R20" i="9"/>
  <c r="S7" i="9"/>
  <c r="S19" i="9"/>
  <c r="S40" i="9"/>
  <c r="S48" i="9"/>
  <c r="S57" i="9"/>
  <c r="S12" i="9"/>
  <c r="S21" i="9"/>
  <c r="S35" i="9"/>
  <c r="S68" i="9"/>
  <c r="S47" i="9"/>
  <c r="S24" i="9"/>
  <c r="S8" i="9"/>
  <c r="S14" i="9"/>
  <c r="S23" i="9"/>
  <c r="S63" i="9"/>
  <c r="S11" i="9"/>
  <c r="S13" i="9"/>
  <c r="S10" i="9"/>
  <c r="S15" i="9"/>
  <c r="S22" i="9"/>
  <c r="S70" i="9"/>
  <c r="S41" i="9"/>
  <c r="S49" i="9"/>
  <c r="S69" i="9"/>
  <c r="S17" i="9"/>
  <c r="S6" i="9"/>
  <c r="S9" i="9"/>
  <c r="S16" i="9"/>
  <c r="S25" i="9"/>
  <c r="S65" i="9"/>
  <c r="S54" i="9"/>
  <c r="S58" i="9"/>
  <c r="S30" i="9"/>
  <c r="S31" i="9"/>
  <c r="S71" i="9"/>
  <c r="L72" i="9"/>
  <c r="M73" i="9"/>
  <c r="S67" i="9"/>
  <c r="S62" i="9"/>
  <c r="S66" i="9"/>
  <c r="S73" i="9"/>
  <c r="S64" i="9"/>
  <c r="S72" i="9"/>
  <c r="S43" i="9"/>
  <c r="S42" i="9"/>
  <c r="P47" i="9"/>
  <c r="R41" i="9"/>
  <c r="S39" i="9"/>
  <c r="S38" i="9"/>
  <c r="S46" i="9"/>
  <c r="S45" i="9"/>
  <c r="S44" i="9"/>
  <c r="O25" i="9"/>
  <c r="L14" i="9"/>
  <c r="M15" i="9"/>
  <c r="S56" i="9"/>
  <c r="S61" i="9"/>
  <c r="S60" i="9"/>
  <c r="S55" i="9"/>
  <c r="S59" i="9"/>
  <c r="S37" i="9"/>
  <c r="S32" i="9"/>
  <c r="S34" i="9"/>
  <c r="S33" i="9"/>
  <c r="S36" i="9"/>
  <c r="P10" i="9"/>
  <c r="N30" i="9"/>
  <c r="L12" i="9"/>
  <c r="O18" i="9"/>
  <c r="P19" i="9"/>
  <c r="N36" i="9"/>
  <c r="Q41" i="9"/>
  <c r="P32" i="9"/>
  <c r="N7" i="9"/>
  <c r="M46" i="9"/>
  <c r="O12" i="9"/>
  <c r="O13" i="9"/>
  <c r="P14" i="9"/>
  <c r="Q15" i="9"/>
  <c r="Q24" i="9"/>
  <c r="R36" i="9"/>
  <c r="M33" i="9"/>
  <c r="N35" i="9"/>
  <c r="O31" i="9"/>
  <c r="M41" i="9"/>
  <c r="P44" i="9"/>
  <c r="P54" i="9"/>
  <c r="Q58" i="9"/>
  <c r="R23" i="9"/>
  <c r="Q9" i="9"/>
  <c r="N24" i="9"/>
  <c r="Q8" i="9"/>
  <c r="M5" i="9"/>
  <c r="M7" i="9"/>
  <c r="N31" i="9"/>
  <c r="O44" i="9"/>
  <c r="M6" i="9"/>
  <c r="O23" i="9"/>
  <c r="R47" i="9"/>
  <c r="N6" i="9"/>
  <c r="R58" i="9"/>
  <c r="L16" i="9"/>
  <c r="N57" i="9"/>
  <c r="M79" i="9"/>
  <c r="O5" i="9"/>
  <c r="M8" i="9"/>
  <c r="L65" i="9"/>
  <c r="L73" i="9"/>
  <c r="N15" i="9"/>
  <c r="P36" i="9"/>
  <c r="Q12" i="9"/>
  <c r="N10" i="9"/>
  <c r="O24" i="9"/>
  <c r="O37" i="9"/>
  <c r="N58" i="9"/>
  <c r="O61" i="9"/>
  <c r="M55" i="9"/>
  <c r="M16" i="9"/>
  <c r="P22" i="9"/>
  <c r="N63" i="9"/>
  <c r="M17" i="9"/>
  <c r="L69" i="9"/>
  <c r="P42" i="9"/>
  <c r="L80" i="9"/>
  <c r="N59" i="9"/>
  <c r="M80" i="9"/>
  <c r="O19" i="9"/>
  <c r="M23" i="9"/>
  <c r="M30" i="9"/>
  <c r="Q40" i="9"/>
  <c r="N47" i="9"/>
  <c r="O48" i="9"/>
  <c r="N56" i="9"/>
  <c r="R65" i="9"/>
  <c r="L66" i="9"/>
  <c r="N80" i="9"/>
  <c r="P34" i="9"/>
  <c r="O62" i="9"/>
  <c r="N69" i="9"/>
  <c r="R8" i="9"/>
  <c r="R33" i="9"/>
  <c r="M78" i="9"/>
  <c r="N79" i="9"/>
  <c r="M70" i="9"/>
  <c r="N33" i="9"/>
  <c r="N39" i="9"/>
  <c r="L67" i="9"/>
  <c r="O9" i="9"/>
  <c r="N22" i="9"/>
  <c r="O45" i="9"/>
  <c r="P48" i="9"/>
  <c r="O56" i="9"/>
  <c r="P57" i="9"/>
  <c r="L64" i="9"/>
  <c r="M65" i="9"/>
  <c r="N66" i="9"/>
  <c r="N60" i="9"/>
  <c r="N71" i="9"/>
  <c r="M14" i="9"/>
  <c r="L17" i="9"/>
  <c r="N43" i="9"/>
  <c r="N8" i="9"/>
  <c r="M9" i="9"/>
  <c r="N5" i="9"/>
  <c r="O7" i="9"/>
  <c r="N12" i="9"/>
  <c r="N13" i="9"/>
  <c r="O16" i="9"/>
  <c r="O17" i="9"/>
  <c r="Q19" i="9"/>
  <c r="M35" i="9"/>
  <c r="P30" i="9"/>
  <c r="M42" i="9"/>
  <c r="M59" i="9"/>
  <c r="N62" i="9"/>
  <c r="L68" i="9"/>
  <c r="M69" i="9"/>
  <c r="N70" i="9"/>
  <c r="L78" i="9"/>
  <c r="P5" i="9"/>
  <c r="Q14" i="9"/>
  <c r="Q16" i="9"/>
  <c r="N23" i="9"/>
  <c r="M24" i="9"/>
  <c r="M25" i="9"/>
  <c r="O35" i="9"/>
  <c r="R30" i="9"/>
  <c r="M40" i="9"/>
  <c r="N41" i="9"/>
  <c r="P43" i="9"/>
  <c r="Q45" i="9"/>
  <c r="P46" i="9"/>
  <c r="M60" i="9"/>
  <c r="M58" i="9"/>
  <c r="M61" i="9"/>
  <c r="N68" i="9"/>
  <c r="O57" i="9"/>
  <c r="N67" i="9"/>
  <c r="L15" i="9"/>
  <c r="R10" i="9"/>
  <c r="N9" i="9"/>
  <c r="L7" i="9"/>
  <c r="L13" i="9"/>
  <c r="M18" i="9"/>
  <c r="N19" i="9"/>
  <c r="N21" i="9"/>
  <c r="P24" i="9"/>
  <c r="Q25" i="9"/>
  <c r="R31" i="9"/>
  <c r="M32" i="9"/>
  <c r="O39" i="9"/>
  <c r="R45" i="9"/>
  <c r="R46" i="9"/>
  <c r="O60" i="9"/>
  <c r="R56" i="9"/>
  <c r="Q57" i="9"/>
  <c r="L63" i="9"/>
  <c r="M64" i="9"/>
  <c r="N65" i="9"/>
  <c r="P67" i="9"/>
  <c r="R68" i="9"/>
  <c r="L71" i="9"/>
  <c r="M72" i="9"/>
  <c r="N73" i="9"/>
  <c r="O78" i="9"/>
  <c r="O79" i="9"/>
  <c r="O80" i="9"/>
  <c r="R9" i="9"/>
  <c r="O32" i="9"/>
  <c r="N37" i="9"/>
  <c r="O38" i="9"/>
  <c r="P41" i="9"/>
  <c r="N49" i="9"/>
  <c r="O55" i="9"/>
  <c r="P60" i="9"/>
  <c r="M56" i="9"/>
  <c r="R59" i="9"/>
  <c r="M62" i="9"/>
  <c r="L70" i="9"/>
  <c r="M71" i="9"/>
  <c r="N72" i="9"/>
  <c r="P78" i="9"/>
  <c r="P79" i="9"/>
  <c r="L10" i="9"/>
  <c r="M12" i="9"/>
  <c r="M13" i="9"/>
  <c r="N14" i="9"/>
  <c r="O15" i="9"/>
  <c r="N16" i="9"/>
  <c r="N17" i="9"/>
  <c r="P21" i="9"/>
  <c r="R39" i="9"/>
  <c r="P55" i="9"/>
  <c r="O64" i="9"/>
  <c r="P65" i="9"/>
  <c r="P73" i="9"/>
  <c r="Q78" i="9"/>
  <c r="R79" i="9"/>
  <c r="S80" i="9"/>
  <c r="O8" i="9"/>
  <c r="L8" i="9"/>
  <c r="P8" i="9"/>
  <c r="L9" i="9"/>
  <c r="P9" i="9"/>
  <c r="P6" i="9"/>
  <c r="Q13" i="9"/>
  <c r="O14" i="9"/>
  <c r="Q17" i="9"/>
  <c r="P18" i="9"/>
  <c r="M19" i="9"/>
  <c r="O22" i="9"/>
  <c r="O36" i="9"/>
  <c r="M34" i="9"/>
  <c r="R35" i="9"/>
  <c r="M37" i="9"/>
  <c r="R38" i="9"/>
  <c r="O41" i="9"/>
  <c r="N42" i="9"/>
  <c r="M43" i="9"/>
  <c r="O46" i="9"/>
  <c r="M48" i="9"/>
  <c r="R49" i="9"/>
  <c r="R60" i="9"/>
  <c r="P58" i="9"/>
  <c r="N61" i="9"/>
  <c r="Q59" i="9"/>
  <c r="P62" i="9"/>
  <c r="P63" i="9"/>
  <c r="P66" i="9"/>
  <c r="M67" i="9"/>
  <c r="M68" i="9"/>
  <c r="Q21" i="9"/>
  <c r="P23" i="9"/>
  <c r="P25" i="9"/>
  <c r="P33" i="9"/>
  <c r="O34" i="9"/>
  <c r="M31" i="9"/>
  <c r="N40" i="9"/>
  <c r="Q44" i="9"/>
  <c r="P45" i="9"/>
  <c r="L6" i="9"/>
  <c r="R18" i="9"/>
  <c r="R21" i="9"/>
  <c r="R25" i="9"/>
  <c r="N38" i="9"/>
  <c r="M39" i="9"/>
  <c r="P40" i="9"/>
  <c r="O42" i="9"/>
  <c r="M44" i="9"/>
  <c r="M49" i="9"/>
  <c r="P61" i="9"/>
  <c r="P56" i="9"/>
  <c r="L59" i="9"/>
  <c r="O67" i="9"/>
  <c r="O68" i="9"/>
  <c r="O10" i="9"/>
  <c r="Q5" i="9"/>
  <c r="P7" i="9"/>
  <c r="P15" i="9"/>
  <c r="M21" i="9"/>
  <c r="M22" i="9"/>
  <c r="M36" i="9"/>
  <c r="O30" i="9"/>
  <c r="N32" i="9"/>
  <c r="Q37" i="9"/>
  <c r="Q54" i="9"/>
  <c r="Q66" i="9"/>
  <c r="N18" i="9"/>
  <c r="R22" i="9"/>
  <c r="M45" i="9"/>
  <c r="O49" i="9"/>
  <c r="R66" i="9"/>
  <c r="P11" i="9"/>
  <c r="M10" i="9"/>
  <c r="Q10" i="9"/>
  <c r="L5" i="9"/>
  <c r="P12" i="9"/>
  <c r="P16" i="9"/>
  <c r="O21" i="9"/>
  <c r="N25" i="9"/>
  <c r="O33" i="9"/>
  <c r="N34" i="9"/>
  <c r="Q35" i="9"/>
  <c r="Q32" i="9"/>
  <c r="P37" i="9"/>
  <c r="P38" i="9"/>
  <c r="P39" i="9"/>
  <c r="O40" i="9"/>
  <c r="R43" i="9"/>
  <c r="N45" i="9"/>
  <c r="O47" i="9"/>
  <c r="N48" i="9"/>
  <c r="Q49" i="9"/>
  <c r="N55" i="9"/>
  <c r="N54" i="9"/>
  <c r="P59" i="9"/>
  <c r="M63" i="9"/>
  <c r="N64" i="9"/>
  <c r="O65" i="9"/>
  <c r="M66" i="9"/>
  <c r="O69" i="9"/>
  <c r="O70" i="9"/>
  <c r="O71" i="9"/>
  <c r="O72" i="9"/>
  <c r="O73" i="9"/>
  <c r="R37" i="9"/>
  <c r="R42" i="9"/>
  <c r="N46" i="9"/>
  <c r="M47" i="9"/>
  <c r="O54" i="9"/>
  <c r="Q68" i="9"/>
  <c r="P69" i="9"/>
  <c r="P70" i="9"/>
  <c r="P71" i="9"/>
  <c r="P72" i="9"/>
  <c r="O6" i="9"/>
  <c r="P13" i="9"/>
  <c r="P17" i="9"/>
  <c r="Q34" i="9"/>
  <c r="P35" i="9"/>
  <c r="P31" i="9"/>
  <c r="M38" i="9"/>
  <c r="O43" i="9"/>
  <c r="N44" i="9"/>
  <c r="Q48" i="9"/>
  <c r="P49" i="9"/>
  <c r="O63" i="9"/>
  <c r="P64" i="9"/>
  <c r="O66" i="9"/>
  <c r="R70" i="9"/>
  <c r="N11" i="9"/>
  <c r="M11" i="9"/>
  <c r="L11" i="9"/>
  <c r="Q11" i="9"/>
  <c r="R11" i="9"/>
  <c r="O11" i="9"/>
  <c r="Q6" i="9"/>
  <c r="Q7" i="9"/>
  <c r="R6" i="9"/>
  <c r="R5" i="9"/>
  <c r="R7" i="9"/>
  <c r="R12" i="9"/>
  <c r="R13" i="9"/>
  <c r="R14" i="9"/>
  <c r="R15" i="9"/>
  <c r="R16" i="9"/>
  <c r="R17" i="9"/>
  <c r="L21" i="9"/>
  <c r="Q22" i="9"/>
  <c r="L25" i="9"/>
  <c r="Q36" i="9"/>
  <c r="L35" i="9"/>
  <c r="Q31" i="9"/>
  <c r="L37" i="9"/>
  <c r="Q38" i="9"/>
  <c r="L41" i="9"/>
  <c r="Q42" i="9"/>
  <c r="L45" i="9"/>
  <c r="Q46" i="9"/>
  <c r="L49" i="9"/>
  <c r="Q55" i="9"/>
  <c r="M54" i="9"/>
  <c r="L58" i="9"/>
  <c r="O58" i="9"/>
  <c r="Q61" i="9"/>
  <c r="M57" i="9"/>
  <c r="O59" i="9"/>
  <c r="Q62" i="9"/>
  <c r="R55" i="9"/>
  <c r="R61" i="9"/>
  <c r="R62" i="9"/>
  <c r="L19" i="9"/>
  <c r="L24" i="9"/>
  <c r="L34" i="9"/>
  <c r="L32" i="9"/>
  <c r="L40" i="9"/>
  <c r="L44" i="9"/>
  <c r="L48" i="9"/>
  <c r="L54" i="9"/>
  <c r="L57" i="9"/>
  <c r="Q63" i="9"/>
  <c r="R63" i="9"/>
  <c r="Q69" i="9"/>
  <c r="L33" i="9"/>
  <c r="L30" i="9"/>
  <c r="L39" i="9"/>
  <c r="L43" i="9"/>
  <c r="L47" i="9"/>
  <c r="L60" i="9"/>
  <c r="L56" i="9"/>
  <c r="Q64" i="9"/>
  <c r="R69" i="9"/>
  <c r="L18" i="9"/>
  <c r="R19" i="9"/>
  <c r="R24" i="9"/>
  <c r="R34" i="9"/>
  <c r="R32" i="9"/>
  <c r="R40" i="9"/>
  <c r="R44" i="9"/>
  <c r="R48" i="9"/>
  <c r="R54" i="9"/>
  <c r="R57" i="9"/>
  <c r="R64" i="9"/>
  <c r="Q67" i="9"/>
  <c r="P68" i="9"/>
  <c r="Q18" i="9"/>
  <c r="L22" i="9"/>
  <c r="Q23" i="9"/>
  <c r="L36" i="9"/>
  <c r="Q33" i="9"/>
  <c r="L31" i="9"/>
  <c r="Q30" i="9"/>
  <c r="L38" i="9"/>
  <c r="Q39" i="9"/>
  <c r="L42" i="9"/>
  <c r="Q43" i="9"/>
  <c r="L46" i="9"/>
  <c r="Q47" i="9"/>
  <c r="L55" i="9"/>
  <c r="Q60" i="9"/>
  <c r="L61" i="9"/>
  <c r="Q56" i="9"/>
  <c r="L62" i="9"/>
  <c r="R67" i="9"/>
  <c r="Q70" i="9"/>
  <c r="L23" i="9"/>
  <c r="Q65" i="9"/>
  <c r="Q71" i="9"/>
  <c r="Q72" i="9"/>
  <c r="Q73" i="9"/>
  <c r="R78" i="9"/>
  <c r="S79" i="9"/>
  <c r="R71" i="9"/>
  <c r="R72" i="9"/>
  <c r="R73" i="9"/>
  <c r="S78" i="9"/>
  <c r="L79" i="9"/>
  <c r="Q80" i="9"/>
  <c r="Q79" i="9"/>
  <c r="R80" i="9"/>
  <c r="G79" i="8"/>
  <c r="F79" i="8"/>
  <c r="E79" i="8"/>
  <c r="G78" i="8"/>
  <c r="F78" i="8"/>
  <c r="E78" i="8"/>
  <c r="G77" i="8"/>
  <c r="F77" i="8"/>
  <c r="E77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D8" i="2"/>
  <c r="E8" i="2"/>
  <c r="F8" i="2"/>
  <c r="G8" i="2" s="1"/>
  <c r="D9" i="2"/>
  <c r="E9" i="2"/>
  <c r="F9" i="2"/>
  <c r="D12" i="2"/>
  <c r="E12" i="2"/>
  <c r="F12" i="2"/>
  <c r="D23" i="2"/>
  <c r="E23" i="2"/>
  <c r="F23" i="2"/>
  <c r="G23" i="2" s="1"/>
  <c r="D19" i="2"/>
  <c r="E19" i="2"/>
  <c r="F19" i="2"/>
  <c r="D5" i="2"/>
  <c r="E5" i="2"/>
  <c r="F5" i="2"/>
  <c r="G5" i="2" s="1"/>
  <c r="D10" i="2"/>
  <c r="E10" i="2"/>
  <c r="F10" i="2"/>
  <c r="D7" i="2"/>
  <c r="E7" i="2"/>
  <c r="F7" i="2"/>
  <c r="D17" i="2"/>
  <c r="E17" i="2"/>
  <c r="F17" i="2"/>
  <c r="G17" i="2" s="1"/>
  <c r="D13" i="2"/>
  <c r="E13" i="2"/>
  <c r="F13" i="2"/>
  <c r="D11" i="2"/>
  <c r="E11" i="2"/>
  <c r="F11" i="2"/>
  <c r="D20" i="2"/>
  <c r="E20" i="2"/>
  <c r="F20" i="2"/>
  <c r="G20" i="2" s="1"/>
  <c r="D14" i="2"/>
  <c r="E14" i="2"/>
  <c r="F14" i="2"/>
  <c r="D16" i="2"/>
  <c r="E16" i="2"/>
  <c r="F16" i="2"/>
  <c r="G16" i="2" s="1"/>
  <c r="D21" i="2"/>
  <c r="E21" i="2"/>
  <c r="F21" i="2"/>
  <c r="G21" i="2" s="1"/>
  <c r="D22" i="2"/>
  <c r="E22" i="2"/>
  <c r="F22" i="2"/>
  <c r="D18" i="2"/>
  <c r="E18" i="2"/>
  <c r="F18" i="2"/>
  <c r="G18" i="2" s="1"/>
  <c r="D24" i="2"/>
  <c r="E24" i="2"/>
  <c r="F24" i="2"/>
  <c r="D15" i="2"/>
  <c r="E15" i="2"/>
  <c r="F15" i="2"/>
  <c r="F6" i="2"/>
  <c r="E6" i="2"/>
  <c r="D6" i="2"/>
  <c r="H79" i="8"/>
  <c r="O79" i="8" s="1"/>
  <c r="I79" i="8"/>
  <c r="J79" i="8"/>
  <c r="D79" i="8"/>
  <c r="H78" i="8"/>
  <c r="O78" i="8" s="1"/>
  <c r="I78" i="8"/>
  <c r="J78" i="8"/>
  <c r="D78" i="8"/>
  <c r="H77" i="8"/>
  <c r="I77" i="8"/>
  <c r="J77" i="8"/>
  <c r="D77" i="8"/>
  <c r="H55" i="8"/>
  <c r="O55" i="8" s="1"/>
  <c r="I55" i="8"/>
  <c r="J55" i="8"/>
  <c r="H56" i="8"/>
  <c r="I56" i="8"/>
  <c r="J56" i="8"/>
  <c r="H59" i="8"/>
  <c r="I59" i="8"/>
  <c r="J59" i="8"/>
  <c r="H53" i="8"/>
  <c r="I53" i="8"/>
  <c r="J53" i="8"/>
  <c r="H54" i="8"/>
  <c r="O54" i="8" s="1"/>
  <c r="I54" i="8"/>
  <c r="J54" i="8"/>
  <c r="H58" i="8"/>
  <c r="I58" i="8"/>
  <c r="J58" i="8"/>
  <c r="H61" i="8"/>
  <c r="I61" i="8"/>
  <c r="J61" i="8"/>
  <c r="H57" i="8"/>
  <c r="I57" i="8"/>
  <c r="J57" i="8"/>
  <c r="H69" i="8"/>
  <c r="I69" i="8"/>
  <c r="J69" i="8"/>
  <c r="H66" i="8"/>
  <c r="I66" i="8"/>
  <c r="J66" i="8"/>
  <c r="H63" i="8"/>
  <c r="I63" i="8"/>
  <c r="J63" i="8"/>
  <c r="H68" i="8"/>
  <c r="I68" i="8"/>
  <c r="J68" i="8"/>
  <c r="H71" i="8"/>
  <c r="I71" i="8"/>
  <c r="J71" i="8"/>
  <c r="H62" i="8"/>
  <c r="O62" i="8" s="1"/>
  <c r="I62" i="8"/>
  <c r="J62" i="8"/>
  <c r="H65" i="8"/>
  <c r="I65" i="8"/>
  <c r="J65" i="8"/>
  <c r="H70" i="8"/>
  <c r="O70" i="8" s="1"/>
  <c r="I70" i="8"/>
  <c r="J70" i="8"/>
  <c r="H60" i="8"/>
  <c r="O60" i="8" s="1"/>
  <c r="I60" i="8"/>
  <c r="J60" i="8"/>
  <c r="H72" i="8"/>
  <c r="I72" i="8"/>
  <c r="J72" i="8"/>
  <c r="H67" i="8"/>
  <c r="I67" i="8"/>
  <c r="J67" i="8"/>
  <c r="H64" i="8"/>
  <c r="I64" i="8"/>
  <c r="J64" i="8"/>
  <c r="D56" i="8"/>
  <c r="D59" i="8"/>
  <c r="D53" i="8"/>
  <c r="D54" i="8"/>
  <c r="D58" i="8"/>
  <c r="D61" i="8"/>
  <c r="D57" i="8"/>
  <c r="D69" i="8"/>
  <c r="D66" i="8"/>
  <c r="D63" i="8"/>
  <c r="D68" i="8"/>
  <c r="D71" i="8"/>
  <c r="D62" i="8"/>
  <c r="D65" i="8"/>
  <c r="D70" i="8"/>
  <c r="D60" i="8"/>
  <c r="D72" i="8"/>
  <c r="D67" i="8"/>
  <c r="D64" i="8"/>
  <c r="D55" i="8"/>
  <c r="H30" i="8"/>
  <c r="I30" i="8"/>
  <c r="J30" i="8"/>
  <c r="H29" i="8"/>
  <c r="O29" i="8" s="1"/>
  <c r="I29" i="8"/>
  <c r="J29" i="8"/>
  <c r="H31" i="8"/>
  <c r="I31" i="8"/>
  <c r="J31" i="8"/>
  <c r="H34" i="8"/>
  <c r="O34" i="8" s="1"/>
  <c r="I34" i="8"/>
  <c r="J34" i="8"/>
  <c r="H35" i="8"/>
  <c r="I35" i="8"/>
  <c r="J35" i="8"/>
  <c r="H33" i="8"/>
  <c r="O33" i="8" s="1"/>
  <c r="I33" i="8"/>
  <c r="J33" i="8"/>
  <c r="H32" i="8"/>
  <c r="I32" i="8"/>
  <c r="J32" i="8"/>
  <c r="H36" i="8"/>
  <c r="O36" i="8" s="1"/>
  <c r="I36" i="8"/>
  <c r="J36" i="8"/>
  <c r="H37" i="8"/>
  <c r="I37" i="8"/>
  <c r="J37" i="8"/>
  <c r="H42" i="8"/>
  <c r="I42" i="8"/>
  <c r="J42" i="8"/>
  <c r="H40" i="8"/>
  <c r="I40" i="8"/>
  <c r="J40" i="8"/>
  <c r="H39" i="8"/>
  <c r="O39" i="8" s="1"/>
  <c r="I39" i="8"/>
  <c r="J39" i="8"/>
  <c r="H38" i="8"/>
  <c r="I38" i="8"/>
  <c r="J38" i="8"/>
  <c r="H44" i="8"/>
  <c r="I44" i="8"/>
  <c r="J44" i="8"/>
  <c r="H41" i="8"/>
  <c r="I41" i="8"/>
  <c r="J41" i="8"/>
  <c r="H47" i="8"/>
  <c r="I47" i="8"/>
  <c r="J47" i="8"/>
  <c r="H43" i="8"/>
  <c r="O43" i="8" s="1"/>
  <c r="I43" i="8"/>
  <c r="J43" i="8"/>
  <c r="H45" i="8"/>
  <c r="O45" i="8" s="1"/>
  <c r="I45" i="8"/>
  <c r="J45" i="8"/>
  <c r="H46" i="8"/>
  <c r="I46" i="8"/>
  <c r="J46" i="8"/>
  <c r="H48" i="8"/>
  <c r="I48" i="8"/>
  <c r="J48" i="8"/>
  <c r="D29" i="8"/>
  <c r="D31" i="8"/>
  <c r="D34" i="8"/>
  <c r="D35" i="8"/>
  <c r="D33" i="8"/>
  <c r="D32" i="8"/>
  <c r="D36" i="8"/>
  <c r="D37" i="8"/>
  <c r="D42" i="8"/>
  <c r="D40" i="8"/>
  <c r="D39" i="8"/>
  <c r="D38" i="8"/>
  <c r="D44" i="8"/>
  <c r="D41" i="8"/>
  <c r="D47" i="8"/>
  <c r="D43" i="8"/>
  <c r="D45" i="8"/>
  <c r="D46" i="8"/>
  <c r="D48" i="8"/>
  <c r="D30" i="8"/>
  <c r="J24" i="8"/>
  <c r="J22" i="8"/>
  <c r="J23" i="8"/>
  <c r="J19" i="8"/>
  <c r="J21" i="8"/>
  <c r="J20" i="8"/>
  <c r="J17" i="8"/>
  <c r="J18" i="8"/>
  <c r="J16" i="8"/>
  <c r="J15" i="8"/>
  <c r="J14" i="8"/>
  <c r="J13" i="8"/>
  <c r="J12" i="8"/>
  <c r="J10" i="8"/>
  <c r="J9" i="8"/>
  <c r="J11" i="8"/>
  <c r="J8" i="8"/>
  <c r="J7" i="8"/>
  <c r="J6" i="8"/>
  <c r="J5" i="8"/>
  <c r="I24" i="8"/>
  <c r="H24" i="8"/>
  <c r="O24" i="8" s="1"/>
  <c r="D24" i="8"/>
  <c r="I22" i="8"/>
  <c r="H22" i="8"/>
  <c r="D22" i="8"/>
  <c r="I23" i="8"/>
  <c r="H23" i="8"/>
  <c r="D23" i="8"/>
  <c r="I19" i="8"/>
  <c r="H19" i="8"/>
  <c r="D19" i="8"/>
  <c r="I21" i="8"/>
  <c r="H21" i="8"/>
  <c r="D21" i="8"/>
  <c r="I20" i="8"/>
  <c r="H20" i="8"/>
  <c r="D20" i="8"/>
  <c r="I17" i="8"/>
  <c r="H17" i="8"/>
  <c r="D17" i="8"/>
  <c r="I18" i="8"/>
  <c r="H18" i="8"/>
  <c r="O18" i="8" s="1"/>
  <c r="D18" i="8"/>
  <c r="I16" i="8"/>
  <c r="H16" i="8"/>
  <c r="O16" i="8" s="1"/>
  <c r="D16" i="8"/>
  <c r="I15" i="8"/>
  <c r="H15" i="8"/>
  <c r="D15" i="8"/>
  <c r="I14" i="8"/>
  <c r="H14" i="8"/>
  <c r="D14" i="8"/>
  <c r="I13" i="8"/>
  <c r="H13" i="8"/>
  <c r="D13" i="8"/>
  <c r="I12" i="8"/>
  <c r="H12" i="8"/>
  <c r="D12" i="8"/>
  <c r="I10" i="8"/>
  <c r="H10" i="8"/>
  <c r="D10" i="8"/>
  <c r="I9" i="8"/>
  <c r="H9" i="8"/>
  <c r="D9" i="8"/>
  <c r="I11" i="8"/>
  <c r="H11" i="8"/>
  <c r="D11" i="8"/>
  <c r="I8" i="8"/>
  <c r="H8" i="8"/>
  <c r="O8" i="8" s="1"/>
  <c r="D8" i="8"/>
  <c r="I7" i="8"/>
  <c r="H7" i="8"/>
  <c r="D7" i="8"/>
  <c r="I6" i="8"/>
  <c r="H6" i="8"/>
  <c r="D6" i="8"/>
  <c r="I5" i="8"/>
  <c r="H5" i="8"/>
  <c r="D5" i="8"/>
  <c r="F79" i="7"/>
  <c r="E79" i="7"/>
  <c r="D79" i="7"/>
  <c r="F78" i="7"/>
  <c r="E78" i="7"/>
  <c r="D78" i="7"/>
  <c r="E77" i="7"/>
  <c r="F77" i="7"/>
  <c r="D77" i="7"/>
  <c r="D54" i="7"/>
  <c r="E54" i="7"/>
  <c r="F54" i="7"/>
  <c r="D55" i="7"/>
  <c r="E55" i="7"/>
  <c r="F55" i="7"/>
  <c r="D56" i="7"/>
  <c r="E56" i="7"/>
  <c r="F56" i="7"/>
  <c r="D57" i="7"/>
  <c r="E57" i="7"/>
  <c r="F57" i="7"/>
  <c r="D58" i="7"/>
  <c r="E58" i="7"/>
  <c r="F58" i="7"/>
  <c r="D59" i="7"/>
  <c r="E59" i="7"/>
  <c r="F59" i="7"/>
  <c r="D60" i="7"/>
  <c r="E60" i="7"/>
  <c r="F60" i="7"/>
  <c r="D61" i="7"/>
  <c r="E61" i="7"/>
  <c r="F61" i="7"/>
  <c r="D62" i="7"/>
  <c r="E62" i="7"/>
  <c r="F62" i="7"/>
  <c r="D63" i="7"/>
  <c r="E63" i="7"/>
  <c r="F63" i="7"/>
  <c r="D64" i="7"/>
  <c r="E64" i="7"/>
  <c r="F64" i="7"/>
  <c r="D65" i="7"/>
  <c r="E65" i="7"/>
  <c r="F65" i="7"/>
  <c r="D66" i="7"/>
  <c r="E66" i="7"/>
  <c r="F66" i="7"/>
  <c r="D67" i="7"/>
  <c r="E67" i="7"/>
  <c r="F67" i="7"/>
  <c r="D68" i="7"/>
  <c r="E68" i="7"/>
  <c r="F68" i="7"/>
  <c r="D69" i="7"/>
  <c r="E69" i="7"/>
  <c r="F69" i="7"/>
  <c r="D70" i="7"/>
  <c r="E70" i="7"/>
  <c r="F70" i="7"/>
  <c r="D71" i="7"/>
  <c r="E71" i="7"/>
  <c r="F71" i="7"/>
  <c r="D72" i="7"/>
  <c r="E72" i="7"/>
  <c r="F72" i="7"/>
  <c r="E53" i="7"/>
  <c r="F53" i="7"/>
  <c r="D53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E29" i="7"/>
  <c r="F29" i="7"/>
  <c r="D29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5" i="7"/>
  <c r="A477" i="6"/>
  <c r="B477" i="6"/>
  <c r="A478" i="6"/>
  <c r="B478" i="6"/>
  <c r="A479" i="6"/>
  <c r="B479" i="6"/>
  <c r="A480" i="6"/>
  <c r="B480" i="6"/>
  <c r="A481" i="6"/>
  <c r="B481" i="6"/>
  <c r="A482" i="6"/>
  <c r="B482" i="6"/>
  <c r="A483" i="6"/>
  <c r="B483" i="6"/>
  <c r="A484" i="6"/>
  <c r="B484" i="6"/>
  <c r="A485" i="6"/>
  <c r="B485" i="6"/>
  <c r="A486" i="6"/>
  <c r="B486" i="6"/>
  <c r="A487" i="6"/>
  <c r="B487" i="6"/>
  <c r="A488" i="6"/>
  <c r="B488" i="6"/>
  <c r="A489" i="6"/>
  <c r="B489" i="6"/>
  <c r="A490" i="6"/>
  <c r="B490" i="6"/>
  <c r="A491" i="6"/>
  <c r="B491" i="6"/>
  <c r="A492" i="6"/>
  <c r="B492" i="6"/>
  <c r="A493" i="6"/>
  <c r="B493" i="6"/>
  <c r="A494" i="6"/>
  <c r="B494" i="6"/>
  <c r="A495" i="6"/>
  <c r="B495" i="6"/>
  <c r="A496" i="6"/>
  <c r="B496" i="6"/>
  <c r="A497" i="6"/>
  <c r="B497" i="6"/>
  <c r="A498" i="6"/>
  <c r="B498" i="6"/>
  <c r="A499" i="6"/>
  <c r="B499" i="6"/>
  <c r="A500" i="6"/>
  <c r="B500" i="6"/>
  <c r="A501" i="6"/>
  <c r="B501" i="6"/>
  <c r="A452" i="6"/>
  <c r="B452" i="6"/>
  <c r="A453" i="6"/>
  <c r="B453" i="6"/>
  <c r="A454" i="6"/>
  <c r="B454" i="6"/>
  <c r="A455" i="6"/>
  <c r="B455" i="6"/>
  <c r="A456" i="6"/>
  <c r="B456" i="6"/>
  <c r="A457" i="6"/>
  <c r="B457" i="6"/>
  <c r="A458" i="6"/>
  <c r="B458" i="6"/>
  <c r="A459" i="6"/>
  <c r="B459" i="6"/>
  <c r="A460" i="6"/>
  <c r="B460" i="6"/>
  <c r="A461" i="6"/>
  <c r="B461" i="6"/>
  <c r="A462" i="6"/>
  <c r="B462" i="6"/>
  <c r="A463" i="6"/>
  <c r="B463" i="6"/>
  <c r="A464" i="6"/>
  <c r="B464" i="6"/>
  <c r="A465" i="6"/>
  <c r="B465" i="6"/>
  <c r="A466" i="6"/>
  <c r="B466" i="6"/>
  <c r="A467" i="6"/>
  <c r="B467" i="6"/>
  <c r="A468" i="6"/>
  <c r="B468" i="6"/>
  <c r="A469" i="6"/>
  <c r="B469" i="6"/>
  <c r="A470" i="6"/>
  <c r="B470" i="6"/>
  <c r="A471" i="6"/>
  <c r="B471" i="6"/>
  <c r="A472" i="6"/>
  <c r="B472" i="6"/>
  <c r="A473" i="6"/>
  <c r="B473" i="6"/>
  <c r="A474" i="6"/>
  <c r="B474" i="6"/>
  <c r="A475" i="6"/>
  <c r="B475" i="6"/>
  <c r="A476" i="6"/>
  <c r="B476" i="6"/>
  <c r="A427" i="6"/>
  <c r="B427" i="6"/>
  <c r="A428" i="6"/>
  <c r="B428" i="6"/>
  <c r="A429" i="6"/>
  <c r="B429" i="6"/>
  <c r="A430" i="6"/>
  <c r="B430" i="6"/>
  <c r="A431" i="6"/>
  <c r="B431" i="6"/>
  <c r="A432" i="6"/>
  <c r="B432" i="6"/>
  <c r="A433" i="6"/>
  <c r="B433" i="6"/>
  <c r="A434" i="6"/>
  <c r="B434" i="6"/>
  <c r="A435" i="6"/>
  <c r="B435" i="6"/>
  <c r="A436" i="6"/>
  <c r="B436" i="6"/>
  <c r="A437" i="6"/>
  <c r="B437" i="6"/>
  <c r="A438" i="6"/>
  <c r="B438" i="6"/>
  <c r="A439" i="6"/>
  <c r="B439" i="6"/>
  <c r="A440" i="6"/>
  <c r="B440" i="6"/>
  <c r="A441" i="6"/>
  <c r="B441" i="6"/>
  <c r="A442" i="6"/>
  <c r="B442" i="6"/>
  <c r="A443" i="6"/>
  <c r="B443" i="6"/>
  <c r="A444" i="6"/>
  <c r="B444" i="6"/>
  <c r="A445" i="6"/>
  <c r="B445" i="6"/>
  <c r="A446" i="6"/>
  <c r="B446" i="6"/>
  <c r="A447" i="6"/>
  <c r="B447" i="6"/>
  <c r="A448" i="6"/>
  <c r="B448" i="6"/>
  <c r="A449" i="6"/>
  <c r="B449" i="6"/>
  <c r="A450" i="6"/>
  <c r="B450" i="6"/>
  <c r="A451" i="6"/>
  <c r="B451" i="6"/>
  <c r="A403" i="6"/>
  <c r="B403" i="6"/>
  <c r="A404" i="6"/>
  <c r="B404" i="6"/>
  <c r="A405" i="6"/>
  <c r="B405" i="6"/>
  <c r="A406" i="6"/>
  <c r="B406" i="6"/>
  <c r="A407" i="6"/>
  <c r="B407" i="6"/>
  <c r="A408" i="6"/>
  <c r="B408" i="6"/>
  <c r="A409" i="6"/>
  <c r="B409" i="6"/>
  <c r="A410" i="6"/>
  <c r="B410" i="6"/>
  <c r="A411" i="6"/>
  <c r="B411" i="6"/>
  <c r="A412" i="6"/>
  <c r="B412" i="6"/>
  <c r="A413" i="6"/>
  <c r="B413" i="6"/>
  <c r="A414" i="6"/>
  <c r="B414" i="6"/>
  <c r="A415" i="6"/>
  <c r="B415" i="6"/>
  <c r="A416" i="6"/>
  <c r="B416" i="6"/>
  <c r="A417" i="6"/>
  <c r="B417" i="6"/>
  <c r="A418" i="6"/>
  <c r="B418" i="6"/>
  <c r="A419" i="6"/>
  <c r="B419" i="6"/>
  <c r="A420" i="6"/>
  <c r="B420" i="6"/>
  <c r="A421" i="6"/>
  <c r="B421" i="6"/>
  <c r="A422" i="6"/>
  <c r="B422" i="6"/>
  <c r="A423" i="6"/>
  <c r="B423" i="6"/>
  <c r="A424" i="6"/>
  <c r="B424" i="6"/>
  <c r="A425" i="6"/>
  <c r="B425" i="6"/>
  <c r="A426" i="6"/>
  <c r="B426" i="6"/>
  <c r="A402" i="6"/>
  <c r="B402" i="6"/>
  <c r="A377" i="6"/>
  <c r="B377" i="6"/>
  <c r="A378" i="6"/>
  <c r="B378" i="6"/>
  <c r="A379" i="6"/>
  <c r="B379" i="6"/>
  <c r="A380" i="6"/>
  <c r="B380" i="6"/>
  <c r="A381" i="6"/>
  <c r="B381" i="6"/>
  <c r="A382" i="6"/>
  <c r="B382" i="6"/>
  <c r="A383" i="6"/>
  <c r="B383" i="6"/>
  <c r="A384" i="6"/>
  <c r="B384" i="6"/>
  <c r="A385" i="6"/>
  <c r="B385" i="6"/>
  <c r="A386" i="6"/>
  <c r="B386" i="6"/>
  <c r="A387" i="6"/>
  <c r="B387" i="6"/>
  <c r="A388" i="6"/>
  <c r="B388" i="6"/>
  <c r="A389" i="6"/>
  <c r="B389" i="6"/>
  <c r="A390" i="6"/>
  <c r="B390" i="6"/>
  <c r="A391" i="6"/>
  <c r="B391" i="6"/>
  <c r="A392" i="6"/>
  <c r="B392" i="6"/>
  <c r="A393" i="6"/>
  <c r="B393" i="6"/>
  <c r="A394" i="6"/>
  <c r="B394" i="6"/>
  <c r="A395" i="6"/>
  <c r="B395" i="6"/>
  <c r="A396" i="6"/>
  <c r="B396" i="6"/>
  <c r="A397" i="6"/>
  <c r="B397" i="6"/>
  <c r="A398" i="6"/>
  <c r="B398" i="6"/>
  <c r="A399" i="6"/>
  <c r="B399" i="6"/>
  <c r="A400" i="6"/>
  <c r="B400" i="6"/>
  <c r="A401" i="6"/>
  <c r="B401" i="6"/>
  <c r="A352" i="6"/>
  <c r="B352" i="6"/>
  <c r="A353" i="6"/>
  <c r="B353" i="6"/>
  <c r="A354" i="6"/>
  <c r="B354" i="6"/>
  <c r="A355" i="6"/>
  <c r="B355" i="6"/>
  <c r="A356" i="6"/>
  <c r="B356" i="6"/>
  <c r="A357" i="6"/>
  <c r="B357" i="6"/>
  <c r="A358" i="6"/>
  <c r="B358" i="6"/>
  <c r="A359" i="6"/>
  <c r="B359" i="6"/>
  <c r="A360" i="6"/>
  <c r="B360" i="6"/>
  <c r="A361" i="6"/>
  <c r="B361" i="6"/>
  <c r="A362" i="6"/>
  <c r="B362" i="6"/>
  <c r="A363" i="6"/>
  <c r="B363" i="6"/>
  <c r="A364" i="6"/>
  <c r="B364" i="6"/>
  <c r="A365" i="6"/>
  <c r="B365" i="6"/>
  <c r="A366" i="6"/>
  <c r="B366" i="6"/>
  <c r="A367" i="6"/>
  <c r="B367" i="6"/>
  <c r="A368" i="6"/>
  <c r="B368" i="6"/>
  <c r="A369" i="6"/>
  <c r="B369" i="6"/>
  <c r="A370" i="6"/>
  <c r="B370" i="6"/>
  <c r="A371" i="6"/>
  <c r="B371" i="6"/>
  <c r="A372" i="6"/>
  <c r="B372" i="6"/>
  <c r="A373" i="6"/>
  <c r="B373" i="6"/>
  <c r="A374" i="6"/>
  <c r="B374" i="6"/>
  <c r="A375" i="6"/>
  <c r="B375" i="6"/>
  <c r="A376" i="6"/>
  <c r="B376" i="6"/>
  <c r="A327" i="6"/>
  <c r="B327" i="6"/>
  <c r="A328" i="6"/>
  <c r="B328" i="6"/>
  <c r="A329" i="6"/>
  <c r="B329" i="6"/>
  <c r="A330" i="6"/>
  <c r="B330" i="6"/>
  <c r="A331" i="6"/>
  <c r="B331" i="6"/>
  <c r="A332" i="6"/>
  <c r="B332" i="6"/>
  <c r="A333" i="6"/>
  <c r="B333" i="6"/>
  <c r="A334" i="6"/>
  <c r="B334" i="6"/>
  <c r="A335" i="6"/>
  <c r="B335" i="6"/>
  <c r="A336" i="6"/>
  <c r="B336" i="6"/>
  <c r="A337" i="6"/>
  <c r="B337" i="6"/>
  <c r="A338" i="6"/>
  <c r="B338" i="6"/>
  <c r="A339" i="6"/>
  <c r="B339" i="6"/>
  <c r="A340" i="6"/>
  <c r="B340" i="6"/>
  <c r="A341" i="6"/>
  <c r="B341" i="6"/>
  <c r="A342" i="6"/>
  <c r="B342" i="6"/>
  <c r="A343" i="6"/>
  <c r="B343" i="6"/>
  <c r="A344" i="6"/>
  <c r="B344" i="6"/>
  <c r="A345" i="6"/>
  <c r="B345" i="6"/>
  <c r="A346" i="6"/>
  <c r="B346" i="6"/>
  <c r="A347" i="6"/>
  <c r="B347" i="6"/>
  <c r="A348" i="6"/>
  <c r="B348" i="6"/>
  <c r="A349" i="6"/>
  <c r="B349" i="6"/>
  <c r="A350" i="6"/>
  <c r="B350" i="6"/>
  <c r="A351" i="6"/>
  <c r="B351" i="6"/>
  <c r="A302" i="6"/>
  <c r="B302" i="6"/>
  <c r="A303" i="6"/>
  <c r="B303" i="6"/>
  <c r="A304" i="6"/>
  <c r="B304" i="6"/>
  <c r="A305" i="6"/>
  <c r="B305" i="6"/>
  <c r="A306" i="6"/>
  <c r="B306" i="6"/>
  <c r="A307" i="6"/>
  <c r="B307" i="6"/>
  <c r="A308" i="6"/>
  <c r="B308" i="6"/>
  <c r="A309" i="6"/>
  <c r="B309" i="6"/>
  <c r="A310" i="6"/>
  <c r="B310" i="6"/>
  <c r="A311" i="6"/>
  <c r="B311" i="6"/>
  <c r="A312" i="6"/>
  <c r="B312" i="6"/>
  <c r="A313" i="6"/>
  <c r="B313" i="6"/>
  <c r="A314" i="6"/>
  <c r="B314" i="6"/>
  <c r="A315" i="6"/>
  <c r="B315" i="6"/>
  <c r="A316" i="6"/>
  <c r="B316" i="6"/>
  <c r="A317" i="6"/>
  <c r="B317" i="6"/>
  <c r="A318" i="6"/>
  <c r="B318" i="6"/>
  <c r="A319" i="6"/>
  <c r="B319" i="6"/>
  <c r="A320" i="6"/>
  <c r="B320" i="6"/>
  <c r="A321" i="6"/>
  <c r="B321" i="6"/>
  <c r="A322" i="6"/>
  <c r="B322" i="6"/>
  <c r="A323" i="6"/>
  <c r="B323" i="6"/>
  <c r="A324" i="6"/>
  <c r="B324" i="6"/>
  <c r="A325" i="6"/>
  <c r="B325" i="6"/>
  <c r="A326" i="6"/>
  <c r="B326" i="6"/>
  <c r="A277" i="6"/>
  <c r="B277" i="6"/>
  <c r="A278" i="6"/>
  <c r="B278" i="6"/>
  <c r="A279" i="6"/>
  <c r="B279" i="6"/>
  <c r="A280" i="6"/>
  <c r="B280" i="6"/>
  <c r="A281" i="6"/>
  <c r="B281" i="6"/>
  <c r="A282" i="6"/>
  <c r="B282" i="6"/>
  <c r="A283" i="6"/>
  <c r="B283" i="6"/>
  <c r="A284" i="6"/>
  <c r="B284" i="6"/>
  <c r="A285" i="6"/>
  <c r="B285" i="6"/>
  <c r="A286" i="6"/>
  <c r="B286" i="6"/>
  <c r="A287" i="6"/>
  <c r="B287" i="6"/>
  <c r="A288" i="6"/>
  <c r="B288" i="6"/>
  <c r="A289" i="6"/>
  <c r="B289" i="6"/>
  <c r="A290" i="6"/>
  <c r="B290" i="6"/>
  <c r="A291" i="6"/>
  <c r="B291" i="6"/>
  <c r="A292" i="6"/>
  <c r="B292" i="6"/>
  <c r="A293" i="6"/>
  <c r="B293" i="6"/>
  <c r="A294" i="6"/>
  <c r="B294" i="6"/>
  <c r="A295" i="6"/>
  <c r="B295" i="6"/>
  <c r="A296" i="6"/>
  <c r="B296" i="6"/>
  <c r="A297" i="6"/>
  <c r="B297" i="6"/>
  <c r="A298" i="6"/>
  <c r="B298" i="6"/>
  <c r="A299" i="6"/>
  <c r="B299" i="6"/>
  <c r="A300" i="6"/>
  <c r="B300" i="6"/>
  <c r="A301" i="6"/>
  <c r="B301" i="6"/>
  <c r="A252" i="6"/>
  <c r="B252" i="6"/>
  <c r="A253" i="6"/>
  <c r="B253" i="6"/>
  <c r="A254" i="6"/>
  <c r="B254" i="6"/>
  <c r="A255" i="6"/>
  <c r="B255" i="6"/>
  <c r="A256" i="6"/>
  <c r="B256" i="6"/>
  <c r="A257" i="6"/>
  <c r="B257" i="6"/>
  <c r="A258" i="6"/>
  <c r="B258" i="6"/>
  <c r="A259" i="6"/>
  <c r="B259" i="6"/>
  <c r="A260" i="6"/>
  <c r="B260" i="6"/>
  <c r="A261" i="6"/>
  <c r="B261" i="6"/>
  <c r="A262" i="6"/>
  <c r="B262" i="6"/>
  <c r="A263" i="6"/>
  <c r="B263" i="6"/>
  <c r="A264" i="6"/>
  <c r="B264" i="6"/>
  <c r="A265" i="6"/>
  <c r="B265" i="6"/>
  <c r="A266" i="6"/>
  <c r="B266" i="6"/>
  <c r="A267" i="6"/>
  <c r="B267" i="6"/>
  <c r="A268" i="6"/>
  <c r="B268" i="6"/>
  <c r="A269" i="6"/>
  <c r="B269" i="6"/>
  <c r="A270" i="6"/>
  <c r="B270" i="6"/>
  <c r="A271" i="6"/>
  <c r="B271" i="6"/>
  <c r="A272" i="6"/>
  <c r="B272" i="6"/>
  <c r="A273" i="6"/>
  <c r="B273" i="6"/>
  <c r="A274" i="6"/>
  <c r="B274" i="6"/>
  <c r="A275" i="6"/>
  <c r="B275" i="6"/>
  <c r="A276" i="6"/>
  <c r="B276" i="6"/>
  <c r="A227" i="6"/>
  <c r="B227" i="6"/>
  <c r="A228" i="6"/>
  <c r="B228" i="6"/>
  <c r="A229" i="6"/>
  <c r="B229" i="6"/>
  <c r="A230" i="6"/>
  <c r="B230" i="6"/>
  <c r="A231" i="6"/>
  <c r="B231" i="6"/>
  <c r="A232" i="6"/>
  <c r="B232" i="6"/>
  <c r="A233" i="6"/>
  <c r="B233" i="6"/>
  <c r="A234" i="6"/>
  <c r="B234" i="6"/>
  <c r="A235" i="6"/>
  <c r="B235" i="6"/>
  <c r="A236" i="6"/>
  <c r="B236" i="6"/>
  <c r="A237" i="6"/>
  <c r="B237" i="6"/>
  <c r="A238" i="6"/>
  <c r="B238" i="6"/>
  <c r="A239" i="6"/>
  <c r="B239" i="6"/>
  <c r="A240" i="6"/>
  <c r="B240" i="6"/>
  <c r="A241" i="6"/>
  <c r="B241" i="6"/>
  <c r="A242" i="6"/>
  <c r="B242" i="6"/>
  <c r="A243" i="6"/>
  <c r="B243" i="6"/>
  <c r="A244" i="6"/>
  <c r="B244" i="6"/>
  <c r="A245" i="6"/>
  <c r="B245" i="6"/>
  <c r="A246" i="6"/>
  <c r="B246" i="6"/>
  <c r="A247" i="6"/>
  <c r="B247" i="6"/>
  <c r="A248" i="6"/>
  <c r="B248" i="6"/>
  <c r="A249" i="6"/>
  <c r="B249" i="6"/>
  <c r="A250" i="6"/>
  <c r="B250" i="6"/>
  <c r="A251" i="6"/>
  <c r="B251" i="6"/>
  <c r="A202" i="6"/>
  <c r="B202" i="6"/>
  <c r="A203" i="6"/>
  <c r="B203" i="6"/>
  <c r="A204" i="6"/>
  <c r="B204" i="6"/>
  <c r="A205" i="6"/>
  <c r="B205" i="6"/>
  <c r="A206" i="6"/>
  <c r="B206" i="6"/>
  <c r="A207" i="6"/>
  <c r="B207" i="6"/>
  <c r="A208" i="6"/>
  <c r="B208" i="6"/>
  <c r="A209" i="6"/>
  <c r="B209" i="6"/>
  <c r="A210" i="6"/>
  <c r="B210" i="6"/>
  <c r="A211" i="6"/>
  <c r="B211" i="6"/>
  <c r="A212" i="6"/>
  <c r="B212" i="6"/>
  <c r="A213" i="6"/>
  <c r="B213" i="6"/>
  <c r="A214" i="6"/>
  <c r="B214" i="6"/>
  <c r="A215" i="6"/>
  <c r="B215" i="6"/>
  <c r="A216" i="6"/>
  <c r="B216" i="6"/>
  <c r="A217" i="6"/>
  <c r="B217" i="6"/>
  <c r="A218" i="6"/>
  <c r="B218" i="6"/>
  <c r="A219" i="6"/>
  <c r="B219" i="6"/>
  <c r="A220" i="6"/>
  <c r="B220" i="6"/>
  <c r="A221" i="6"/>
  <c r="B221" i="6"/>
  <c r="A222" i="6"/>
  <c r="B222" i="6"/>
  <c r="A223" i="6"/>
  <c r="B223" i="6"/>
  <c r="A224" i="6"/>
  <c r="B224" i="6"/>
  <c r="A225" i="6"/>
  <c r="B225" i="6"/>
  <c r="A226" i="6"/>
  <c r="B226" i="6"/>
  <c r="A177" i="6"/>
  <c r="B177" i="6"/>
  <c r="A178" i="6"/>
  <c r="B178" i="6"/>
  <c r="A179" i="6"/>
  <c r="B179" i="6"/>
  <c r="A180" i="6"/>
  <c r="B180" i="6"/>
  <c r="A181" i="6"/>
  <c r="B181" i="6"/>
  <c r="A182" i="6"/>
  <c r="B182" i="6"/>
  <c r="A183" i="6"/>
  <c r="B183" i="6"/>
  <c r="A184" i="6"/>
  <c r="B184" i="6"/>
  <c r="A185" i="6"/>
  <c r="B185" i="6"/>
  <c r="A186" i="6"/>
  <c r="B186" i="6"/>
  <c r="A187" i="6"/>
  <c r="B187" i="6"/>
  <c r="A188" i="6"/>
  <c r="B188" i="6"/>
  <c r="A189" i="6"/>
  <c r="B189" i="6"/>
  <c r="A190" i="6"/>
  <c r="B190" i="6"/>
  <c r="A191" i="6"/>
  <c r="B191" i="6"/>
  <c r="A192" i="6"/>
  <c r="B192" i="6"/>
  <c r="A193" i="6"/>
  <c r="B193" i="6"/>
  <c r="A194" i="6"/>
  <c r="B194" i="6"/>
  <c r="A195" i="6"/>
  <c r="B195" i="6"/>
  <c r="A196" i="6"/>
  <c r="B196" i="6"/>
  <c r="A197" i="6"/>
  <c r="B197" i="6"/>
  <c r="A198" i="6"/>
  <c r="B198" i="6"/>
  <c r="A199" i="6"/>
  <c r="B199" i="6"/>
  <c r="A200" i="6"/>
  <c r="B200" i="6"/>
  <c r="A201" i="6"/>
  <c r="B201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A102" i="6"/>
  <c r="B102" i="6"/>
  <c r="A103" i="6"/>
  <c r="B103" i="6"/>
  <c r="A104" i="6"/>
  <c r="B104" i="6"/>
  <c r="A105" i="6"/>
  <c r="B105" i="6"/>
  <c r="A106" i="6"/>
  <c r="B106" i="6"/>
  <c r="A107" i="6"/>
  <c r="B107" i="6"/>
  <c r="A108" i="6"/>
  <c r="B108" i="6"/>
  <c r="A109" i="6"/>
  <c r="B109" i="6"/>
  <c r="A110" i="6"/>
  <c r="B110" i="6"/>
  <c r="A111" i="6"/>
  <c r="B111" i="6"/>
  <c r="A112" i="6"/>
  <c r="B112" i="6"/>
  <c r="A113" i="6"/>
  <c r="B113" i="6"/>
  <c r="A114" i="6"/>
  <c r="B114" i="6"/>
  <c r="A115" i="6"/>
  <c r="B115" i="6"/>
  <c r="A116" i="6"/>
  <c r="B116" i="6"/>
  <c r="A117" i="6"/>
  <c r="B117" i="6"/>
  <c r="A118" i="6"/>
  <c r="B118" i="6"/>
  <c r="A119" i="6"/>
  <c r="B119" i="6"/>
  <c r="A120" i="6"/>
  <c r="B120" i="6"/>
  <c r="A121" i="6"/>
  <c r="B121" i="6"/>
  <c r="A122" i="6"/>
  <c r="B122" i="6"/>
  <c r="A123" i="6"/>
  <c r="B123" i="6"/>
  <c r="A124" i="6"/>
  <c r="B124" i="6"/>
  <c r="A125" i="6"/>
  <c r="B125" i="6"/>
  <c r="A126" i="6"/>
  <c r="B126" i="6"/>
  <c r="A77" i="6"/>
  <c r="B77" i="6"/>
  <c r="A78" i="6"/>
  <c r="B78" i="6"/>
  <c r="A79" i="6"/>
  <c r="B79" i="6"/>
  <c r="A80" i="6"/>
  <c r="B80" i="6"/>
  <c r="A81" i="6"/>
  <c r="B81" i="6"/>
  <c r="A82" i="6"/>
  <c r="B82" i="6"/>
  <c r="A83" i="6"/>
  <c r="B83" i="6"/>
  <c r="A84" i="6"/>
  <c r="B84" i="6"/>
  <c r="A85" i="6"/>
  <c r="B85" i="6"/>
  <c r="A86" i="6"/>
  <c r="B86" i="6"/>
  <c r="A87" i="6"/>
  <c r="B87" i="6"/>
  <c r="A88" i="6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B95" i="6"/>
  <c r="A96" i="6"/>
  <c r="B96" i="6"/>
  <c r="A97" i="6"/>
  <c r="B97" i="6"/>
  <c r="A98" i="6"/>
  <c r="B98" i="6"/>
  <c r="A99" i="6"/>
  <c r="B99" i="6"/>
  <c r="A100" i="6"/>
  <c r="B100" i="6"/>
  <c r="A101" i="6"/>
  <c r="B10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2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11" i="6"/>
  <c r="B12" i="6"/>
  <c r="B13" i="6"/>
  <c r="B3" i="6"/>
  <c r="B4" i="6"/>
  <c r="B5" i="6"/>
  <c r="B6" i="6"/>
  <c r="B7" i="6"/>
  <c r="B8" i="6"/>
  <c r="B9" i="6"/>
  <c r="B10" i="6"/>
  <c r="B2" i="6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2" i="1"/>
  <c r="B6" i="9" l="1"/>
  <c r="G14" i="2"/>
  <c r="G19" i="2"/>
  <c r="G24" i="2"/>
  <c r="G13" i="2"/>
  <c r="G9" i="2"/>
  <c r="G10" i="2"/>
  <c r="G6" i="2"/>
  <c r="G15" i="2"/>
  <c r="G11" i="2"/>
  <c r="G12" i="2"/>
  <c r="G22" i="2"/>
  <c r="G7" i="2"/>
  <c r="O57" i="8"/>
  <c r="B5" i="9"/>
  <c r="O65" i="8"/>
  <c r="O37" i="8"/>
  <c r="O9" i="8"/>
  <c r="O17" i="8"/>
  <c r="B9" i="9"/>
  <c r="O31" i="8"/>
  <c r="O67" i="8"/>
  <c r="O59" i="8"/>
  <c r="S41" i="8"/>
  <c r="S32" i="8"/>
  <c r="S65" i="8"/>
  <c r="S61" i="8"/>
  <c r="S64" i="8"/>
  <c r="S47" i="8"/>
  <c r="S70" i="8"/>
  <c r="B12" i="9"/>
  <c r="B11" i="9"/>
  <c r="S11" i="8"/>
  <c r="S18" i="8"/>
  <c r="S36" i="8"/>
  <c r="S57" i="8"/>
  <c r="S68" i="8"/>
  <c r="J38" i="7"/>
  <c r="S39" i="8"/>
  <c r="S48" i="8"/>
  <c r="S8" i="8"/>
  <c r="S16" i="8"/>
  <c r="S24" i="8"/>
  <c r="S46" i="8"/>
  <c r="S40" i="8"/>
  <c r="S31" i="8"/>
  <c r="S67" i="8"/>
  <c r="S63" i="8"/>
  <c r="S59" i="8"/>
  <c r="B61" i="9"/>
  <c r="S9" i="8"/>
  <c r="S17" i="8"/>
  <c r="S38" i="8"/>
  <c r="S35" i="8"/>
  <c r="S71" i="8"/>
  <c r="S54" i="8"/>
  <c r="B56" i="9"/>
  <c r="B8" i="9"/>
  <c r="S10" i="8"/>
  <c r="S20" i="8"/>
  <c r="S45" i="8"/>
  <c r="S42" i="8"/>
  <c r="S29" i="8"/>
  <c r="S72" i="8"/>
  <c r="S66" i="8"/>
  <c r="S56" i="8"/>
  <c r="B34" i="9"/>
  <c r="S12" i="8"/>
  <c r="S21" i="8"/>
  <c r="S5" i="8"/>
  <c r="S13" i="8"/>
  <c r="S19" i="8"/>
  <c r="S34" i="8"/>
  <c r="S53" i="8"/>
  <c r="B7" i="9"/>
  <c r="S6" i="8"/>
  <c r="S14" i="8"/>
  <c r="S23" i="8"/>
  <c r="S43" i="8"/>
  <c r="S37" i="8"/>
  <c r="S30" i="8"/>
  <c r="S60" i="8"/>
  <c r="S69" i="8"/>
  <c r="S55" i="8"/>
  <c r="S7" i="8"/>
  <c r="S15" i="8"/>
  <c r="S22" i="8"/>
  <c r="S44" i="8"/>
  <c r="S33" i="8"/>
  <c r="S62" i="8"/>
  <c r="S58" i="8"/>
  <c r="B10" i="9"/>
  <c r="B59" i="9"/>
  <c r="B58" i="9"/>
  <c r="B55" i="9"/>
  <c r="X8" i="9" s="1"/>
  <c r="B54" i="9"/>
  <c r="B60" i="9"/>
  <c r="B57" i="9"/>
  <c r="B36" i="9"/>
  <c r="B33" i="9"/>
  <c r="B32" i="9"/>
  <c r="B31" i="9"/>
  <c r="B37" i="9"/>
  <c r="B30" i="9"/>
  <c r="B35" i="9"/>
  <c r="B72" i="9"/>
  <c r="B49" i="9"/>
  <c r="B66" i="9"/>
  <c r="H63" i="7"/>
  <c r="B45" i="9"/>
  <c r="B68" i="9"/>
  <c r="H57" i="7"/>
  <c r="I57" i="7"/>
  <c r="J57" i="7"/>
  <c r="J40" i="7"/>
  <c r="J58" i="7"/>
  <c r="O44" i="8"/>
  <c r="B20" i="9"/>
  <c r="H33" i="7"/>
  <c r="H58" i="7"/>
  <c r="B73" i="9"/>
  <c r="B65" i="9"/>
  <c r="O72" i="8"/>
  <c r="O56" i="8"/>
  <c r="B71" i="9"/>
  <c r="J15" i="7"/>
  <c r="B13" i="9"/>
  <c r="I6" i="7"/>
  <c r="J44" i="7"/>
  <c r="J70" i="7"/>
  <c r="J62" i="7"/>
  <c r="O64" i="8"/>
  <c r="B70" i="9"/>
  <c r="B19" i="9"/>
  <c r="B48" i="9"/>
  <c r="B42" i="9"/>
  <c r="B63" i="9"/>
  <c r="B17" i="9"/>
  <c r="B39" i="9"/>
  <c r="B62" i="9"/>
  <c r="B16" i="9"/>
  <c r="B14" i="9"/>
  <c r="B22" i="9"/>
  <c r="B23" i="9"/>
  <c r="B47" i="9"/>
  <c r="B69" i="9"/>
  <c r="B46" i="9"/>
  <c r="B64" i="9"/>
  <c r="B24" i="9"/>
  <c r="B44" i="9"/>
  <c r="B15" i="9"/>
  <c r="V8" i="9" s="1"/>
  <c r="B18" i="9"/>
  <c r="B38" i="9"/>
  <c r="B40" i="9"/>
  <c r="B41" i="9"/>
  <c r="B43" i="9"/>
  <c r="B67" i="9"/>
  <c r="B21" i="9"/>
  <c r="O12" i="8"/>
  <c r="O48" i="8"/>
  <c r="O68" i="8"/>
  <c r="O40" i="8"/>
  <c r="P36" i="8"/>
  <c r="Q35" i="8"/>
  <c r="P70" i="8"/>
  <c r="Q71" i="8"/>
  <c r="O63" i="8"/>
  <c r="P57" i="8"/>
  <c r="Q77" i="8"/>
  <c r="O35" i="8"/>
  <c r="O71" i="8"/>
  <c r="O46" i="8"/>
  <c r="O10" i="8"/>
  <c r="O38" i="8"/>
  <c r="O77" i="8"/>
  <c r="O66" i="8"/>
  <c r="S79" i="8"/>
  <c r="O11" i="8"/>
  <c r="O47" i="8"/>
  <c r="O42" i="8"/>
  <c r="O20" i="8"/>
  <c r="R37" i="8"/>
  <c r="O32" i="8"/>
  <c r="S78" i="8"/>
  <c r="M34" i="8"/>
  <c r="M42" i="8"/>
  <c r="M77" i="8"/>
  <c r="P43" i="8"/>
  <c r="P37" i="8"/>
  <c r="P30" i="8"/>
  <c r="P60" i="8"/>
  <c r="P69" i="8"/>
  <c r="P55" i="8"/>
  <c r="P78" i="8"/>
  <c r="P47" i="8"/>
  <c r="S77" i="8"/>
  <c r="M79" i="8"/>
  <c r="N79" i="8"/>
  <c r="O61" i="8"/>
  <c r="N30" i="8"/>
  <c r="N38" i="8"/>
  <c r="N46" i="8"/>
  <c r="R44" i="8"/>
  <c r="R33" i="8"/>
  <c r="O53" i="8"/>
  <c r="M35" i="8"/>
  <c r="M43" i="8"/>
  <c r="N31" i="8"/>
  <c r="N39" i="8"/>
  <c r="N47" i="8"/>
  <c r="M55" i="8"/>
  <c r="M63" i="8"/>
  <c r="M71" i="8"/>
  <c r="N59" i="8"/>
  <c r="N67" i="8"/>
  <c r="O69" i="8"/>
  <c r="P48" i="8"/>
  <c r="Q43" i="8"/>
  <c r="P39" i="8"/>
  <c r="P34" i="8"/>
  <c r="Q78" i="8"/>
  <c r="J47" i="7"/>
  <c r="N78" i="8"/>
  <c r="H17" i="7"/>
  <c r="H9" i="7"/>
  <c r="Q16" i="8"/>
  <c r="Q24" i="8"/>
  <c r="R46" i="8"/>
  <c r="R40" i="8"/>
  <c r="O30" i="8"/>
  <c r="R67" i="8"/>
  <c r="M36" i="8"/>
  <c r="M44" i="8"/>
  <c r="N32" i="8"/>
  <c r="N40" i="8"/>
  <c r="N48" i="8"/>
  <c r="M56" i="8"/>
  <c r="M64" i="8"/>
  <c r="M72" i="8"/>
  <c r="N60" i="8"/>
  <c r="N68" i="8"/>
  <c r="J72" i="7"/>
  <c r="J56" i="7"/>
  <c r="P46" i="8"/>
  <c r="R47" i="8"/>
  <c r="P40" i="8"/>
  <c r="R36" i="8"/>
  <c r="P31" i="8"/>
  <c r="O58" i="8"/>
  <c r="L33" i="8"/>
  <c r="L41" i="8"/>
  <c r="M29" i="8"/>
  <c r="M37" i="8"/>
  <c r="M45" i="8"/>
  <c r="N33" i="8"/>
  <c r="N41" i="8"/>
  <c r="N62" i="8"/>
  <c r="N70" i="8"/>
  <c r="P38" i="8"/>
  <c r="P35" i="8"/>
  <c r="P77" i="8"/>
  <c r="P79" i="8"/>
  <c r="D29" i="5"/>
  <c r="Q5" i="8"/>
  <c r="O41" i="8"/>
  <c r="R30" i="8"/>
  <c r="L30" i="8"/>
  <c r="L38" i="8"/>
  <c r="L46" i="8"/>
  <c r="Q7" i="8"/>
  <c r="Q15" i="8"/>
  <c r="Q22" i="8"/>
  <c r="L31" i="8"/>
  <c r="L39" i="8"/>
  <c r="L47" i="8"/>
  <c r="N77" i="8"/>
  <c r="H38" i="7"/>
  <c r="J33" i="7"/>
  <c r="I64" i="7"/>
  <c r="Q8" i="8"/>
  <c r="P44" i="8"/>
  <c r="P33" i="8"/>
  <c r="R31" i="8"/>
  <c r="P62" i="8"/>
  <c r="Q63" i="8"/>
  <c r="P58" i="8"/>
  <c r="R59" i="8"/>
  <c r="L32" i="8"/>
  <c r="L40" i="8"/>
  <c r="L48" i="8"/>
  <c r="L78" i="8"/>
  <c r="M78" i="8"/>
  <c r="H15" i="7"/>
  <c r="Q17" i="8"/>
  <c r="R38" i="8"/>
  <c r="R54" i="8"/>
  <c r="R79" i="8"/>
  <c r="L34" i="8"/>
  <c r="L42" i="8"/>
  <c r="M30" i="8"/>
  <c r="M38" i="8"/>
  <c r="M46" i="8"/>
  <c r="N34" i="8"/>
  <c r="N42" i="8"/>
  <c r="M58" i="8"/>
  <c r="M66" i="8"/>
  <c r="N54" i="8"/>
  <c r="J6" i="7"/>
  <c r="H32" i="7"/>
  <c r="J60" i="7"/>
  <c r="R45" i="8"/>
  <c r="R42" i="8"/>
  <c r="R29" i="8"/>
  <c r="L35" i="8"/>
  <c r="L43" i="8"/>
  <c r="M31" i="8"/>
  <c r="M39" i="8"/>
  <c r="M47" i="8"/>
  <c r="N35" i="8"/>
  <c r="N43" i="8"/>
  <c r="L79" i="8"/>
  <c r="F60" i="5"/>
  <c r="E21" i="5"/>
  <c r="H21" i="5" s="1"/>
  <c r="F59" i="5"/>
  <c r="H31" i="7"/>
  <c r="P45" i="8"/>
  <c r="R41" i="8"/>
  <c r="P42" i="8"/>
  <c r="R32" i="8"/>
  <c r="P29" i="8"/>
  <c r="L36" i="8"/>
  <c r="L44" i="8"/>
  <c r="M32" i="8"/>
  <c r="M40" i="8"/>
  <c r="M48" i="8"/>
  <c r="N36" i="8"/>
  <c r="N44" i="8"/>
  <c r="R13" i="8"/>
  <c r="R19" i="8"/>
  <c r="R48" i="8"/>
  <c r="P41" i="8"/>
  <c r="R39" i="8"/>
  <c r="P32" i="8"/>
  <c r="R34" i="8"/>
  <c r="P65" i="8"/>
  <c r="P61" i="8"/>
  <c r="L29" i="8"/>
  <c r="L37" i="8"/>
  <c r="L45" i="8"/>
  <c r="M33" i="8"/>
  <c r="M41" i="8"/>
  <c r="N29" i="8"/>
  <c r="N37" i="8"/>
  <c r="N45" i="8"/>
  <c r="M53" i="8"/>
  <c r="M61" i="8"/>
  <c r="M69" i="8"/>
  <c r="N57" i="8"/>
  <c r="N65" i="8"/>
  <c r="L77" i="8"/>
  <c r="R64" i="8"/>
  <c r="Q6" i="8"/>
  <c r="Q14" i="8"/>
  <c r="Q23" i="8"/>
  <c r="P64" i="8"/>
  <c r="R60" i="8"/>
  <c r="P68" i="8"/>
  <c r="R69" i="8"/>
  <c r="P53" i="8"/>
  <c r="Q55" i="8"/>
  <c r="L58" i="8"/>
  <c r="L66" i="8"/>
  <c r="M54" i="8"/>
  <c r="M62" i="8"/>
  <c r="M70" i="8"/>
  <c r="N58" i="8"/>
  <c r="N66" i="8"/>
  <c r="Q34" i="8"/>
  <c r="R35" i="8"/>
  <c r="Q42" i="8"/>
  <c r="R43" i="8"/>
  <c r="R78" i="8"/>
  <c r="R62" i="8"/>
  <c r="R58" i="8"/>
  <c r="L59" i="8"/>
  <c r="L67" i="8"/>
  <c r="Q33" i="8"/>
  <c r="Q41" i="8"/>
  <c r="L60" i="8"/>
  <c r="L68" i="8"/>
  <c r="Q32" i="8"/>
  <c r="Q40" i="8"/>
  <c r="Q48" i="8"/>
  <c r="R11" i="8"/>
  <c r="R18" i="8"/>
  <c r="P67" i="8"/>
  <c r="R70" i="8"/>
  <c r="P63" i="8"/>
  <c r="R57" i="8"/>
  <c r="P59" i="8"/>
  <c r="L53" i="8"/>
  <c r="L61" i="8"/>
  <c r="L69" i="8"/>
  <c r="M57" i="8"/>
  <c r="M65" i="8"/>
  <c r="N53" i="8"/>
  <c r="N61" i="8"/>
  <c r="N69" i="8"/>
  <c r="Q31" i="8"/>
  <c r="Q39" i="8"/>
  <c r="Q47" i="8"/>
  <c r="L54" i="8"/>
  <c r="L62" i="8"/>
  <c r="L70" i="8"/>
  <c r="Q30" i="8"/>
  <c r="Q38" i="8"/>
  <c r="Q46" i="8"/>
  <c r="Q9" i="8"/>
  <c r="R10" i="8"/>
  <c r="R20" i="8"/>
  <c r="R72" i="8"/>
  <c r="P71" i="8"/>
  <c r="R66" i="8"/>
  <c r="P54" i="8"/>
  <c r="R56" i="8"/>
  <c r="L55" i="8"/>
  <c r="L63" i="8"/>
  <c r="L71" i="8"/>
  <c r="M59" i="8"/>
  <c r="M67" i="8"/>
  <c r="N55" i="8"/>
  <c r="N63" i="8"/>
  <c r="N71" i="8"/>
  <c r="Q29" i="8"/>
  <c r="Q37" i="8"/>
  <c r="Q45" i="8"/>
  <c r="R12" i="8"/>
  <c r="R21" i="8"/>
  <c r="P72" i="8"/>
  <c r="R65" i="8"/>
  <c r="P66" i="8"/>
  <c r="R61" i="8"/>
  <c r="P56" i="8"/>
  <c r="L56" i="8"/>
  <c r="L64" i="8"/>
  <c r="L72" i="8"/>
  <c r="M60" i="8"/>
  <c r="M68" i="8"/>
  <c r="N56" i="8"/>
  <c r="N64" i="8"/>
  <c r="N72" i="8"/>
  <c r="Q36" i="8"/>
  <c r="Q44" i="8"/>
  <c r="Q79" i="8"/>
  <c r="R68" i="8"/>
  <c r="R53" i="8"/>
  <c r="L57" i="8"/>
  <c r="L65" i="8"/>
  <c r="Q54" i="8"/>
  <c r="R55" i="8"/>
  <c r="Q62" i="8"/>
  <c r="R63" i="8"/>
  <c r="Q70" i="8"/>
  <c r="R71" i="8"/>
  <c r="Q53" i="8"/>
  <c r="Q61" i="8"/>
  <c r="Q69" i="8"/>
  <c r="Q60" i="8"/>
  <c r="Q68" i="8"/>
  <c r="Q59" i="8"/>
  <c r="Q67" i="8"/>
  <c r="Q58" i="8"/>
  <c r="Q66" i="8"/>
  <c r="Q57" i="8"/>
  <c r="Q65" i="8"/>
  <c r="Q56" i="8"/>
  <c r="Q64" i="8"/>
  <c r="Q72" i="8"/>
  <c r="R5" i="8"/>
  <c r="R17" i="8"/>
  <c r="R9" i="8"/>
  <c r="Q21" i="8"/>
  <c r="Q13" i="8"/>
  <c r="R24" i="8"/>
  <c r="R16" i="8"/>
  <c r="R8" i="8"/>
  <c r="Q20" i="8"/>
  <c r="Q12" i="8"/>
  <c r="R23" i="8"/>
  <c r="R15" i="8"/>
  <c r="R7" i="8"/>
  <c r="Q19" i="8"/>
  <c r="Q11" i="8"/>
  <c r="R22" i="8"/>
  <c r="R14" i="8"/>
  <c r="R6" i="8"/>
  <c r="Q18" i="8"/>
  <c r="Q10" i="8"/>
  <c r="O6" i="8"/>
  <c r="O14" i="8"/>
  <c r="O23" i="8"/>
  <c r="O21" i="8"/>
  <c r="O7" i="8"/>
  <c r="O15" i="8"/>
  <c r="O22" i="8"/>
  <c r="M8" i="8"/>
  <c r="M16" i="8"/>
  <c r="M24" i="8"/>
  <c r="N12" i="8"/>
  <c r="N20" i="8"/>
  <c r="P6" i="8"/>
  <c r="P14" i="8"/>
  <c r="P23" i="8"/>
  <c r="L10" i="8"/>
  <c r="L18" i="8"/>
  <c r="M6" i="8"/>
  <c r="M14" i="8"/>
  <c r="M22" i="8"/>
  <c r="N10" i="8"/>
  <c r="N18" i="8"/>
  <c r="L11" i="8"/>
  <c r="M7" i="8"/>
  <c r="M15" i="8"/>
  <c r="M23" i="8"/>
  <c r="N11" i="8"/>
  <c r="N19" i="8"/>
  <c r="L20" i="8"/>
  <c r="M9" i="8"/>
  <c r="M17" i="8"/>
  <c r="N5" i="8"/>
  <c r="N13" i="8"/>
  <c r="N21" i="8"/>
  <c r="P5" i="8"/>
  <c r="P13" i="8"/>
  <c r="P19" i="8"/>
  <c r="P11" i="8"/>
  <c r="L19" i="8"/>
  <c r="L12" i="8"/>
  <c r="L5" i="8"/>
  <c r="P12" i="8"/>
  <c r="O5" i="8"/>
  <c r="P9" i="8"/>
  <c r="O13" i="8"/>
  <c r="P17" i="8"/>
  <c r="O19" i="8"/>
  <c r="L6" i="8"/>
  <c r="L14" i="8"/>
  <c r="L22" i="8"/>
  <c r="M10" i="8"/>
  <c r="M18" i="8"/>
  <c r="N6" i="8"/>
  <c r="N14" i="8"/>
  <c r="N22" i="8"/>
  <c r="P15" i="8"/>
  <c r="L21" i="8"/>
  <c r="L7" i="8"/>
  <c r="L15" i="8"/>
  <c r="L23" i="8"/>
  <c r="M11" i="8"/>
  <c r="M19" i="8"/>
  <c r="N7" i="8"/>
  <c r="N15" i="8"/>
  <c r="N23" i="8"/>
  <c r="P18" i="8"/>
  <c r="P21" i="8"/>
  <c r="P22" i="8"/>
  <c r="P8" i="8"/>
  <c r="P16" i="8"/>
  <c r="P24" i="8"/>
  <c r="L8" i="8"/>
  <c r="L16" i="8"/>
  <c r="L24" i="8"/>
  <c r="M12" i="8"/>
  <c r="M20" i="8"/>
  <c r="N8" i="8"/>
  <c r="N16" i="8"/>
  <c r="N24" i="8"/>
  <c r="P7" i="8"/>
  <c r="P10" i="8"/>
  <c r="P20" i="8"/>
  <c r="L9" i="8"/>
  <c r="L17" i="8"/>
  <c r="M5" i="8"/>
  <c r="M13" i="8"/>
  <c r="M21" i="8"/>
  <c r="N9" i="8"/>
  <c r="N17" i="8"/>
  <c r="L13" i="8"/>
  <c r="D36" i="5"/>
  <c r="F40" i="5"/>
  <c r="F10" i="5"/>
  <c r="F24" i="5"/>
  <c r="D30" i="5"/>
  <c r="F35" i="5"/>
  <c r="E8" i="5"/>
  <c r="D69" i="5"/>
  <c r="D39" i="5"/>
  <c r="D72" i="5"/>
  <c r="E16" i="5"/>
  <c r="I9" i="7"/>
  <c r="E67" i="5"/>
  <c r="D55" i="5"/>
  <c r="E9" i="5"/>
  <c r="E65" i="5"/>
  <c r="D42" i="5"/>
  <c r="D21" i="5"/>
  <c r="F11" i="5"/>
  <c r="F23" i="5"/>
  <c r="D11" i="5"/>
  <c r="E37" i="5"/>
  <c r="D60" i="5"/>
  <c r="E35" i="5"/>
  <c r="E66" i="5"/>
  <c r="E31" i="5"/>
  <c r="F65" i="5"/>
  <c r="F16" i="5"/>
  <c r="F20" i="5"/>
  <c r="F37" i="5"/>
  <c r="D63" i="5"/>
  <c r="E5" i="5"/>
  <c r="D61" i="5"/>
  <c r="J31" i="7"/>
  <c r="D71" i="5"/>
  <c r="E36" i="5"/>
  <c r="E79" i="5"/>
  <c r="E44" i="5"/>
  <c r="D37" i="5"/>
  <c r="F46" i="5"/>
  <c r="D68" i="5"/>
  <c r="D45" i="5"/>
  <c r="E42" i="5"/>
  <c r="D33" i="5"/>
  <c r="D13" i="5"/>
  <c r="E24" i="5"/>
  <c r="I24" i="5" s="1"/>
  <c r="D32" i="5"/>
  <c r="E48" i="5"/>
  <c r="E40" i="5"/>
  <c r="F62" i="5"/>
  <c r="D67" i="5"/>
  <c r="E59" i="5"/>
  <c r="F70" i="5"/>
  <c r="D66" i="5"/>
  <c r="E77" i="5"/>
  <c r="E20" i="5"/>
  <c r="F19" i="5"/>
  <c r="F7" i="5"/>
  <c r="D44" i="5"/>
  <c r="D31" i="5"/>
  <c r="H31" i="5" s="1"/>
  <c r="F33" i="5"/>
  <c r="F30" i="5"/>
  <c r="F29" i="5"/>
  <c r="F64" i="5"/>
  <c r="D65" i="5"/>
  <c r="E62" i="5"/>
  <c r="F57" i="5"/>
  <c r="D59" i="5"/>
  <c r="E70" i="5"/>
  <c r="I70" i="5" s="1"/>
  <c r="F53" i="5"/>
  <c r="F77" i="5"/>
  <c r="J71" i="7"/>
  <c r="J55" i="7"/>
  <c r="E12" i="5"/>
  <c r="F15" i="5"/>
  <c r="F45" i="5"/>
  <c r="J45" i="5" s="1"/>
  <c r="F39" i="5"/>
  <c r="D18" i="5"/>
  <c r="D10" i="5"/>
  <c r="E23" i="5"/>
  <c r="E19" i="5"/>
  <c r="E15" i="5"/>
  <c r="E11" i="5"/>
  <c r="E7" i="5"/>
  <c r="I7" i="5" s="1"/>
  <c r="D48" i="5"/>
  <c r="D40" i="5"/>
  <c r="D35" i="5"/>
  <c r="J35" i="5" s="1"/>
  <c r="E45" i="5"/>
  <c r="H45" i="5" s="1"/>
  <c r="E39" i="5"/>
  <c r="E33" i="5"/>
  <c r="E30" i="5"/>
  <c r="E29" i="5"/>
  <c r="H29" i="5" s="1"/>
  <c r="E64" i="5"/>
  <c r="F71" i="5"/>
  <c r="D62" i="5"/>
  <c r="H62" i="5" s="1"/>
  <c r="E57" i="5"/>
  <c r="F72" i="5"/>
  <c r="J72" i="5" s="1"/>
  <c r="D70" i="5"/>
  <c r="E53" i="5"/>
  <c r="D78" i="5"/>
  <c r="H55" i="7"/>
  <c r="R77" i="8"/>
  <c r="F12" i="5"/>
  <c r="E60" i="5"/>
  <c r="H60" i="5" s="1"/>
  <c r="D12" i="5"/>
  <c r="H12" i="5" s="1"/>
  <c r="D43" i="5"/>
  <c r="F22" i="5"/>
  <c r="F14" i="5"/>
  <c r="F6" i="5"/>
  <c r="F47" i="5"/>
  <c r="F43" i="5"/>
  <c r="F32" i="5"/>
  <c r="J32" i="5" s="1"/>
  <c r="D56" i="5"/>
  <c r="D64" i="5"/>
  <c r="E71" i="5"/>
  <c r="H71" i="5" s="1"/>
  <c r="F54" i="5"/>
  <c r="D57" i="5"/>
  <c r="E72" i="5"/>
  <c r="H72" i="5" s="1"/>
  <c r="F58" i="5"/>
  <c r="D53" i="5"/>
  <c r="F78" i="5"/>
  <c r="F8" i="5"/>
  <c r="F36" i="5"/>
  <c r="D46" i="5"/>
  <c r="D19" i="5"/>
  <c r="D5" i="5"/>
  <c r="D17" i="5"/>
  <c r="F18" i="5"/>
  <c r="J18" i="5" s="1"/>
  <c r="F41" i="5"/>
  <c r="D24" i="5"/>
  <c r="J24" i="5" s="1"/>
  <c r="D16" i="5"/>
  <c r="D8" i="5"/>
  <c r="E22" i="5"/>
  <c r="E18" i="5"/>
  <c r="H18" i="5" s="1"/>
  <c r="E14" i="5"/>
  <c r="E10" i="5"/>
  <c r="E6" i="5"/>
  <c r="D47" i="5"/>
  <c r="D41" i="5"/>
  <c r="E46" i="5"/>
  <c r="H46" i="5" s="1"/>
  <c r="E47" i="5"/>
  <c r="E43" i="5"/>
  <c r="E41" i="5"/>
  <c r="E32" i="5"/>
  <c r="H32" i="5" s="1"/>
  <c r="F56" i="5"/>
  <c r="F63" i="5"/>
  <c r="E54" i="5"/>
  <c r="F61" i="5"/>
  <c r="E58" i="5"/>
  <c r="F68" i="5"/>
  <c r="E78" i="5"/>
  <c r="F48" i="5"/>
  <c r="D20" i="5"/>
  <c r="D23" i="5"/>
  <c r="D15" i="5"/>
  <c r="J15" i="5" s="1"/>
  <c r="D7" i="5"/>
  <c r="H7" i="5" s="1"/>
  <c r="F21" i="5"/>
  <c r="J21" i="5" s="1"/>
  <c r="F17" i="5"/>
  <c r="F13" i="5"/>
  <c r="J13" i="5" s="1"/>
  <c r="F9" i="5"/>
  <c r="F5" i="5"/>
  <c r="D38" i="5"/>
  <c r="D34" i="5"/>
  <c r="F44" i="5"/>
  <c r="F38" i="5"/>
  <c r="F42" i="5"/>
  <c r="F34" i="5"/>
  <c r="F31" i="5"/>
  <c r="E56" i="5"/>
  <c r="E63" i="5"/>
  <c r="F55" i="5"/>
  <c r="D54" i="5"/>
  <c r="J54" i="5" s="1"/>
  <c r="E61" i="5"/>
  <c r="F69" i="5"/>
  <c r="D58" i="5"/>
  <c r="E68" i="5"/>
  <c r="D79" i="5"/>
  <c r="D9" i="5"/>
  <c r="D22" i="5"/>
  <c r="D14" i="5"/>
  <c r="J14" i="5" s="1"/>
  <c r="D6" i="5"/>
  <c r="J6" i="5" s="1"/>
  <c r="E17" i="5"/>
  <c r="E13" i="5"/>
  <c r="H13" i="5" s="1"/>
  <c r="E38" i="5"/>
  <c r="E34" i="5"/>
  <c r="E55" i="5"/>
  <c r="F67" i="5"/>
  <c r="E69" i="5"/>
  <c r="F66" i="5"/>
  <c r="F79" i="5"/>
  <c r="D77" i="5"/>
  <c r="I61" i="7"/>
  <c r="H56" i="7"/>
  <c r="F26" i="2"/>
  <c r="H69" i="7"/>
  <c r="H72" i="7"/>
  <c r="J69" i="7"/>
  <c r="H78" i="7"/>
  <c r="J78" i="7"/>
  <c r="J79" i="7"/>
  <c r="H79" i="7"/>
  <c r="H53" i="7"/>
  <c r="I42" i="7"/>
  <c r="H29" i="7"/>
  <c r="H46" i="7"/>
  <c r="J45" i="7"/>
  <c r="J37" i="7"/>
  <c r="H44" i="7"/>
  <c r="H21" i="7"/>
  <c r="H13" i="7"/>
  <c r="J10" i="7"/>
  <c r="H20" i="7"/>
  <c r="H19" i="7"/>
  <c r="J20" i="7"/>
  <c r="J19" i="7"/>
  <c r="H10" i="7"/>
  <c r="H5" i="7"/>
  <c r="H22" i="7"/>
  <c r="J22" i="7"/>
  <c r="J5" i="7"/>
  <c r="H8" i="7"/>
  <c r="J7" i="7"/>
  <c r="J12" i="7"/>
  <c r="J17" i="7"/>
  <c r="J24" i="7"/>
  <c r="J35" i="7"/>
  <c r="H40" i="7"/>
  <c r="J42" i="7"/>
  <c r="H45" i="7"/>
  <c r="H47" i="7"/>
  <c r="J53" i="7"/>
  <c r="H60" i="7"/>
  <c r="H62" i="7"/>
  <c r="J64" i="7"/>
  <c r="J66" i="7"/>
  <c r="H71" i="7"/>
  <c r="J77" i="7"/>
  <c r="I77" i="7"/>
  <c r="H18" i="7"/>
  <c r="I22" i="7"/>
  <c r="H36" i="7"/>
  <c r="I40" i="7"/>
  <c r="H54" i="7"/>
  <c r="I60" i="7"/>
  <c r="I62" i="7"/>
  <c r="H67" i="7"/>
  <c r="I8" i="7"/>
  <c r="J18" i="7"/>
  <c r="I20" i="7"/>
  <c r="J29" i="7"/>
  <c r="H34" i="7"/>
  <c r="J36" i="7"/>
  <c r="I38" i="7"/>
  <c r="H41" i="7"/>
  <c r="H43" i="7"/>
  <c r="H48" i="7"/>
  <c r="J54" i="7"/>
  <c r="I56" i="7"/>
  <c r="I58" i="7"/>
  <c r="H61" i="7"/>
  <c r="H65" i="7"/>
  <c r="J67" i="7"/>
  <c r="I69" i="7"/>
  <c r="H16" i="7"/>
  <c r="I18" i="7"/>
  <c r="J34" i="7"/>
  <c r="I36" i="7"/>
  <c r="J43" i="7"/>
  <c r="J48" i="7"/>
  <c r="I54" i="7"/>
  <c r="J65" i="7"/>
  <c r="H6" i="7"/>
  <c r="H23" i="7"/>
  <c r="J11" i="7"/>
  <c r="H14" i="7"/>
  <c r="J16" i="7"/>
  <c r="J23" i="7"/>
  <c r="H30" i="7"/>
  <c r="J32" i="7"/>
  <c r="I34" i="7"/>
  <c r="H37" i="7"/>
  <c r="H39" i="7"/>
  <c r="J41" i="7"/>
  <c r="J46" i="7"/>
  <c r="I48" i="7"/>
  <c r="H59" i="7"/>
  <c r="J61" i="7"/>
  <c r="J63" i="7"/>
  <c r="I65" i="7"/>
  <c r="H68" i="7"/>
  <c r="H70" i="7"/>
  <c r="I72" i="7"/>
  <c r="J13" i="7"/>
  <c r="J14" i="7"/>
  <c r="J21" i="7"/>
  <c r="J30" i="7"/>
  <c r="I32" i="7"/>
  <c r="J39" i="7"/>
  <c r="I46" i="7"/>
  <c r="J59" i="7"/>
  <c r="J68" i="7"/>
  <c r="I10" i="7"/>
  <c r="H11" i="7"/>
  <c r="H7" i="7"/>
  <c r="H12" i="7"/>
  <c r="I14" i="7"/>
  <c r="H24" i="7"/>
  <c r="I30" i="7"/>
  <c r="H35" i="7"/>
  <c r="H42" i="7"/>
  <c r="H64" i="7"/>
  <c r="H66" i="7"/>
  <c r="I68" i="7"/>
  <c r="H77" i="7"/>
  <c r="I66" i="7"/>
  <c r="I70" i="7"/>
  <c r="I78" i="7"/>
  <c r="I13" i="7"/>
  <c r="I29" i="7"/>
  <c r="I33" i="7"/>
  <c r="I45" i="7"/>
  <c r="I5" i="7"/>
  <c r="I17" i="7"/>
  <c r="I21" i="7"/>
  <c r="I37" i="7"/>
  <c r="I41" i="7"/>
  <c r="I53" i="7"/>
  <c r="J9" i="7"/>
  <c r="I16" i="7"/>
  <c r="I12" i="7"/>
  <c r="I24" i="7"/>
  <c r="I44" i="7"/>
  <c r="J8" i="7"/>
  <c r="I43" i="7"/>
  <c r="I47" i="7"/>
  <c r="I55" i="7"/>
  <c r="I59" i="7"/>
  <c r="I63" i="7"/>
  <c r="I67" i="7"/>
  <c r="I71" i="7"/>
  <c r="I79" i="7"/>
  <c r="I7" i="7"/>
  <c r="I11" i="7"/>
  <c r="I15" i="7"/>
  <c r="I19" i="7"/>
  <c r="I23" i="7"/>
  <c r="I31" i="7"/>
  <c r="I35" i="7"/>
  <c r="I39" i="7"/>
  <c r="I33" i="5"/>
  <c r="J60" i="5"/>
  <c r="I21" i="5"/>
  <c r="H70" i="5"/>
  <c r="I62" i="5"/>
  <c r="J6" i="2"/>
  <c r="K6" i="2" s="1"/>
  <c r="J21" i="2"/>
  <c r="J13" i="2"/>
  <c r="K13" i="2" s="1"/>
  <c r="J20" i="2"/>
  <c r="J12" i="2"/>
  <c r="J5" i="2"/>
  <c r="J19" i="2"/>
  <c r="J11" i="2"/>
  <c r="J18" i="2"/>
  <c r="J10" i="2"/>
  <c r="K10" i="2" s="1"/>
  <c r="J17" i="2"/>
  <c r="K17" i="2" s="1"/>
  <c r="J9" i="2"/>
  <c r="J24" i="2"/>
  <c r="J16" i="2"/>
  <c r="J8" i="2"/>
  <c r="J23" i="2"/>
  <c r="J15" i="2"/>
  <c r="J7" i="2"/>
  <c r="J22" i="2"/>
  <c r="J14" i="2"/>
  <c r="K14" i="2" s="1"/>
  <c r="E26" i="2"/>
  <c r="D26" i="2"/>
  <c r="K22" i="2" l="1"/>
  <c r="K7" i="2"/>
  <c r="K9" i="2"/>
  <c r="K20" i="2"/>
  <c r="K18" i="2"/>
  <c r="K24" i="2"/>
  <c r="K12" i="2"/>
  <c r="K21" i="2"/>
  <c r="K23" i="2"/>
  <c r="K11" i="2"/>
  <c r="K8" i="2"/>
  <c r="K19" i="2"/>
  <c r="K15" i="2"/>
  <c r="K16" i="2"/>
  <c r="J69" i="5"/>
  <c r="I44" i="5"/>
  <c r="H8" i="5"/>
  <c r="H33" i="5"/>
  <c r="J8" i="5"/>
  <c r="J33" i="5"/>
  <c r="J7" i="5"/>
  <c r="I15" i="5"/>
  <c r="J31" i="5"/>
  <c r="J9" i="5"/>
  <c r="I35" i="5"/>
  <c r="H58" i="5"/>
  <c r="W8" i="9"/>
  <c r="J48" i="5"/>
  <c r="I64" i="5"/>
  <c r="H48" i="5"/>
  <c r="I46" i="5"/>
  <c r="H5" i="5"/>
  <c r="H66" i="5"/>
  <c r="J37" i="5"/>
  <c r="J64" i="5"/>
  <c r="I5" i="5"/>
  <c r="H20" i="5"/>
  <c r="H41" i="5"/>
  <c r="I58" i="5"/>
  <c r="I29" i="5"/>
  <c r="H37" i="5"/>
  <c r="J46" i="5"/>
  <c r="J29" i="5"/>
  <c r="J39" i="5"/>
  <c r="I37" i="5"/>
  <c r="J36" i="5"/>
  <c r="I45" i="5"/>
  <c r="H55" i="5"/>
  <c r="H9" i="5"/>
  <c r="I8" i="5"/>
  <c r="J12" i="5"/>
  <c r="H56" i="5"/>
  <c r="H64" i="5"/>
  <c r="J56" i="5"/>
  <c r="J66" i="5"/>
  <c r="I72" i="5"/>
  <c r="I18" i="5"/>
  <c r="H24" i="5"/>
  <c r="I30" i="5"/>
  <c r="H44" i="5"/>
  <c r="H42" i="5"/>
  <c r="I60" i="5"/>
  <c r="I20" i="5"/>
  <c r="J30" i="5"/>
  <c r="J62" i="5"/>
  <c r="I39" i="5"/>
  <c r="H57" i="5"/>
  <c r="H35" i="5"/>
  <c r="H22" i="5"/>
  <c r="I12" i="5"/>
  <c r="J41" i="5"/>
  <c r="H39" i="5"/>
  <c r="I34" i="5"/>
  <c r="H17" i="5"/>
  <c r="I48" i="5"/>
  <c r="I41" i="5"/>
  <c r="I32" i="5"/>
  <c r="I31" i="5"/>
  <c r="B23" i="8"/>
  <c r="B66" i="8"/>
  <c r="I69" i="5"/>
  <c r="I55" i="5"/>
  <c r="B42" i="8"/>
  <c r="B38" i="8"/>
  <c r="B34" i="8"/>
  <c r="B70" i="8"/>
  <c r="B33" i="8"/>
  <c r="B61" i="8"/>
  <c r="B48" i="8"/>
  <c r="B72" i="8"/>
  <c r="B11" i="8"/>
  <c r="B62" i="8"/>
  <c r="B30" i="8"/>
  <c r="B35" i="8"/>
  <c r="B44" i="8"/>
  <c r="W8" i="8" s="1"/>
  <c r="B55" i="8"/>
  <c r="B32" i="8"/>
  <c r="B19" i="8"/>
  <c r="B29" i="8"/>
  <c r="B21" i="8"/>
  <c r="B71" i="8"/>
  <c r="B17" i="8"/>
  <c r="B69" i="8"/>
  <c r="B41" i="8"/>
  <c r="B13" i="8"/>
  <c r="B20" i="8"/>
  <c r="B12" i="8"/>
  <c r="B15" i="8"/>
  <c r="V8" i="8" s="1"/>
  <c r="B60" i="8"/>
  <c r="B24" i="8"/>
  <c r="B59" i="8"/>
  <c r="B47" i="8"/>
  <c r="B5" i="8"/>
  <c r="B22" i="8"/>
  <c r="B18" i="8"/>
  <c r="B45" i="8"/>
  <c r="B58" i="8"/>
  <c r="B7" i="8"/>
  <c r="B53" i="8"/>
  <c r="B65" i="8"/>
  <c r="B8" i="8"/>
  <c r="B63" i="8"/>
  <c r="B36" i="8"/>
  <c r="B40" i="8"/>
  <c r="B14" i="8"/>
  <c r="B10" i="8"/>
  <c r="B37" i="8"/>
  <c r="B68" i="8"/>
  <c r="B16" i="8"/>
  <c r="B57" i="8"/>
  <c r="B67" i="8"/>
  <c r="B39" i="8"/>
  <c r="B9" i="8"/>
  <c r="B6" i="8"/>
  <c r="B46" i="8"/>
  <c r="B43" i="8"/>
  <c r="B64" i="8"/>
  <c r="B56" i="8"/>
  <c r="B54" i="8"/>
  <c r="X8" i="8" s="1"/>
  <c r="B31" i="8"/>
  <c r="H34" i="5"/>
  <c r="H54" i="5"/>
  <c r="J22" i="5"/>
  <c r="I57" i="5"/>
  <c r="J10" i="5"/>
  <c r="I10" i="5"/>
  <c r="I54" i="5"/>
  <c r="J44" i="5"/>
  <c r="H15" i="5"/>
  <c r="J34" i="5"/>
  <c r="J58" i="5"/>
  <c r="I22" i="5"/>
  <c r="J57" i="5"/>
  <c r="H30" i="5"/>
  <c r="H6" i="5"/>
  <c r="J5" i="5"/>
  <c r="I66" i="5"/>
  <c r="J20" i="5"/>
  <c r="H69" i="5"/>
  <c r="I56" i="5"/>
  <c r="I17" i="5"/>
  <c r="I13" i="5"/>
  <c r="I6" i="5"/>
  <c r="J71" i="5"/>
  <c r="I63" i="5"/>
  <c r="I71" i="5"/>
  <c r="I9" i="5"/>
  <c r="I14" i="5"/>
  <c r="J17" i="5"/>
  <c r="J70" i="5"/>
  <c r="I40" i="5"/>
  <c r="J19" i="5"/>
  <c r="H67" i="5"/>
  <c r="H40" i="5"/>
  <c r="I67" i="5"/>
  <c r="J40" i="5"/>
  <c r="H10" i="5"/>
  <c r="J79" i="5"/>
  <c r="H19" i="5"/>
  <c r="J67" i="5"/>
  <c r="H78" i="5"/>
  <c r="H63" i="5"/>
  <c r="J23" i="5"/>
  <c r="J63" i="5"/>
  <c r="J61" i="5"/>
  <c r="I61" i="5"/>
  <c r="J53" i="5"/>
  <c r="H53" i="5"/>
  <c r="H65" i="5"/>
  <c r="J65" i="5"/>
  <c r="I19" i="5"/>
  <c r="I65" i="5"/>
  <c r="I53" i="5"/>
  <c r="J38" i="5"/>
  <c r="H79" i="5"/>
  <c r="H16" i="5"/>
  <c r="I23" i="5"/>
  <c r="I11" i="5"/>
  <c r="J11" i="5"/>
  <c r="H11" i="5"/>
  <c r="I47" i="5"/>
  <c r="I36" i="5"/>
  <c r="H36" i="5"/>
  <c r="J47" i="5"/>
  <c r="H14" i="5"/>
  <c r="H23" i="5"/>
  <c r="H47" i="5"/>
  <c r="J43" i="5"/>
  <c r="H43" i="5"/>
  <c r="I42" i="5"/>
  <c r="H68" i="5"/>
  <c r="J16" i="5"/>
  <c r="I68" i="5"/>
  <c r="H77" i="5"/>
  <c r="J68" i="5"/>
  <c r="J77" i="5"/>
  <c r="I43" i="5"/>
  <c r="H61" i="5"/>
  <c r="J42" i="5"/>
  <c r="H59" i="5"/>
  <c r="J59" i="5"/>
  <c r="I78" i="5"/>
  <c r="H38" i="5"/>
  <c r="I77" i="5"/>
  <c r="I38" i="5"/>
  <c r="I59" i="5"/>
  <c r="J55" i="5"/>
  <c r="I16" i="5"/>
  <c r="J78" i="5"/>
  <c r="I79" i="5"/>
</calcChain>
</file>

<file path=xl/sharedStrings.xml><?xml version="1.0" encoding="utf-8"?>
<sst xmlns="http://purl.oclc.org/ooxml/spreadsheetml/main" count="7964" uniqueCount="701">
  <si>
    <t>Artist Name</t>
  </si>
  <si>
    <t>Country</t>
  </si>
  <si>
    <t>Genre</t>
  </si>
  <si>
    <t>Label</t>
  </si>
  <si>
    <t>Viberate Rank</t>
  </si>
  <si>
    <t>Spotify Rank</t>
  </si>
  <si>
    <t>Spotify Followers Total</t>
  </si>
  <si>
    <t>Spotify Streams Total</t>
  </si>
  <si>
    <t>Spotify Monthly Listeners Total</t>
  </si>
  <si>
    <t>Spotify Playlist Reach Total</t>
  </si>
  <si>
    <t>YouTube Rank</t>
  </si>
  <si>
    <t>YouTube Subscribers Total</t>
  </si>
  <si>
    <t>YouTube Views Total</t>
  </si>
  <si>
    <t>YouTube Likes Total</t>
  </si>
  <si>
    <t>Social Rank</t>
  </si>
  <si>
    <t>TikTok Followers Total</t>
  </si>
  <si>
    <t>Instagram Followers Total</t>
  </si>
  <si>
    <t>Facebook Followers Total</t>
  </si>
  <si>
    <t>Deezer Fans Total</t>
  </si>
  <si>
    <t>SoundCloud Followers Total</t>
  </si>
  <si>
    <t>Radio Airplay Rank</t>
  </si>
  <si>
    <t>Beatport Rank</t>
  </si>
  <si>
    <t>Beatport Tracks Total</t>
  </si>
  <si>
    <t>Beatport Tracks in Top 100 Total</t>
  </si>
  <si>
    <t>Beatport Days in Top 100 Total</t>
  </si>
  <si>
    <t>Beatport Track Performance Points Total</t>
  </si>
  <si>
    <t>Kabza De Small</t>
  </si>
  <si>
    <t>South Africa</t>
  </si>
  <si>
    <t>Electronic</t>
  </si>
  <si>
    <t>Big Indie Labels, Universal Music Group, Sony Music Entertainment, Warner Music Group</t>
  </si>
  <si>
    <t>Kelvin Momo</t>
  </si>
  <si>
    <t>N/A</t>
  </si>
  <si>
    <t>DJ Maphorisa</t>
  </si>
  <si>
    <t>Big Indie Labels, Sony Music Entertainment, Universal Music Group, Warner Music Group</t>
  </si>
  <si>
    <t>Zinoleesky</t>
  </si>
  <si>
    <t>Nigeria</t>
  </si>
  <si>
    <t>African</t>
  </si>
  <si>
    <t>Big Indie Labels, Universal Music Group</t>
  </si>
  <si>
    <t>MaWhoo</t>
  </si>
  <si>
    <t>Mr JazziQ</t>
  </si>
  <si>
    <t>Big Indie Labels, Warner Music Group</t>
  </si>
  <si>
    <t>Mellow &amp; Sleazy</t>
  </si>
  <si>
    <t>Young Stunna</t>
  </si>
  <si>
    <t>Dlala Thukzin</t>
  </si>
  <si>
    <t>Universal Music Group, Big Indie Labels</t>
  </si>
  <si>
    <t>Scotts Maphuma</t>
  </si>
  <si>
    <t>Big Indie Labels</t>
  </si>
  <si>
    <t>Aymos</t>
  </si>
  <si>
    <t>Universal Music Group, Big Indie Labels, Sony Music Entertainment</t>
  </si>
  <si>
    <t>Zee Nxumalo</t>
  </si>
  <si>
    <t>Big Indie Labels, Universal Music Group, Warner Music Group, Sony Music Entertainment</t>
  </si>
  <si>
    <t>De Mthuda</t>
  </si>
  <si>
    <t>Makhadzi</t>
  </si>
  <si>
    <t>Big Indie Labels, Warner Music Group, Universal Music Group</t>
  </si>
  <si>
    <t>DJ Stokie</t>
  </si>
  <si>
    <t>Universal Music Group, Big Indie Labels, Warner Music Group</t>
  </si>
  <si>
    <t>Uncle Waffles</t>
  </si>
  <si>
    <t>Big Indie Labels, Sony Music Entertainment</t>
  </si>
  <si>
    <t>Focalistic</t>
  </si>
  <si>
    <t>Babalwa M</t>
  </si>
  <si>
    <t>Tyler ICU</t>
  </si>
  <si>
    <t>Daliwonga</t>
  </si>
  <si>
    <t>Big Indie Labels, Sony Music Entertainment, Universal Music Group</t>
  </si>
  <si>
    <t>Cassper Nyovest</t>
  </si>
  <si>
    <t>Busta 929</t>
  </si>
  <si>
    <t>Sam Deep</t>
  </si>
  <si>
    <t>Mas Musiq</t>
  </si>
  <si>
    <t>Felo le Tee</t>
  </si>
  <si>
    <t>Sony Music Entertainment, Warner Music Group, Big Indie Labels, Universal Music Group</t>
  </si>
  <si>
    <t>Boohle</t>
  </si>
  <si>
    <t>Universal Music Group, Big Indie Labels, Warner Music Group, Sony Music Entertainment</t>
  </si>
  <si>
    <t>Sir Trill</t>
  </si>
  <si>
    <t>Big Indie Labels, Universal Music Group, Sony Music Entertainment</t>
  </si>
  <si>
    <t>DBN GOGO</t>
  </si>
  <si>
    <t>Samthing Soweto</t>
  </si>
  <si>
    <t>LeeMcKrazy</t>
  </si>
  <si>
    <t>Shebeshxt</t>
  </si>
  <si>
    <t>Hip Hop</t>
  </si>
  <si>
    <t>Blxckie</t>
  </si>
  <si>
    <t>Sun-EL Musician</t>
  </si>
  <si>
    <t>Nkosazana Daughter</t>
  </si>
  <si>
    <t>Vigro Deep</t>
  </si>
  <si>
    <t>Ami Faku</t>
  </si>
  <si>
    <t>R&amp;B</t>
  </si>
  <si>
    <t>Universal Music Group, Big Indie Labels, Sony Music Entertainment, Warner Music Group</t>
  </si>
  <si>
    <t>Major League DJz</t>
  </si>
  <si>
    <t>Big Indie Labels, Warner Music Group, Universal Music Group, Sony Music Entertainment, BMG</t>
  </si>
  <si>
    <t>Soa Mattrix</t>
  </si>
  <si>
    <t>Njelic</t>
  </si>
  <si>
    <t>Bassie</t>
  </si>
  <si>
    <t>Pabi Cooper</t>
  </si>
  <si>
    <t>Pcee</t>
  </si>
  <si>
    <t>Musa Keys</t>
  </si>
  <si>
    <t>Reece Madlisa</t>
  </si>
  <si>
    <t>Famous Pluto</t>
  </si>
  <si>
    <t>Other Indie / Unsigned</t>
  </si>
  <si>
    <t>Kamo Mphela</t>
  </si>
  <si>
    <t>Simmy</t>
  </si>
  <si>
    <t>Universal Music Group, Big Indie Labels, Sony Music Entertainment, BMG, Warner Music Group</t>
  </si>
  <si>
    <t>K.O</t>
  </si>
  <si>
    <t>Murumba Pitch</t>
  </si>
  <si>
    <t>Universal Music Group, Sony Music Entertainment, Big Indie Labels, Warner Music Group</t>
  </si>
  <si>
    <t>Master KG</t>
  </si>
  <si>
    <t>Warner Music Group, Big Indie Labels, Sony Music Entertainment</t>
  </si>
  <si>
    <t>Makhadzi Entertainment</t>
  </si>
  <si>
    <t>King Monada</t>
  </si>
  <si>
    <t>DJ Tira</t>
  </si>
  <si>
    <t>Sha Sha</t>
  </si>
  <si>
    <t>Shakes &amp; Les</t>
  </si>
  <si>
    <t>Big Indie Labels, Warner Music Group, Sony Music Entertainment, Universal Music Group</t>
  </si>
  <si>
    <t>Tman Xpress</t>
  </si>
  <si>
    <t>Gaba Cannal</t>
  </si>
  <si>
    <t>Da Muziqal Chef</t>
  </si>
  <si>
    <t>Universal Music Group, Sony Music Entertainment, Big Indie Labels</t>
  </si>
  <si>
    <t>Mdu a.k.a Trp</t>
  </si>
  <si>
    <t>MFR Souls</t>
  </si>
  <si>
    <t>Mthunzi</t>
  </si>
  <si>
    <t>Myztro</t>
  </si>
  <si>
    <t>Sony Music Entertainment, Big Indie Labels</t>
  </si>
  <si>
    <t>Jazzidisciples</t>
  </si>
  <si>
    <t>Heavy-K</t>
  </si>
  <si>
    <t>Xduppy</t>
  </si>
  <si>
    <t>Ch'cco</t>
  </si>
  <si>
    <t>Stixx</t>
  </si>
  <si>
    <t>CowBoii</t>
  </si>
  <si>
    <t>Justin99</t>
  </si>
  <si>
    <t>Lady Du</t>
  </si>
  <si>
    <t>Dj Melzi</t>
  </si>
  <si>
    <t>Russell Zuma</t>
  </si>
  <si>
    <t>Josiah De Disciple</t>
  </si>
  <si>
    <t>Cici</t>
  </si>
  <si>
    <t>Pop</t>
  </si>
  <si>
    <t>Universal Music Group</t>
  </si>
  <si>
    <t>Eemoh</t>
  </si>
  <si>
    <t>Thatohatsi</t>
  </si>
  <si>
    <t>Smur Lee</t>
  </si>
  <si>
    <t>Semi Tee</t>
  </si>
  <si>
    <t>Azana</t>
  </si>
  <si>
    <t>Big Indie Labels, Universal Music Group, Warner Music Group</t>
  </si>
  <si>
    <t>Msaki</t>
  </si>
  <si>
    <t>TOSS</t>
  </si>
  <si>
    <t>Ayox</t>
  </si>
  <si>
    <t>Ntate Stunna</t>
  </si>
  <si>
    <t>Officixl Rsa</t>
  </si>
  <si>
    <t>Offcixl RSA</t>
  </si>
  <si>
    <t>Nandipha808</t>
  </si>
  <si>
    <t>Khanyisa</t>
  </si>
  <si>
    <t>Big Indie Labels, Warner Music Group, Universal Music Group, Sony Music Entertainment</t>
  </si>
  <si>
    <t>Shaunmusiq</t>
  </si>
  <si>
    <t>TXC</t>
  </si>
  <si>
    <t>Ntokzin</t>
  </si>
  <si>
    <t>Zuma</t>
  </si>
  <si>
    <t>TitoM</t>
  </si>
  <si>
    <t>Big Indie Labels, Sony Music Entertainment, Warner Music Group, Universal Music Group</t>
  </si>
  <si>
    <t>Harrycane</t>
  </si>
  <si>
    <t>Mashudu</t>
  </si>
  <si>
    <t>DJ Zinhle</t>
  </si>
  <si>
    <t>Tony Dayimane</t>
  </si>
  <si>
    <t>Bandros</t>
  </si>
  <si>
    <t>Royal MusiQ</t>
  </si>
  <si>
    <t>Shimza</t>
  </si>
  <si>
    <t>Kwiish SA</t>
  </si>
  <si>
    <t>Visca</t>
  </si>
  <si>
    <t>DJ Sumbody</t>
  </si>
  <si>
    <t>TNK MusiQ</t>
  </si>
  <si>
    <t>Kidd Carder</t>
  </si>
  <si>
    <t>Tshego</t>
  </si>
  <si>
    <t>Amu classic</t>
  </si>
  <si>
    <t>Zan'Ten</t>
  </si>
  <si>
    <t>Rethabile Khumalo</t>
  </si>
  <si>
    <t>Anatii</t>
  </si>
  <si>
    <t>DJ Obza</t>
  </si>
  <si>
    <t>2Point1</t>
  </si>
  <si>
    <t>DJ Kent</t>
  </si>
  <si>
    <t>Mi Casa</t>
  </si>
  <si>
    <t>Universal Music Group, Warner Music Group</t>
  </si>
  <si>
    <t>DJ Ganyani</t>
  </si>
  <si>
    <t>Liquideep</t>
  </si>
  <si>
    <t>Dj Karri</t>
  </si>
  <si>
    <t>ShaunMusiq &amp; Ftears</t>
  </si>
  <si>
    <t>Dj YK Beats fka Dj Yk Mule</t>
  </si>
  <si>
    <t>Loatinover Pounds</t>
  </si>
  <si>
    <t>Mpura</t>
  </si>
  <si>
    <t>Mr Thela</t>
  </si>
  <si>
    <t>OSKIDO</t>
  </si>
  <si>
    <t>Sony Music Entertainment, Universal Music Group, Big Indie Labels</t>
  </si>
  <si>
    <t>Mhaw Keys</t>
  </si>
  <si>
    <t>Big Indie Labels, Sony Music Entertainment, Warner Music Group</t>
  </si>
  <si>
    <t>Mfana Kah Gogo</t>
  </si>
  <si>
    <t>Nobuhle</t>
  </si>
  <si>
    <t>Mick Man</t>
  </si>
  <si>
    <t>Sfarzo Rtee</t>
  </si>
  <si>
    <t>UNLIMITED SOUL</t>
  </si>
  <si>
    <t>Tycoon</t>
  </si>
  <si>
    <t>Universal Music Group, Warner Music Group, Sony Music Entertainment, Big Indie Labels</t>
  </si>
  <si>
    <t>Nkulee501</t>
  </si>
  <si>
    <t>Cyfred</t>
  </si>
  <si>
    <t>Deep London</t>
  </si>
  <si>
    <t>The Lowkeys</t>
  </si>
  <si>
    <t>Djy Biza</t>
  </si>
  <si>
    <t>Tee Jay</t>
  </si>
  <si>
    <t>Paige</t>
  </si>
  <si>
    <t>Nia Pearl</t>
  </si>
  <si>
    <t>Killer Kau</t>
  </si>
  <si>
    <t>Prince Benza</t>
  </si>
  <si>
    <t>NaakMusiQ</t>
  </si>
  <si>
    <t>Big Fearless</t>
  </si>
  <si>
    <t>Ice Beats Slide</t>
  </si>
  <si>
    <t>Djy Zan SA</t>
  </si>
  <si>
    <t>Blaq Major</t>
  </si>
  <si>
    <t>SjavasDaDeejay</t>
  </si>
  <si>
    <t>Mvzzle</t>
  </si>
  <si>
    <t>Sdala B</t>
  </si>
  <si>
    <t>Nvcho</t>
  </si>
  <si>
    <t>Da Capo</t>
  </si>
  <si>
    <t>EeQue</t>
  </si>
  <si>
    <t>Ceeka RSA</t>
  </si>
  <si>
    <t>Yumbs</t>
  </si>
  <si>
    <t>W4DE</t>
  </si>
  <si>
    <t>Bukzin Keyz</t>
  </si>
  <si>
    <t>Botswana</t>
  </si>
  <si>
    <t>DJ Tshegu</t>
  </si>
  <si>
    <t>BigBaller_Ceo</t>
  </si>
  <si>
    <t>Al Xapo</t>
  </si>
  <si>
    <t>Costa Titch</t>
  </si>
  <si>
    <t>Warner Music Group, Universal Music Group, Big Indie Labels, Sony Music Entertainment</t>
  </si>
  <si>
    <t>Kweyama Brothers</t>
  </si>
  <si>
    <t>Q-Mark X TpZee X Afriikan Papi</t>
  </si>
  <si>
    <t>Dj Twise</t>
  </si>
  <si>
    <t>Robot Boii</t>
  </si>
  <si>
    <t>031CHOPPA</t>
  </si>
  <si>
    <t>Sizwe Alakine</t>
  </si>
  <si>
    <t>2woBunnies</t>
  </si>
  <si>
    <t>Pistole Gwijo</t>
  </si>
  <si>
    <t>Kvng Vinci</t>
  </si>
  <si>
    <t>uLazi</t>
  </si>
  <si>
    <t>Loxion Deep</t>
  </si>
  <si>
    <t>Abidoza</t>
  </si>
  <si>
    <t>Khalil Harrison</t>
  </si>
  <si>
    <t>Chley</t>
  </si>
  <si>
    <t>Thabza Tee</t>
  </si>
  <si>
    <t>DJ Ngwazi</t>
  </si>
  <si>
    <t>Lowsheen</t>
  </si>
  <si>
    <t>ThackzinDJ</t>
  </si>
  <si>
    <t>Mr Brown</t>
  </si>
  <si>
    <t>Dlala Regal</t>
  </si>
  <si>
    <t>Konke</t>
  </si>
  <si>
    <t>Dr Malinga</t>
  </si>
  <si>
    <t>Fezeka Dlamini</t>
  </si>
  <si>
    <t>Trompies</t>
  </si>
  <si>
    <t>Dj consequence</t>
  </si>
  <si>
    <t>Omit ST</t>
  </si>
  <si>
    <t>Cairo CPT</t>
  </si>
  <si>
    <t>Major Keys</t>
  </si>
  <si>
    <t>Pushkin RSA</t>
  </si>
  <si>
    <t>Masterpiece YVK</t>
  </si>
  <si>
    <t>Lady Amar</t>
  </si>
  <si>
    <t>Muziqal Tone</t>
  </si>
  <si>
    <t>9Umba</t>
  </si>
  <si>
    <t>TNS</t>
  </si>
  <si>
    <t>Yuppe</t>
  </si>
  <si>
    <t>MKeyz</t>
  </si>
  <si>
    <t>Djy Ma'Ten</t>
  </si>
  <si>
    <t>Sia_TheBee</t>
  </si>
  <si>
    <t>Killorbeezbeatz</t>
  </si>
  <si>
    <t>DJ Merlon</t>
  </si>
  <si>
    <t>BMG</t>
  </si>
  <si>
    <t>Jay Music</t>
  </si>
  <si>
    <t>Shaun101</t>
  </si>
  <si>
    <t>Tumelo_za</t>
  </si>
  <si>
    <t>TBO</t>
  </si>
  <si>
    <t>LastbornDiroba</t>
  </si>
  <si>
    <t>Blaqnick</t>
  </si>
  <si>
    <t>DJ Mshega</t>
  </si>
  <si>
    <t>Blissbouy</t>
  </si>
  <si>
    <t>Culoe De Song</t>
  </si>
  <si>
    <t>Macg</t>
  </si>
  <si>
    <t>Sushi.b</t>
  </si>
  <si>
    <t>Kaygee Daking</t>
  </si>
  <si>
    <t>Dinky Kunene</t>
  </si>
  <si>
    <t>Freddy K</t>
  </si>
  <si>
    <t>Zeze Kingston</t>
  </si>
  <si>
    <t>BIGKHALID</t>
  </si>
  <si>
    <t>Romeo Makota</t>
  </si>
  <si>
    <t>Zaba</t>
  </si>
  <si>
    <t>Deep Sen</t>
  </si>
  <si>
    <t>DrummeRTee924</t>
  </si>
  <si>
    <t>Uncool MC</t>
  </si>
  <si>
    <t>Caltonic SA</t>
  </si>
  <si>
    <t>Daano</t>
  </si>
  <si>
    <t>Leehleza</t>
  </si>
  <si>
    <t>Sinny Man'Que</t>
  </si>
  <si>
    <t>Sami'Kay</t>
  </si>
  <si>
    <t>Seun1401</t>
  </si>
  <si>
    <t>Thakzin</t>
  </si>
  <si>
    <t>Big Indie Labels, Universal Music Group, BMG, Sony Music Entertainment</t>
  </si>
  <si>
    <t>Ego Slimflow</t>
  </si>
  <si>
    <t>Sony Music Entertainment, Big Indie Labels, Warner Music Group</t>
  </si>
  <si>
    <t>Makhanj</t>
  </si>
  <si>
    <t>KMAT</t>
  </si>
  <si>
    <t>Casswell P</t>
  </si>
  <si>
    <t>Uncle Vinny</t>
  </si>
  <si>
    <t>Lebza TheVillain</t>
  </si>
  <si>
    <t>Shoes Meister</t>
  </si>
  <si>
    <t>Darque</t>
  </si>
  <si>
    <t>Citizen Deep</t>
  </si>
  <si>
    <t>2woshort</t>
  </si>
  <si>
    <t>Smash SA</t>
  </si>
  <si>
    <t>Mid9t</t>
  </si>
  <si>
    <t>Gusba Banana</t>
  </si>
  <si>
    <t>Sonwabile</t>
  </si>
  <si>
    <t>Bongza</t>
  </si>
  <si>
    <t>Blacko SA</t>
  </si>
  <si>
    <t>Nobantu Vilakazi</t>
  </si>
  <si>
    <t>Reggae</t>
  </si>
  <si>
    <t>Smaki 08</t>
  </si>
  <si>
    <t>MalumNator</t>
  </si>
  <si>
    <t>M.J</t>
  </si>
  <si>
    <t>Tracy</t>
  </si>
  <si>
    <t>071 Nelly The Master Beat</t>
  </si>
  <si>
    <t>DJ Vetkuk</t>
  </si>
  <si>
    <t>Mrnationthingz</t>
  </si>
  <si>
    <t>Ba Bethe Gashoazen</t>
  </si>
  <si>
    <t>Mluusician</t>
  </si>
  <si>
    <t>Rj Kanierra</t>
  </si>
  <si>
    <t>Congo (Republic)</t>
  </si>
  <si>
    <t>Universal Music Group, Sony Music Entertainment</t>
  </si>
  <si>
    <t>Piano City</t>
  </si>
  <si>
    <t>Kappie</t>
  </si>
  <si>
    <t>Goon Flavour</t>
  </si>
  <si>
    <t>S.N.E</t>
  </si>
  <si>
    <t>Vyno Keys</t>
  </si>
  <si>
    <t>DJ KSB</t>
  </si>
  <si>
    <t>Lemon &amp; Herb</t>
  </si>
  <si>
    <t>Sofiya Nzau</t>
  </si>
  <si>
    <t>Kenya</t>
  </si>
  <si>
    <t>Shaun Stylist</t>
  </si>
  <si>
    <t>Warner Music Group</t>
  </si>
  <si>
    <t>Kammu Dee</t>
  </si>
  <si>
    <t>MetroBeatz RSA</t>
  </si>
  <si>
    <t>DJ Khalipha</t>
  </si>
  <si>
    <t>FADA MOTI</t>
  </si>
  <si>
    <t>Malawi</t>
  </si>
  <si>
    <t>Da Mabusa</t>
  </si>
  <si>
    <t>Chris effect</t>
  </si>
  <si>
    <t>Bluenax</t>
  </si>
  <si>
    <t>Alfa Kat</t>
  </si>
  <si>
    <t>LuuDaDeejay</t>
  </si>
  <si>
    <t>William Last KRM</t>
  </si>
  <si>
    <t>Jobe London</t>
  </si>
  <si>
    <t>Seemah</t>
  </si>
  <si>
    <t>Mshayi</t>
  </si>
  <si>
    <t>Maline Aura</t>
  </si>
  <si>
    <t>Outsyd DJ</t>
  </si>
  <si>
    <t>TRESOR</t>
  </si>
  <si>
    <t>Dinho</t>
  </si>
  <si>
    <t>DJ 2EFFECTS</t>
  </si>
  <si>
    <t>Musical Jazz</t>
  </si>
  <si>
    <t>Mthandazo Gatya</t>
  </si>
  <si>
    <t>Happy Jazzman</t>
  </si>
  <si>
    <t>M00tion</t>
  </si>
  <si>
    <t>Nutty Nys</t>
  </si>
  <si>
    <t>Malemon</t>
  </si>
  <si>
    <t>Vibekulture Sa</t>
  </si>
  <si>
    <t>Dooushii</t>
  </si>
  <si>
    <t>Ggoldie</t>
  </si>
  <si>
    <t>Soulful G</t>
  </si>
  <si>
    <t>Cnethemba Gonelo</t>
  </si>
  <si>
    <t>George Lesley</t>
  </si>
  <si>
    <t>Zain Sa</t>
  </si>
  <si>
    <t>Stakev</t>
  </si>
  <si>
    <t>DJ Ace</t>
  </si>
  <si>
    <t>Dj Stoks</t>
  </si>
  <si>
    <t>Ama Grootman</t>
  </si>
  <si>
    <t>Skroef28</t>
  </si>
  <si>
    <t>Fortunator</t>
  </si>
  <si>
    <t>Sizwe Nineteen</t>
  </si>
  <si>
    <t>Tony Duardo</t>
  </si>
  <si>
    <t>DJ Dadaman</t>
  </si>
  <si>
    <t>Emotionz DJ</t>
  </si>
  <si>
    <t>Nthabi Sings</t>
  </si>
  <si>
    <t>JR Player</t>
  </si>
  <si>
    <t>RAFFA GUIDO</t>
  </si>
  <si>
    <t>Switzerland</t>
  </si>
  <si>
    <t>Kususa</t>
  </si>
  <si>
    <t>Universal Music Group, Big Indie Labels, BMG, Sony Music Entertainment</t>
  </si>
  <si>
    <t>Rude Kid Venda</t>
  </si>
  <si>
    <t>Coolkiid</t>
  </si>
  <si>
    <t>Ez Maestro</t>
  </si>
  <si>
    <t>Rea Gopane</t>
  </si>
  <si>
    <t>Loony Q</t>
  </si>
  <si>
    <t>TheFeyiii</t>
  </si>
  <si>
    <t>Djy Vino</t>
  </si>
  <si>
    <t>Mahoota</t>
  </si>
  <si>
    <t>Springle</t>
  </si>
  <si>
    <t>DJ Veek</t>
  </si>
  <si>
    <t>Trechyson Molly vx</t>
  </si>
  <si>
    <t>Dj Fortee</t>
  </si>
  <si>
    <t>Starr Healer</t>
  </si>
  <si>
    <t>Elzo Jamdong</t>
  </si>
  <si>
    <t>Senegal</t>
  </si>
  <si>
    <t>SJE KONKA</t>
  </si>
  <si>
    <t>Beekay da deejay</t>
  </si>
  <si>
    <t>Trappybeats.</t>
  </si>
  <si>
    <t>Kane Keid</t>
  </si>
  <si>
    <t>Hypaphonik</t>
  </si>
  <si>
    <t>Nokwazi Dlamini</t>
  </si>
  <si>
    <t>GROSSOMODDO</t>
  </si>
  <si>
    <t>France</t>
  </si>
  <si>
    <t>Theology HD</t>
  </si>
  <si>
    <t>Bontle Smith</t>
  </si>
  <si>
    <t>The Real Prechly</t>
  </si>
  <si>
    <t>Muzi</t>
  </si>
  <si>
    <t>QuayR Musiq</t>
  </si>
  <si>
    <t>T-MAN SA</t>
  </si>
  <si>
    <t>Warner Music Group, Big Indie Labels</t>
  </si>
  <si>
    <t>S'Villa</t>
  </si>
  <si>
    <t>Hbk Live Act</t>
  </si>
  <si>
    <t>Mickeyblack</t>
  </si>
  <si>
    <t>Mapara A Jazz</t>
  </si>
  <si>
    <t>Bob Mabena</t>
  </si>
  <si>
    <t>Goya Menor</t>
  </si>
  <si>
    <t>Sony Music Entertainment, Big Indie Labels, Universal Music Group</t>
  </si>
  <si>
    <t>Afana Ceez</t>
  </si>
  <si>
    <t>Cuebur</t>
  </si>
  <si>
    <t>Sizwe Mdlalose</t>
  </si>
  <si>
    <t>Temwah</t>
  </si>
  <si>
    <t>Zandimaz</t>
  </si>
  <si>
    <t>Zimbabwe</t>
  </si>
  <si>
    <t>Shino Kikai</t>
  </si>
  <si>
    <t>Dj Fresh (SA)</t>
  </si>
  <si>
    <t>Deejaykgosi</t>
  </si>
  <si>
    <t>George Kipa</t>
  </si>
  <si>
    <t>United Kingdom</t>
  </si>
  <si>
    <t>Sony Music Entertainment, Warner Music Group</t>
  </si>
  <si>
    <t>Egyptian Pharaoh</t>
  </si>
  <si>
    <t>Soul Revolver</t>
  </si>
  <si>
    <t>King Tone SA</t>
  </si>
  <si>
    <t>Naomi Achu</t>
  </si>
  <si>
    <t>United States</t>
  </si>
  <si>
    <t>Optimist Music ZA</t>
  </si>
  <si>
    <t>Majorsteez</t>
  </si>
  <si>
    <t>Beekay Monalayzzar</t>
  </si>
  <si>
    <t>Onset Music Group</t>
  </si>
  <si>
    <t>Djy'Tumie</t>
  </si>
  <si>
    <t>Netherlands</t>
  </si>
  <si>
    <t>Tango Supreme</t>
  </si>
  <si>
    <t>Lema</t>
  </si>
  <si>
    <t>Fizzy B</t>
  </si>
  <si>
    <t>Cheez Beezy</t>
  </si>
  <si>
    <t>Frans Ceo</t>
  </si>
  <si>
    <t>CK the DJ</t>
  </si>
  <si>
    <t>Tallarsetee</t>
  </si>
  <si>
    <t>Dj P2N</t>
  </si>
  <si>
    <t>Congo (Democratic)</t>
  </si>
  <si>
    <t>Aqualaskin</t>
  </si>
  <si>
    <t>Zambia</t>
  </si>
  <si>
    <t>nolly m</t>
  </si>
  <si>
    <t>Junior Taurus</t>
  </si>
  <si>
    <t>Timi Dre</t>
  </si>
  <si>
    <t>Skyla Tylaa</t>
  </si>
  <si>
    <t>Fistaz Mixwell</t>
  </si>
  <si>
    <t>Winnie Khumalo</t>
  </si>
  <si>
    <t>Nicky Genius</t>
  </si>
  <si>
    <t>Kayystar777</t>
  </si>
  <si>
    <t>DJ Qness</t>
  </si>
  <si>
    <t>Keynote</t>
  </si>
  <si>
    <t>Mark Khoza</t>
  </si>
  <si>
    <t>Dj 9.8 SA</t>
  </si>
  <si>
    <t>Ftears</t>
  </si>
  <si>
    <t>Vyno Miller</t>
  </si>
  <si>
    <t>Slidoo Man</t>
  </si>
  <si>
    <t>Koko Pee</t>
  </si>
  <si>
    <t>Sbuda Maleather</t>
  </si>
  <si>
    <t>DJ Tarico</t>
  </si>
  <si>
    <t>Mozambique</t>
  </si>
  <si>
    <t>Sthipla rsa</t>
  </si>
  <si>
    <t>Kailey Botman</t>
  </si>
  <si>
    <t>XDuppy</t>
  </si>
  <si>
    <t>Royal Musiq</t>
  </si>
  <si>
    <t>Artist</t>
  </si>
  <si>
    <t>Total Spotify Followers</t>
  </si>
  <si>
    <t>Total Streams</t>
  </si>
  <si>
    <t>Total</t>
  </si>
  <si>
    <t>Date</t>
  </si>
  <si>
    <t>Current</t>
  </si>
  <si>
    <t>Week #</t>
  </si>
  <si>
    <t>Notes</t>
  </si>
  <si>
    <t>Gathered data for the Piano Index and created the weekly look.</t>
  </si>
  <si>
    <t>Week</t>
  </si>
  <si>
    <t>Growth WoW</t>
  </si>
  <si>
    <t>TPI</t>
  </si>
  <si>
    <t>FLAG</t>
  </si>
  <si>
    <t>TPI Flag</t>
  </si>
  <si>
    <t>&lt;&lt;&gt;&gt;</t>
  </si>
  <si>
    <t>Select Week:</t>
  </si>
  <si>
    <t>Week Data Validation</t>
  </si>
  <si>
    <t>May</t>
  </si>
  <si>
    <t>June</t>
  </si>
  <si>
    <t>Total Followers</t>
  </si>
  <si>
    <t>Deezer Followers Change</t>
  </si>
  <si>
    <t>Total Deezer Followers</t>
  </si>
  <si>
    <t>SoundCloud Plays Change</t>
  </si>
  <si>
    <t>Total SoundCloud Plays</t>
  </si>
  <si>
    <t>SoundCloud Followers Change</t>
  </si>
  <si>
    <t>Total SoundCloud Followers</t>
  </si>
  <si>
    <t>Facebook Followers Change</t>
  </si>
  <si>
    <t>Total Facebook Followers</t>
  </si>
  <si>
    <t>Shazams Change</t>
  </si>
  <si>
    <t>Total Shazams</t>
  </si>
  <si>
    <t>Airplay Spins Change</t>
  </si>
  <si>
    <t>Total Airplay Spins</t>
  </si>
  <si>
    <t>Instagram Likes</t>
  </si>
  <si>
    <t>Instagram Followers Change</t>
  </si>
  <si>
    <t>Total Instagram Followers</t>
  </si>
  <si>
    <t>YouTube Video Views Change</t>
  </si>
  <si>
    <t>Total YouTube Video Views</t>
  </si>
  <si>
    <t>YouTube Subscribers Change</t>
  </si>
  <si>
    <t>Total YouTube Subscribers</t>
  </si>
  <si>
    <t>TikTok Likes Change</t>
  </si>
  <si>
    <t>Total TikTok Likes</t>
  </si>
  <si>
    <t>TikTok Followers Change</t>
  </si>
  <si>
    <t>Total TikTok Followers</t>
  </si>
  <si>
    <t>Spotify Monthly Listeners Change</t>
  </si>
  <si>
    <t>Total Spotify Monthly Listeners</t>
  </si>
  <si>
    <t>Spotify Streams Change</t>
  </si>
  <si>
    <t>Total Spotify Streams</t>
  </si>
  <si>
    <t>Spotify Followers Change</t>
  </si>
  <si>
    <t>Month</t>
  </si>
  <si>
    <t>May-June</t>
  </si>
  <si>
    <t>June-July</t>
  </si>
  <si>
    <t>May-July</t>
  </si>
  <si>
    <t>July</t>
  </si>
  <si>
    <t xml:space="preserve">Total Monthly Listeners </t>
  </si>
  <si>
    <t>Followers</t>
  </si>
  <si>
    <t>Streams</t>
  </si>
  <si>
    <t>Monthly Listeners</t>
  </si>
  <si>
    <t>Created 3 month snapshot to track % growth by artist &amp; aggregated.</t>
  </si>
  <si>
    <t>Growth Analysis</t>
  </si>
  <si>
    <t>The Piano Index 3-Month Snapshot</t>
  </si>
  <si>
    <t>TxC</t>
  </si>
  <si>
    <t>Year</t>
  </si>
  <si>
    <t>Mr. JazziQ</t>
  </si>
  <si>
    <t>24-25</t>
  </si>
  <si>
    <t>25-26</t>
  </si>
  <si>
    <t>24-26</t>
  </si>
  <si>
    <t>Metrics</t>
  </si>
  <si>
    <t>Thatohatsi:</t>
  </si>
  <si>
    <t>Joined Spotify late 2024</t>
  </si>
  <si>
    <t>January</t>
  </si>
  <si>
    <t>Feburary</t>
  </si>
  <si>
    <t>March</t>
  </si>
  <si>
    <t>Jan-July</t>
  </si>
  <si>
    <t>Triplets Ghetto Kids</t>
  </si>
  <si>
    <t>Uganda</t>
  </si>
  <si>
    <t>Ghost Hlubi</t>
  </si>
  <si>
    <t>LAMIEZ HOLWORTHY</t>
  </si>
  <si>
    <t>DJ Phaphane</t>
  </si>
  <si>
    <t>DJ Arch Jnr</t>
  </si>
  <si>
    <t>Tswyza</t>
  </si>
  <si>
    <t>Benja (NL)</t>
  </si>
  <si>
    <t>Ajay Adam</t>
  </si>
  <si>
    <t>Austria</t>
  </si>
  <si>
    <t>Sony Music Entertainment</t>
  </si>
  <si>
    <t>Londie London</t>
  </si>
  <si>
    <t>Nandi Madida</t>
  </si>
  <si>
    <t>Meneer Cee</t>
  </si>
  <si>
    <t>Djy Jaivane</t>
  </si>
  <si>
    <t>Kirikou Akili</t>
  </si>
  <si>
    <t>Burundi</t>
  </si>
  <si>
    <t>DJ Coach</t>
  </si>
  <si>
    <t>TiMi</t>
  </si>
  <si>
    <t>PD Jokes</t>
  </si>
  <si>
    <t>Zintle Kwaaiman</t>
  </si>
  <si>
    <t>Lerato Kganyago</t>
  </si>
  <si>
    <t>Misokuhle</t>
  </si>
  <si>
    <t>10x Guluva</t>
  </si>
  <si>
    <t>Pro Tee</t>
  </si>
  <si>
    <t>Pexi-Tonic SA</t>
  </si>
  <si>
    <t>Kamo_ww</t>
  </si>
  <si>
    <t>Mr Mwanya</t>
  </si>
  <si>
    <t>Tanzania</t>
  </si>
  <si>
    <t>ZinedinexSguche</t>
  </si>
  <si>
    <t>Bander</t>
  </si>
  <si>
    <t>Mona 4Reall</t>
  </si>
  <si>
    <t>Ghana</t>
  </si>
  <si>
    <t>DJ pH</t>
  </si>
  <si>
    <t>Swizz Panache</t>
  </si>
  <si>
    <t>Nektunez</t>
  </si>
  <si>
    <t>Soweto's Finest</t>
  </si>
  <si>
    <t>Mr Double D2</t>
  </si>
  <si>
    <t>Mr Pilato</t>
  </si>
  <si>
    <t>Dj Spuzza</t>
  </si>
  <si>
    <t>Namibia</t>
  </si>
  <si>
    <t>BL Zero</t>
  </si>
  <si>
    <t>Nelson Tivane</t>
  </si>
  <si>
    <t>Moreki</t>
  </si>
  <si>
    <t>Miano</t>
  </si>
  <si>
    <t>Kabelo Sings</t>
  </si>
  <si>
    <t>Tuno Mw</t>
  </si>
  <si>
    <t>Sound Africa Records</t>
  </si>
  <si>
    <t>Jerome Sydor</t>
  </si>
  <si>
    <t>Latvia</t>
  </si>
  <si>
    <t>Master World</t>
  </si>
  <si>
    <t>Pyy Log Drum King</t>
  </si>
  <si>
    <t>DJ Promatic SA</t>
  </si>
  <si>
    <t>Tyrone Dee</t>
  </si>
  <si>
    <t>Ricky Lenyora</t>
  </si>
  <si>
    <t>Dj Ranie</t>
  </si>
  <si>
    <t>Junior de Rocka</t>
  </si>
  <si>
    <t>Nomina</t>
  </si>
  <si>
    <t>Dr. Chaii</t>
  </si>
  <si>
    <t>Big Indie Labels, BMG, Warner Music Group</t>
  </si>
  <si>
    <t>Flowing Productions</t>
  </si>
  <si>
    <t>Tyrondee</t>
  </si>
  <si>
    <t>Msamiati</t>
  </si>
  <si>
    <t>LKG</t>
  </si>
  <si>
    <t>Marlon Cherry</t>
  </si>
  <si>
    <t>Sykes</t>
  </si>
  <si>
    <t>Bayor97</t>
  </si>
  <si>
    <t>dubsmash Afro</t>
  </si>
  <si>
    <t>Canada</t>
  </si>
  <si>
    <t>Thesiix</t>
  </si>
  <si>
    <t>Paakman</t>
  </si>
  <si>
    <t>Albania</t>
  </si>
  <si>
    <t>The Yanos Plug</t>
  </si>
  <si>
    <t>The Therapist</t>
  </si>
  <si>
    <t>Sierra Leone</t>
  </si>
  <si>
    <t>Dali Danger</t>
  </si>
  <si>
    <t>Inno Matijane</t>
  </si>
  <si>
    <t>Tee-S Papah</t>
  </si>
  <si>
    <t>Hilco</t>
  </si>
  <si>
    <t>Jason Jae</t>
  </si>
  <si>
    <t>BongoVibes</t>
  </si>
  <si>
    <t>Rhythm Starr</t>
  </si>
  <si>
    <t>Arabic Piano</t>
  </si>
  <si>
    <t>Loui</t>
  </si>
  <si>
    <t>Dolly Ditebogo</t>
  </si>
  <si>
    <t>Tkcreedlion</t>
  </si>
  <si>
    <t>Seekay</t>
  </si>
  <si>
    <t>Dj Tearz Sa</t>
  </si>
  <si>
    <t>Anita Jaxson</t>
  </si>
  <si>
    <t>Blue Aiva</t>
  </si>
  <si>
    <t>Sir LSG</t>
  </si>
  <si>
    <t>DJ Lewis</t>
  </si>
  <si>
    <t>Mash_Keys</t>
  </si>
  <si>
    <t>N T S A K O XVI</t>
  </si>
  <si>
    <t>Debra Can</t>
  </si>
  <si>
    <t>Rox Roberson</t>
  </si>
  <si>
    <t>Deep6</t>
  </si>
  <si>
    <t>Dj Cozyy</t>
  </si>
  <si>
    <t>Mphoet</t>
  </si>
  <si>
    <t>Dj Manzo SA</t>
  </si>
  <si>
    <t>DJ Buckz</t>
  </si>
  <si>
    <t>Makwa</t>
  </si>
  <si>
    <t>Umthakathi Kush</t>
  </si>
  <si>
    <t>Jashmir</t>
  </si>
  <si>
    <t>Ntosh Gazi</t>
  </si>
  <si>
    <t>Xman Rsa</t>
  </si>
  <si>
    <t>Universal Music Group, Warner Music Group, Big Indie Labels</t>
  </si>
  <si>
    <t>J JOHN</t>
  </si>
  <si>
    <t>jaydon lewis</t>
  </si>
  <si>
    <t>Tabia</t>
  </si>
  <si>
    <t>Champuru Makhenzo</t>
  </si>
  <si>
    <t>Iphxne Dj</t>
  </si>
  <si>
    <t>Muzzy D Pilot</t>
  </si>
  <si>
    <t>Dr Duda</t>
  </si>
  <si>
    <t>Danidane</t>
  </si>
  <si>
    <t>Mustbedubz</t>
  </si>
  <si>
    <t>The Hit Maker</t>
  </si>
  <si>
    <t>Record L Jones</t>
  </si>
  <si>
    <t>Isidoros</t>
  </si>
  <si>
    <t>Germany</t>
  </si>
  <si>
    <t>Musketeers</t>
  </si>
  <si>
    <t>Hit_za</t>
  </si>
  <si>
    <t>Lady Sphesh</t>
  </si>
  <si>
    <t>Tame Tiger</t>
  </si>
  <si>
    <t>Khanya Greens</t>
  </si>
  <si>
    <t>April</t>
  </si>
  <si>
    <t>Jan-Feb</t>
  </si>
  <si>
    <t>Feb-Mar</t>
  </si>
  <si>
    <t>Mar-Apr</t>
  </si>
  <si>
    <t>Apr-May</t>
  </si>
  <si>
    <t>May-Jun</t>
  </si>
  <si>
    <t>Jun-July</t>
  </si>
  <si>
    <r>
      <t>Monthly Listeners</t>
    </r>
    <r>
      <rPr>
        <sz val="12"/>
        <color theme="1"/>
        <rFont val="Calibri"/>
        <family val="2"/>
        <scheme val="minor"/>
      </rPr>
      <t xml:space="preserve"> — the number of unique people who played an artist's music at least once in the rolling last 28 days; a measure of current </t>
    </r>
    <r>
      <rPr>
        <i/>
        <sz val="12"/>
        <color theme="1"/>
        <rFont val="Calibri"/>
        <family val="2"/>
        <scheme val="minor"/>
      </rPr>
      <t>reach</t>
    </r>
    <r>
      <rPr>
        <sz val="12"/>
        <color theme="1"/>
        <rFont val="Calibri"/>
        <family val="2"/>
        <scheme val="minor"/>
      </rPr>
      <t>.</t>
    </r>
  </si>
  <si>
    <r>
      <t>Streams</t>
    </r>
    <r>
      <rPr>
        <sz val="12"/>
        <color theme="1"/>
        <rFont val="Calibri"/>
        <family val="2"/>
        <scheme val="minor"/>
      </rPr>
      <t xml:space="preserve"> — the cumulative count of times an artist's tracks have been played (30+ seconds each); a measure of total </t>
    </r>
    <r>
      <rPr>
        <i/>
        <sz val="12"/>
        <color theme="1"/>
        <rFont val="Calibri"/>
        <family val="2"/>
        <scheme val="minor"/>
      </rPr>
      <t>consumption/volume</t>
    </r>
    <r>
      <rPr>
        <sz val="12"/>
        <color theme="1"/>
        <rFont val="Calibri"/>
        <family val="2"/>
        <scheme val="minor"/>
      </rPr>
      <t xml:space="preserve"> over time.</t>
    </r>
  </si>
  <si>
    <r>
      <t>Followers</t>
    </r>
    <r>
      <rPr>
        <sz val="12"/>
        <color theme="1"/>
        <rFont val="Calibri"/>
        <family val="2"/>
        <scheme val="minor"/>
      </rPr>
      <t xml:space="preserve"> — the number of people who have chosen to follow an artist on Spotify to see their activity; a measure of committed </t>
    </r>
    <r>
      <rPr>
        <i/>
        <sz val="12"/>
        <color theme="1"/>
        <rFont val="Calibri"/>
        <family val="2"/>
        <scheme val="minor"/>
      </rPr>
      <t>fanbase</t>
    </r>
    <r>
      <rPr>
        <sz val="12"/>
        <color theme="1"/>
        <rFont val="Calibri"/>
        <family val="2"/>
        <scheme val="minor"/>
      </rPr>
      <t>.</t>
    </r>
  </si>
  <si>
    <t>Dictionary</t>
  </si>
  <si>
    <r>
      <t>R</t>
    </r>
    <r>
      <rPr>
        <i/>
        <sz val="12"/>
        <color theme="1"/>
        <rFont val="Calibri"/>
        <family val="2"/>
        <scheme val="minor"/>
      </rPr>
      <t>each (listeners) is a rolling snapshot that rises and falls; consumption (streams) and fanbase (followers) only accumulate; this makes listeners a bit noisy</t>
    </r>
  </si>
  <si>
    <t>Avg. Growth Rate</t>
  </si>
  <si>
    <t>Listener-Follower Ratio</t>
  </si>
  <si>
    <t>Stream Growth Rank</t>
  </si>
  <si>
    <t>Monthly Listeners Growth Rank</t>
  </si>
  <si>
    <t>Follower Growth Rank</t>
  </si>
  <si>
    <t>Select Artist</t>
  </si>
  <si>
    <t>Artist Snapshot</t>
  </si>
  <si>
    <t>The Piano Index 2026 YTD Snapshot</t>
  </si>
  <si>
    <t xml:space="preserve"> </t>
  </si>
  <si>
    <t>Follower Growth Analysis</t>
  </si>
  <si>
    <t>Stream Growth Analysis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</si>
</sst>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%;\(0.0%\)"/>
  </numFmts>
  <fonts count="2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B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double">
        <color indexed="64"/>
      </bottom>
      <diagonal/>
    </border>
    <border>
      <start/>
      <end/>
      <top style="thin">
        <color indexed="64"/>
      </top>
      <bottom style="double">
        <color indexed="64"/>
      </bottom>
      <diagonal/>
    </border>
    <border>
      <start/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/>
      <end/>
      <top style="double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9">
    <xf numFmtId="0" fontId="0" fillId="0" borderId="0" xfId="0"/>
    <xf numFmtId="0" fontId="16" fillId="0" borderId="0" xfId="0" applyFont="1"/>
    <xf numFmtId="37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33" borderId="0" xfId="0" applyFill="1" applyAlignment="1">
      <alignment horizontal="center"/>
    </xf>
    <xf numFmtId="0" fontId="0" fillId="34" borderId="0" xfId="0" applyFill="1"/>
    <xf numFmtId="0" fontId="0" fillId="35" borderId="0" xfId="0" applyFill="1"/>
    <xf numFmtId="0" fontId="19" fillId="0" borderId="0" xfId="0" applyFont="1"/>
    <xf numFmtId="0" fontId="18" fillId="0" borderId="0" xfId="0" applyFont="1"/>
    <xf numFmtId="0" fontId="20" fillId="0" borderId="0" xfId="0" applyFont="1"/>
    <xf numFmtId="0" fontId="21" fillId="33" borderId="0" xfId="0" applyFont="1" applyFill="1" applyAlignment="1">
      <alignment horizontal="center"/>
    </xf>
    <xf numFmtId="0" fontId="20" fillId="37" borderId="0" xfId="0" applyFont="1" applyFill="1"/>
    <xf numFmtId="0" fontId="16" fillId="34" borderId="11" xfId="0" applyFont="1" applyFill="1" applyBorder="1" applyAlignment="1">
      <alignment horizontal="centerContinuous"/>
    </xf>
    <xf numFmtId="0" fontId="16" fillId="34" borderId="12" xfId="0" applyFont="1" applyFill="1" applyBorder="1" applyAlignment="1">
      <alignment horizontal="centerContinuous"/>
    </xf>
    <xf numFmtId="0" fontId="16" fillId="34" borderId="13" xfId="0" applyFont="1" applyFill="1" applyBorder="1" applyAlignment="1">
      <alignment horizontal="centerContinuous"/>
    </xf>
    <xf numFmtId="0" fontId="16" fillId="38" borderId="11" xfId="0" applyFont="1" applyFill="1" applyBorder="1" applyAlignment="1">
      <alignment horizontal="centerContinuous"/>
    </xf>
    <xf numFmtId="0" fontId="16" fillId="38" borderId="12" xfId="0" applyFont="1" applyFill="1" applyBorder="1" applyAlignment="1">
      <alignment horizontal="centerContinuous"/>
    </xf>
    <xf numFmtId="0" fontId="16" fillId="38" borderId="13" xfId="0" applyFont="1" applyFill="1" applyBorder="1" applyAlignment="1">
      <alignment horizontal="centerContinuous"/>
    </xf>
    <xf numFmtId="0" fontId="16" fillId="39" borderId="11" xfId="0" applyFont="1" applyFill="1" applyBorder="1" applyAlignment="1">
      <alignment horizontal="centerContinuous"/>
    </xf>
    <xf numFmtId="0" fontId="16" fillId="39" borderId="12" xfId="0" applyFont="1" applyFill="1" applyBorder="1" applyAlignment="1">
      <alignment horizontal="centerContinuous"/>
    </xf>
    <xf numFmtId="0" fontId="16" fillId="39" borderId="13" xfId="0" applyFont="1" applyFill="1" applyBorder="1" applyAlignment="1">
      <alignment horizontal="centerContinuous"/>
    </xf>
    <xf numFmtId="0" fontId="16" fillId="40" borderId="11" xfId="0" applyFont="1" applyFill="1" applyBorder="1" applyAlignment="1">
      <alignment horizontal="centerContinuous"/>
    </xf>
    <xf numFmtId="0" fontId="16" fillId="40" borderId="12" xfId="0" applyFont="1" applyFill="1" applyBorder="1" applyAlignment="1">
      <alignment horizontal="centerContinuous"/>
    </xf>
    <xf numFmtId="0" fontId="16" fillId="40" borderId="13" xfId="0" applyFont="1" applyFill="1" applyBorder="1" applyAlignment="1">
      <alignment horizontal="centerContinuous"/>
    </xf>
    <xf numFmtId="14" fontId="23" fillId="0" borderId="0" xfId="0" applyNumberFormat="1" applyFont="1"/>
    <xf numFmtId="0" fontId="22" fillId="0" borderId="0" xfId="0" applyFont="1"/>
    <xf numFmtId="165" fontId="0" fillId="0" borderId="14" xfId="1" applyNumberFormat="1" applyFont="1" applyBorder="1"/>
    <xf numFmtId="165" fontId="0" fillId="0" borderId="0" xfId="1" applyNumberFormat="1" applyFont="1" applyBorder="1"/>
    <xf numFmtId="165" fontId="0" fillId="0" borderId="15" xfId="1" applyNumberFormat="1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4" xfId="1" applyNumberFormat="1" applyFont="1" applyBorder="1"/>
    <xf numFmtId="164" fontId="0" fillId="0" borderId="0" xfId="1" applyNumberFormat="1" applyFont="1" applyBorder="1"/>
    <xf numFmtId="164" fontId="0" fillId="0" borderId="15" xfId="1" applyNumberFormat="1" applyFont="1" applyBorder="1"/>
    <xf numFmtId="0" fontId="16" fillId="0" borderId="1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9" xfId="0" applyFont="1" applyBorder="1" applyAlignment="1">
      <alignment horizontal="center"/>
    </xf>
    <xf numFmtId="14" fontId="16" fillId="0" borderId="0" xfId="0" applyNumberFormat="1" applyFont="1" applyAlignment="1">
      <alignment horizontal="center"/>
    </xf>
    <xf numFmtId="0" fontId="0" fillId="36" borderId="0" xfId="0" applyFill="1"/>
    <xf numFmtId="37" fontId="0" fillId="36" borderId="0" xfId="0" applyNumberFormat="1" applyFill="1"/>
    <xf numFmtId="0" fontId="25" fillId="0" borderId="0" xfId="0" applyFont="1"/>
    <xf numFmtId="0" fontId="0" fillId="0" borderId="14" xfId="0" applyBorder="1"/>
    <xf numFmtId="0" fontId="0" fillId="0" borderId="15" xfId="0" applyBorder="1"/>
    <xf numFmtId="0" fontId="0" fillId="38" borderId="11" xfId="0" applyFill="1" applyBorder="1" applyAlignment="1">
      <alignment horizontal="centerContinuous"/>
    </xf>
    <xf numFmtId="0" fontId="0" fillId="38" borderId="12" xfId="0" applyFill="1" applyBorder="1" applyAlignment="1">
      <alignment horizontal="centerContinuous"/>
    </xf>
    <xf numFmtId="0" fontId="0" fillId="38" borderId="13" xfId="0" applyFill="1" applyBorder="1" applyAlignment="1">
      <alignment horizontal="centerContinuous"/>
    </xf>
    <xf numFmtId="0" fontId="0" fillId="41" borderId="11" xfId="0" applyFill="1" applyBorder="1" applyAlignment="1">
      <alignment horizontal="centerContinuous"/>
    </xf>
    <xf numFmtId="0" fontId="0" fillId="41" borderId="12" xfId="0" applyFill="1" applyBorder="1" applyAlignment="1">
      <alignment horizontal="centerContinuous"/>
    </xf>
    <xf numFmtId="0" fontId="0" fillId="41" borderId="13" xfId="0" applyFill="1" applyBorder="1" applyAlignment="1">
      <alignment horizontal="centerContinuous"/>
    </xf>
    <xf numFmtId="0" fontId="26" fillId="0" borderId="19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16" fillId="36" borderId="22" xfId="0" applyFont="1" applyFill="1" applyBorder="1"/>
    <xf numFmtId="37" fontId="16" fillId="36" borderId="23" xfId="0" applyNumberFormat="1" applyFont="1" applyFill="1" applyBorder="1"/>
    <xf numFmtId="0" fontId="0" fillId="42" borderId="0" xfId="0" applyFill="1"/>
    <xf numFmtId="0" fontId="26" fillId="0" borderId="0" xfId="0" applyFont="1"/>
    <xf numFmtId="0" fontId="0" fillId="39" borderId="13" xfId="0" applyFill="1" applyBorder="1" applyAlignment="1">
      <alignment horizontal="centerContinuous"/>
    </xf>
    <xf numFmtId="0" fontId="26" fillId="44" borderId="15" xfId="0" applyFont="1" applyFill="1" applyBorder="1" applyAlignment="1">
      <alignment horizontal="center"/>
    </xf>
    <xf numFmtId="0" fontId="0" fillId="39" borderId="10" xfId="0" applyFill="1" applyBorder="1" applyAlignment="1">
      <alignment horizontal="centerContinuous"/>
    </xf>
    <xf numFmtId="165" fontId="0" fillId="0" borderId="15" xfId="0" applyNumberFormat="1" applyBorder="1"/>
    <xf numFmtId="0" fontId="0" fillId="0" borderId="10" xfId="0" applyBorder="1"/>
    <xf numFmtId="0" fontId="16" fillId="45" borderId="10" xfId="0" applyFont="1" applyFill="1" applyBorder="1" applyAlignment="1">
      <alignment horizontal="center"/>
    </xf>
    <xf numFmtId="0" fontId="18" fillId="34" borderId="25" xfId="0" applyFont="1" applyFill="1" applyBorder="1"/>
    <xf numFmtId="0" fontId="0" fillId="43" borderId="25" xfId="0" applyFill="1" applyBorder="1"/>
    <xf numFmtId="0" fontId="0" fillId="0" borderId="26" xfId="0" applyBorder="1"/>
    <xf numFmtId="39" fontId="0" fillId="0" borderId="15" xfId="0" applyNumberFormat="1" applyBorder="1"/>
    <xf numFmtId="39" fontId="16" fillId="36" borderId="24" xfId="0" applyNumberFormat="1" applyFont="1" applyFill="1" applyBorder="1"/>
    <xf numFmtId="0" fontId="16" fillId="45" borderId="10" xfId="0" applyFont="1" applyFill="1" applyBorder="1" applyAlignment="1">
      <alignment horizontal="center" wrapText="1"/>
    </xf>
    <xf numFmtId="0" fontId="27" fillId="36" borderId="10" xfId="0" applyFont="1" applyFill="1" applyBorder="1" applyAlignment="1">
      <alignment horizontal="center"/>
    </xf>
    <xf numFmtId="1" fontId="0" fillId="0" borderId="0" xfId="0" applyNumberFormat="1"/>
    <xf numFmtId="1" fontId="0" fillId="0" borderId="10" xfId="0" applyNumberFormat="1" applyBorder="1"/>
    <xf numFmtId="165" fontId="0" fillId="0" borderId="16" xfId="1" applyNumberFormat="1" applyFont="1" applyBorder="1"/>
    <xf numFmtId="165" fontId="0" fillId="0" borderId="17" xfId="1" applyNumberFormat="1" applyFont="1" applyBorder="1"/>
    <xf numFmtId="165" fontId="0" fillId="0" borderId="18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%">
              <a:solidFill>
                <a:schemeClr val="lt1">
                  <a:lumMod val="95%"/>
                </a:schemeClr>
              </a:solidFill>
              <a:effectLst>
                <a:outerShdw blurRad="50800" dist="38100" dir="5400000" algn="t" rotWithShape="0">
                  <a:prstClr val="black">
                    <a:alpha val="40%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Piano Index (Weekly)'!$G$4</c:f>
              <c:strCache>
                <c:ptCount val="1"/>
                <c:pt idx="0">
                  <c:v>Listener-Follower Ratio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  <c:invertIfNegative val="0"/>
          <c:cat>
            <c:strRef>
              <c:f>'The Piano Index (Weekly)'!$C$6:$C$25</c:f>
              <c:strCache>
                <c:ptCount val="19"/>
                <c:pt idx="0">
                  <c:v>TxC</c:v>
                </c:pt>
                <c:pt idx="1">
                  <c:v>Royal Musiq</c:v>
                </c:pt>
                <c:pt idx="2">
                  <c:v>Thatohatsi</c:v>
                </c:pt>
                <c:pt idx="3">
                  <c:v>XDuppy</c:v>
                </c:pt>
                <c:pt idx="4">
                  <c:v>Justin99</c:v>
                </c:pt>
                <c:pt idx="5">
                  <c:v>Focalistic</c:v>
                </c:pt>
                <c:pt idx="6">
                  <c:v>Scotts Maphuma</c:v>
                </c:pt>
                <c:pt idx="7">
                  <c:v>Tyler ICU</c:v>
                </c:pt>
                <c:pt idx="8">
                  <c:v>Sam Deep</c:v>
                </c:pt>
                <c:pt idx="9">
                  <c:v>Pcee</c:v>
                </c:pt>
                <c:pt idx="10">
                  <c:v>Zee Nxumalo</c:v>
                </c:pt>
                <c:pt idx="11">
                  <c:v>DJ Maphorisa</c:v>
                </c:pt>
                <c:pt idx="12">
                  <c:v>Uncle Waffles</c:v>
                </c:pt>
                <c:pt idx="13">
                  <c:v>Vigro Deep</c:v>
                </c:pt>
                <c:pt idx="14">
                  <c:v>Mellow &amp; Sleazy</c:v>
                </c:pt>
                <c:pt idx="15">
                  <c:v>Kabza De Small</c:v>
                </c:pt>
                <c:pt idx="16">
                  <c:v>Mr JazziQ</c:v>
                </c:pt>
                <c:pt idx="17">
                  <c:v>Daliwonga</c:v>
                </c:pt>
                <c:pt idx="18">
                  <c:v>Kelvin Momo</c:v>
                </c:pt>
              </c:strCache>
            </c:strRef>
          </c:cat>
          <c:val>
            <c:numRef>
              <c:f>'The Piano Index (Weekly)'!$G$6:$G$25</c:f>
              <c:numCache>
                <c:formatCode>#,##0.00_);\(#,##0.00\)</c:formatCode>
                <c:ptCount val="20"/>
                <c:pt idx="0">
                  <c:v>6.269831895021567</c:v>
                </c:pt>
                <c:pt idx="1">
                  <c:v>6.2184376587764856</c:v>
                </c:pt>
                <c:pt idx="2">
                  <c:v>5.1773839984532293</c:v>
                </c:pt>
                <c:pt idx="3">
                  <c:v>4.6256916064769298</c:v>
                </c:pt>
                <c:pt idx="4">
                  <c:v>1.8211454225400161</c:v>
                </c:pt>
                <c:pt idx="5">
                  <c:v>1.5647288292256882</c:v>
                </c:pt>
                <c:pt idx="6">
                  <c:v>1.535813607914571</c:v>
                </c:pt>
                <c:pt idx="7">
                  <c:v>1.4689479194603181</c:v>
                </c:pt>
                <c:pt idx="8">
                  <c:v>1.3212231743847214</c:v>
                </c:pt>
                <c:pt idx="9">
                  <c:v>1.2371546522705621</c:v>
                </c:pt>
                <c:pt idx="10">
                  <c:v>1.1912609378505721</c:v>
                </c:pt>
                <c:pt idx="11">
                  <c:v>1.0520612103838949</c:v>
                </c:pt>
                <c:pt idx="12">
                  <c:v>0.96471546401282116</c:v>
                </c:pt>
                <c:pt idx="13">
                  <c:v>0.83948584667129234</c:v>
                </c:pt>
                <c:pt idx="14">
                  <c:v>0.70024123583674902</c:v>
                </c:pt>
                <c:pt idx="15">
                  <c:v>0.48230071709145095</c:v>
                </c:pt>
                <c:pt idx="16">
                  <c:v>0.37401336327801021</c:v>
                </c:pt>
                <c:pt idx="17">
                  <c:v>0.36651702146361476</c:v>
                </c:pt>
                <c:pt idx="18">
                  <c:v>0.3571007254183417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7-4E4A-8DC9-32F00AF5D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68073872"/>
        <c:axId val="1059803120"/>
      </c:barChart>
      <c:catAx>
        <c:axId val="76807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%"/>
                <a:alpha val="54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803120"/>
        <c:crosses val="autoZero"/>
        <c:auto val="1"/>
        <c:lblAlgn val="ctr"/>
        <c:lblOffset val="100"/>
        <c:noMultiLvlLbl val="0"/>
      </c:catAx>
      <c:valAx>
        <c:axId val="105980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%"/>
                  <a:alpha val="10%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07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%">
          <a:schemeClr val="dk1">
            <a:lumMod val="65%"/>
            <a:lumOff val="35%"/>
          </a:schemeClr>
        </a:gs>
        <a:gs pos="100%">
          <a:schemeClr val="dk1">
            <a:lumMod val="85%"/>
            <a:lumOff val="15%"/>
          </a:schemeClr>
        </a:gs>
      </a:gsLst>
      <a:path path="circle">
        <a:fillToRect l="50%" t="50%" r="50%" b="50%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22">
  <cs:axisTitle>
    <cs:lnRef idx="0"/>
    <cs:fillRef idx="0"/>
    <cs:effectRef idx="0"/>
    <cs:fontRef idx="minor">
      <a:schemeClr val="lt1">
        <a:lumMod val="85%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dk1">
              <a:lumMod val="65%"/>
              <a:lumOff val="35%"/>
            </a:schemeClr>
          </a:gs>
          <a:gs pos="100%">
            <a:schemeClr val="dk1">
              <a:lumMod val="85%"/>
              <a:lumOff val="15%"/>
            </a:schemeClr>
          </a:gs>
        </a:gsLst>
        <a:path path="circle">
          <a:fillToRect l="50%" t="50%" r="50%" b="50%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  <a:alpha val="10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%"/>
            <a:alpha val="5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8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%"/>
      </a:schemeClr>
    </cs:fontRef>
    <cs:spPr>
      <a:ln w="12700" cap="flat" cmpd="sng" algn="ctr">
        <a:solidFill>
          <a:schemeClr val="lt1">
            <a:lumMod val="95%"/>
            <a:alpha val="54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54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600" b="1" kern="1200" spc="100" baseline="0%">
      <a:effectLst>
        <a:outerShdw blurRad="50800" dist="38100" dir="5400000" algn="t" rotWithShape="0">
          <a:prstClr val="black">
            <a:alpha val="40%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85%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14</xdr:col>
      <xdr:colOff>477693</xdr:colOff>
      <xdr:row>2</xdr:row>
      <xdr:rowOff>184660</xdr:rowOff>
    </xdr:from>
    <xdr:to>
      <xdr:col>22</xdr:col>
      <xdr:colOff>6949</xdr:colOff>
      <xdr:row>26</xdr:row>
      <xdr:rowOff>150793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4C2C3D-38B9-2D44-80E2-099C372F2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</xdr:col>
      <xdr:colOff>88900</xdr:colOff>
      <xdr:row>30</xdr:row>
      <xdr:rowOff>76199</xdr:rowOff>
    </xdr:from>
    <xdr:to>
      <xdr:col>4</xdr:col>
      <xdr:colOff>12700</xdr:colOff>
      <xdr:row>43</xdr:row>
      <xdr:rowOff>9768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333E56D-36A5-144C-B807-B8D167313953}"/>
            </a:ext>
          </a:extLst>
        </xdr:cNvPr>
        <xdr:cNvSpPr txBox="1"/>
      </xdr:nvSpPr>
      <xdr:spPr>
        <a:xfrm>
          <a:off x="919285" y="6240584"/>
          <a:ext cx="3509107" cy="26005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NOTES:</a:t>
          </a:r>
        </a:p>
        <a:p>
          <a:endParaRPr lang="en-US" sz="1100"/>
        </a:p>
        <a:p>
          <a:r>
            <a:rPr lang="en-US" sz="1100" b="1"/>
            <a:t>For Streams</a:t>
          </a:r>
          <a:r>
            <a:rPr lang="en-US" sz="1100" b="1" baseline="0%"/>
            <a:t> Per Follower</a:t>
          </a:r>
          <a:r>
            <a:rPr lang="en-US" sz="1100" baseline="0%"/>
            <a:t>: </a:t>
          </a:r>
          <a:r>
            <a:rPr lang="en-US" sz="1100"/>
            <a:t>Frame it as "career-long streams per current follower" and note that established artists will naturally run higher — that hedge keeps you honest and demonstrates the exact analytical maturity a data role wants to see.</a:t>
          </a:r>
        </a:p>
        <a:p>
          <a:endParaRPr lang="en-US" sz="1100"/>
        </a:p>
        <a:p>
          <a:r>
            <a:rPr lang="en-US" sz="1100" b="1"/>
            <a:t>Future Reference:</a:t>
          </a:r>
          <a:r>
            <a:rPr lang="en-US" sz="1100" b="1" baseline="0%"/>
            <a:t> </a:t>
          </a:r>
          <a:r>
            <a:rPr lang="en-US" sz="1100" baseline="0%"/>
            <a:t>Create a graph that tracks The Piano Index weekly growth, export .csv every Wednesday</a:t>
          </a:r>
        </a:p>
        <a:p>
          <a:endParaRPr lang="en-US" sz="1100" baseline="0%"/>
        </a:p>
        <a:p>
          <a:r>
            <a:rPr lang="en-US" sz="1100" baseline="0%"/>
            <a:t>REMINDER: Goal is to track </a:t>
          </a:r>
          <a:r>
            <a:rPr lang="en-US" sz="1100" u="sng" baseline="0%"/>
            <a:t>growth percentage over time</a:t>
          </a:r>
          <a:r>
            <a:rPr lang="en-US" sz="1100" u="none" baseline="0%"/>
            <a:t>. The Piano Index growth week by week and which artist in that time showed the most growth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23</xdr:col>
      <xdr:colOff>160867</xdr:colOff>
      <xdr:row>8</xdr:row>
      <xdr:rowOff>198966</xdr:rowOff>
    </xdr:from>
    <xdr:to>
      <xdr:col>28</xdr:col>
      <xdr:colOff>135467</xdr:colOff>
      <xdr:row>19</xdr:row>
      <xdr:rowOff>110066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3A4E7F-5D40-E741-B1E3-46642DAC5BBE}"/>
            </a:ext>
          </a:extLst>
        </xdr:cNvPr>
        <xdr:cNvSpPr txBox="1"/>
      </xdr:nvSpPr>
      <xdr:spPr>
        <a:xfrm>
          <a:off x="20362334" y="1824566"/>
          <a:ext cx="4123266" cy="214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To Do:</a:t>
          </a:r>
        </a:p>
        <a:p>
          <a:r>
            <a:rPr lang="en-US" sz="1800"/>
            <a:t>1.</a:t>
          </a:r>
          <a:r>
            <a:rPr lang="en-US" sz="1800" baseline="0%"/>
            <a:t> Every artist in The Piano Index gets an individual tab with their top 10 songs and social media presence</a:t>
          </a:r>
        </a:p>
      </xdr:txBody>
    </xdr:sp>
    <xdr:clientData/>
  </xdr:twoCellAnchor>
  <xdr:twoCellAnchor>
    <xdr:from>
      <xdr:col>10</xdr:col>
      <xdr:colOff>372533</xdr:colOff>
      <xdr:row>2</xdr:row>
      <xdr:rowOff>16932</xdr:rowOff>
    </xdr:from>
    <xdr:to>
      <xdr:col>15</xdr:col>
      <xdr:colOff>342900</xdr:colOff>
      <xdr:row>47</xdr:row>
      <xdr:rowOff>76199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F71328-E340-8141-B61C-C090DC80588C}"/>
            </a:ext>
          </a:extLst>
        </xdr:cNvPr>
        <xdr:cNvSpPr txBox="1"/>
      </xdr:nvSpPr>
      <xdr:spPr>
        <a:xfrm>
          <a:off x="9795933" y="423332"/>
          <a:ext cx="4097867" cy="92032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Piano Index: handling collab overlap in growth analysis</a:t>
          </a:r>
        </a:p>
        <a:p>
          <a:endParaRPr lang="en-US" sz="1800"/>
        </a:p>
        <a:p>
          <a:r>
            <a:rPr lang="en-US" sz="1800"/>
            <a:t>Amapiano is collab-heavy, so basket members share tracks. When I sum the basket, shared tracks get double-counted. Key framing:</a:t>
          </a:r>
        </a:p>
        <a:p>
          <a:r>
            <a:rPr lang="en-US" sz="1800" b="1"/>
            <a:t>Overlap corrupts the LEVEL, not the RATE.</a:t>
          </a:r>
          <a:r>
            <a:rPr lang="en-US" sz="1800"/>
            <a:t> The absolute index number is inflated (double-counting), but the inflation is roughly constant week to week, so it cancels out in the % change. Growth rates stay trustworthy.</a:t>
          </a:r>
        </a:p>
        <a:p>
          <a:r>
            <a:rPr lang="en-US" sz="1800" b="1"/>
            <a:t>Trust the trend, not the absolute number.</a:t>
          </a:r>
          <a:r>
            <a:rPr lang="en-US" sz="1800"/>
            <a:t> Report growth as directional. Always label it "combined" reach, never "unique."</a:t>
          </a:r>
        </a:p>
        <a:p>
          <a:r>
            <a:rPr lang="en-US" sz="1800" b="1"/>
            <a:t>Smooth single weeks.</a:t>
          </a:r>
          <a:r>
            <a:rPr lang="en-US" sz="1800"/>
            <a:t> A 4-week rolling average kills the noise from one big collab dropping and spiking two rows at once. Overlap amplifies event-spikes even though it cancels in steady state...so don't over-read any single week.</a:t>
          </a:r>
        </a:p>
        <a:p>
          <a:r>
            <a:rPr lang="en-US" sz="1800" b="1"/>
            <a:t>Followers = cleanest spine</a:t>
          </a:r>
          <a:r>
            <a:rPr lang="en-US" sz="1800"/>
            <a:t> if I want less overlap (a follow is a per-artist choice, not a shared listen). Monthly listeners overlap most; followers least.</a:t>
          </a:r>
        </a:p>
        <a:p>
          <a:r>
            <a:rPr lang="en-US" sz="1800" b="1"/>
            <a:t>Advanced move:</a:t>
          </a:r>
          <a:r>
            <a:rPr lang="en-US" sz="1800"/>
            <a:t> split collab-driven vs. solo-track growth. The gap between them is itself an insight (how collaboration-driven is the genre's momentum right now). Turns the "flaw" into a finding.</a:t>
          </a:r>
        </a:p>
        <a:p>
          <a:endParaRPr lang="en-US" sz="1800"/>
        </a:p>
      </xdr:txBody>
    </xdr:sp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28</xdr:col>
      <xdr:colOff>63398</xdr:colOff>
      <xdr:row>8</xdr:row>
      <xdr:rowOff>190306</xdr:rowOff>
    </xdr:from>
    <xdr:to>
      <xdr:col>33</xdr:col>
      <xdr:colOff>26708</xdr:colOff>
      <xdr:row>54</xdr:row>
      <xdr:rowOff>49046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4581A1-0074-E644-A2E1-17CCBE431620}"/>
            </a:ext>
          </a:extLst>
        </xdr:cNvPr>
        <xdr:cNvSpPr txBox="1"/>
      </xdr:nvSpPr>
      <xdr:spPr>
        <a:xfrm>
          <a:off x="18351398" y="1780567"/>
          <a:ext cx="4104614" cy="9002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Piano Index: handling collab overlap in growth analysis</a:t>
          </a:r>
        </a:p>
        <a:p>
          <a:endParaRPr lang="en-US" sz="1800"/>
        </a:p>
        <a:p>
          <a:r>
            <a:rPr lang="en-US" sz="1800"/>
            <a:t>Amapiano is collab-heavy, so basket members share tracks. When I sum the basket, shared tracks get double-counted. Key framing:</a:t>
          </a:r>
        </a:p>
        <a:p>
          <a:r>
            <a:rPr lang="en-US" sz="1800" b="1"/>
            <a:t>Overlap corrupts the LEVEL, not the RATE.</a:t>
          </a:r>
          <a:r>
            <a:rPr lang="en-US" sz="1800"/>
            <a:t> The absolute index number is inflated (double-counting), but the inflation is roughly constant week to week, so it cancels out in the % change. Growth rates stay trustworthy.</a:t>
          </a:r>
        </a:p>
        <a:p>
          <a:r>
            <a:rPr lang="en-US" sz="1800" b="1"/>
            <a:t>Trust the trend, not the absolute number.</a:t>
          </a:r>
          <a:r>
            <a:rPr lang="en-US" sz="1800"/>
            <a:t> Report growth as directional. Always label it "combined" reach, never "unique."</a:t>
          </a:r>
        </a:p>
        <a:p>
          <a:r>
            <a:rPr lang="en-US" sz="1800" b="1"/>
            <a:t>Smooth single weeks.</a:t>
          </a:r>
          <a:r>
            <a:rPr lang="en-US" sz="1800"/>
            <a:t> A 4-week rolling average kills the noise from one big collab dropping and spiking two rows at once. Overlap amplifies event-spikes even though it cancels in steady state...so don't over-read any single week.</a:t>
          </a:r>
        </a:p>
        <a:p>
          <a:r>
            <a:rPr lang="en-US" sz="1800" b="1"/>
            <a:t>Followers = cleanest spine</a:t>
          </a:r>
          <a:r>
            <a:rPr lang="en-US" sz="1800"/>
            <a:t> if I want less overlap (a follow is a per-artist choice, not a shared listen). Monthly listeners overlap most; followers least.</a:t>
          </a:r>
        </a:p>
        <a:p>
          <a:r>
            <a:rPr lang="en-US" sz="1800" b="1"/>
            <a:t>Advanced move:</a:t>
          </a:r>
          <a:r>
            <a:rPr lang="en-US" sz="1800"/>
            <a:t> split collab-driven vs. solo-track growth. The gap between them is itself an insight (how collaboration-driven is the genre's momentum right now). Turns the "flaw" into a finding.</a:t>
          </a:r>
        </a:p>
        <a:p>
          <a:endParaRPr lang="en-US" sz="1800"/>
        </a:p>
      </xdr:txBody>
    </xdr:sp>
    <xdr:clientData/>
  </xdr:twoCellAnchor>
  <xdr:twoCellAnchor>
    <xdr:from>
      <xdr:col>24</xdr:col>
      <xdr:colOff>749300</xdr:colOff>
      <xdr:row>26</xdr:row>
      <xdr:rowOff>139700</xdr:rowOff>
    </xdr:from>
    <xdr:to>
      <xdr:col>28</xdr:col>
      <xdr:colOff>660400</xdr:colOff>
      <xdr:row>37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51FC61-02D4-3540-93C1-823A1F0A4C4B}"/>
            </a:ext>
          </a:extLst>
        </xdr:cNvPr>
        <xdr:cNvSpPr txBox="1"/>
      </xdr:nvSpPr>
      <xdr:spPr>
        <a:xfrm>
          <a:off x="22542500" y="5422900"/>
          <a:ext cx="3213100" cy="220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Log Drum Factor = 0.40 × (follower-growth rank) + 0.35 × (stream-growth rank) + 0.25 × (smoothed monthly-listener-growth rank).</a:t>
          </a:r>
        </a:p>
      </xdr:txBody>
    </xdr:sp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28</xdr:col>
      <xdr:colOff>63398</xdr:colOff>
      <xdr:row>8</xdr:row>
      <xdr:rowOff>190306</xdr:rowOff>
    </xdr:from>
    <xdr:to>
      <xdr:col>33</xdr:col>
      <xdr:colOff>26708</xdr:colOff>
      <xdr:row>55</xdr:row>
      <xdr:rowOff>49046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509409-413A-364B-8557-9A33EA3456E7}"/>
            </a:ext>
          </a:extLst>
        </xdr:cNvPr>
        <xdr:cNvSpPr txBox="1"/>
      </xdr:nvSpPr>
      <xdr:spPr>
        <a:xfrm>
          <a:off x="29578198" y="1828606"/>
          <a:ext cx="4090810" cy="9205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Piano Index: handling collab overlap in growth analysis</a:t>
          </a:r>
        </a:p>
        <a:p>
          <a:endParaRPr lang="en-US" sz="1800"/>
        </a:p>
        <a:p>
          <a:r>
            <a:rPr lang="en-US" sz="1800"/>
            <a:t>Amapiano is collab-heavy, so basket members share tracks. When I sum the basket, shared tracks get double-counted. Key framing:</a:t>
          </a:r>
        </a:p>
        <a:p>
          <a:r>
            <a:rPr lang="en-US" sz="1800" b="1"/>
            <a:t>Overlap corrupts the LEVEL, not the RATE.</a:t>
          </a:r>
          <a:r>
            <a:rPr lang="en-US" sz="1800"/>
            <a:t> The absolute index number is inflated (double-counting), but the inflation is roughly constant week to week, so it cancels out in the % change. Growth rates stay trustworthy.</a:t>
          </a:r>
        </a:p>
        <a:p>
          <a:r>
            <a:rPr lang="en-US" sz="1800" b="1"/>
            <a:t>Trust the trend, not the absolute number.</a:t>
          </a:r>
          <a:r>
            <a:rPr lang="en-US" sz="1800"/>
            <a:t> Report growth as directional. Always label it "combined" reach, never "unique."</a:t>
          </a:r>
        </a:p>
        <a:p>
          <a:r>
            <a:rPr lang="en-US" sz="1800" b="1"/>
            <a:t>Smooth single weeks.</a:t>
          </a:r>
          <a:r>
            <a:rPr lang="en-US" sz="1800"/>
            <a:t> A 4-week rolling average kills the noise from one big collab dropping and spiking two rows at once. Overlap amplifies event-spikes even though it cancels in steady state...so don't over-read any single week.</a:t>
          </a:r>
        </a:p>
        <a:p>
          <a:r>
            <a:rPr lang="en-US" sz="1800" b="1"/>
            <a:t>Followers = cleanest spine</a:t>
          </a:r>
          <a:r>
            <a:rPr lang="en-US" sz="1800"/>
            <a:t> if I want less overlap (a follow is a per-artist choice, not a shared listen). Monthly listeners overlap most; followers least.</a:t>
          </a:r>
        </a:p>
        <a:p>
          <a:r>
            <a:rPr lang="en-US" sz="1800" b="1"/>
            <a:t>Advanced move:</a:t>
          </a:r>
          <a:r>
            <a:rPr lang="en-US" sz="1800"/>
            <a:t> split collab-driven vs. solo-track growth. The gap between them is itself an insight (how collaboration-driven is the genre's momentum right now). Turns the "flaw" into a finding.</a:t>
          </a:r>
        </a:p>
        <a:p>
          <a:endParaRPr lang="en-US" sz="1800"/>
        </a:p>
      </xdr:txBody>
    </xdr:sp>
    <xdr:clientData/>
  </xdr:twoCellAnchor>
  <xdr:twoCellAnchor>
    <xdr:from>
      <xdr:col>24</xdr:col>
      <xdr:colOff>749300</xdr:colOff>
      <xdr:row>27</xdr:row>
      <xdr:rowOff>139700</xdr:rowOff>
    </xdr:from>
    <xdr:to>
      <xdr:col>28</xdr:col>
      <xdr:colOff>660400</xdr:colOff>
      <xdr:row>38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91354E-BCB6-8145-AF90-6887E275414F}"/>
            </a:ext>
          </a:extLst>
        </xdr:cNvPr>
        <xdr:cNvSpPr txBox="1"/>
      </xdr:nvSpPr>
      <xdr:spPr>
        <a:xfrm>
          <a:off x="26962100" y="5435600"/>
          <a:ext cx="3213100" cy="220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Log Drum Factor = 0.40 × (follower-growth rank) + 0.35 × (stream-growth rank) + 0.25 × (smoothed monthly-listener-growth rank).</a:t>
          </a:r>
        </a:p>
      </xdr:txBody>
    </xdr:sp>
    <xdr:clientData/>
  </xdr:twoCellAnchor>
</xdr:wsDr>
</file>

<file path=xl/drawings/drawing5.xml><?xml version="1.0" encoding="utf-8"?>
<xdr:wsDr xmlns:xdr="http://purl.oclc.org/ooxml/drawingml/spreadsheetDrawing" xmlns:a="http://purl.oclc.org/ooxml/drawingml/main">
  <xdr:twoCellAnchor>
    <xdr:from>
      <xdr:col>23</xdr:col>
      <xdr:colOff>160867</xdr:colOff>
      <xdr:row>8</xdr:row>
      <xdr:rowOff>198966</xdr:rowOff>
    </xdr:from>
    <xdr:to>
      <xdr:col>28</xdr:col>
      <xdr:colOff>135467</xdr:colOff>
      <xdr:row>19</xdr:row>
      <xdr:rowOff>110066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5D4992-7EA8-E649-A53B-4A50214932D8}"/>
            </a:ext>
          </a:extLst>
        </xdr:cNvPr>
        <xdr:cNvSpPr txBox="1"/>
      </xdr:nvSpPr>
      <xdr:spPr>
        <a:xfrm>
          <a:off x="20315767" y="1824566"/>
          <a:ext cx="4102100" cy="214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To Do:</a:t>
          </a:r>
        </a:p>
        <a:p>
          <a:r>
            <a:rPr lang="en-US" sz="1800"/>
            <a:t>1.</a:t>
          </a:r>
          <a:r>
            <a:rPr lang="en-US" sz="1800" baseline="0%"/>
            <a:t> Every artist in The Piano Index gets an individual tab with their top 10 songs and social media presence</a:t>
          </a:r>
        </a:p>
      </xdr:txBody>
    </xdr:sp>
    <xdr:clientData/>
  </xdr:twoCellAnchor>
  <xdr:twoCellAnchor>
    <xdr:from>
      <xdr:col>10</xdr:col>
      <xdr:colOff>372533</xdr:colOff>
      <xdr:row>2</xdr:row>
      <xdr:rowOff>16932</xdr:rowOff>
    </xdr:from>
    <xdr:to>
      <xdr:col>15</xdr:col>
      <xdr:colOff>342900</xdr:colOff>
      <xdr:row>47</xdr:row>
      <xdr:rowOff>76199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9CDA41-BE3A-4B44-B26F-DBFA2FDFDEEE}"/>
            </a:ext>
          </a:extLst>
        </xdr:cNvPr>
        <xdr:cNvSpPr txBox="1"/>
      </xdr:nvSpPr>
      <xdr:spPr>
        <a:xfrm>
          <a:off x="9795933" y="423332"/>
          <a:ext cx="4097867" cy="92032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Piano Index: handling collab overlap in growth analysis</a:t>
          </a:r>
        </a:p>
        <a:p>
          <a:endParaRPr lang="en-US" sz="1800"/>
        </a:p>
        <a:p>
          <a:r>
            <a:rPr lang="en-US" sz="1800"/>
            <a:t>Amapiano is collab-heavy, so basket members share tracks. When I sum the basket, shared tracks get double-counted. Key framing:</a:t>
          </a:r>
        </a:p>
        <a:p>
          <a:r>
            <a:rPr lang="en-US" sz="1800" b="1"/>
            <a:t>Overlap corrupts the LEVEL, not the RATE.</a:t>
          </a:r>
          <a:r>
            <a:rPr lang="en-US" sz="1800"/>
            <a:t> The absolute index number is inflated (double-counting), but the inflation is roughly constant week to week, so it cancels out in the % change. Growth rates stay trustworthy.</a:t>
          </a:r>
        </a:p>
        <a:p>
          <a:r>
            <a:rPr lang="en-US" sz="1800" b="1"/>
            <a:t>Trust the trend, not the absolute number.</a:t>
          </a:r>
          <a:r>
            <a:rPr lang="en-US" sz="1800"/>
            <a:t> Report growth as directional. Always label it "combined" reach, never "unique."</a:t>
          </a:r>
        </a:p>
        <a:p>
          <a:r>
            <a:rPr lang="en-US" sz="1800" b="1"/>
            <a:t>Smooth single weeks.</a:t>
          </a:r>
          <a:r>
            <a:rPr lang="en-US" sz="1800"/>
            <a:t> A 4-week rolling average kills the noise from one big collab dropping and spiking two rows at once. Overlap amplifies event-spikes even though it cancels in steady state...so don't over-read any single week.</a:t>
          </a:r>
        </a:p>
        <a:p>
          <a:r>
            <a:rPr lang="en-US" sz="1800" b="1"/>
            <a:t>Followers = cleanest spine</a:t>
          </a:r>
          <a:r>
            <a:rPr lang="en-US" sz="1800"/>
            <a:t> if I want less overlap (a follow is a per-artist choice, not a shared listen). Monthly listeners overlap most; followers least.</a:t>
          </a:r>
        </a:p>
        <a:p>
          <a:r>
            <a:rPr lang="en-US" sz="1800" b="1"/>
            <a:t>Advanced move:</a:t>
          </a:r>
          <a:r>
            <a:rPr lang="en-US" sz="1800"/>
            <a:t> split collab-driven vs. solo-track growth. The gap between them is itself an insight (how collaboration-driven is the genre's momentum right now). Turns the "flaw" into a finding.</a:t>
          </a:r>
        </a:p>
        <a:p>
          <a:endParaRPr lang="en-US" sz="1800"/>
        </a:p>
      </xdr:txBody>
    </xdr:sp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D499"/>
  <sheetViews>
    <sheetView topLeftCell="A23" zoomScale="118" workbookViewId="0">
      <selection activeCell="E148" sqref="E148"/>
    </sheetView>
  </sheetViews>
  <sheetFormatPr baseColWidth="10" defaultRowHeight="16" x14ac:dyDescent="0.2"/>
  <cols>
    <col min="1" max="3" width="11" bestFit="1" customWidth="1"/>
    <col min="5" max="5" width="27.33203125" bestFit="1" customWidth="1"/>
    <col min="9" max="10" width="11" bestFit="1" customWidth="1"/>
    <col min="11" max="11" width="22.6640625" bestFit="1" customWidth="1"/>
    <col min="12" max="12" width="11.1640625" bestFit="1" customWidth="1"/>
    <col min="13" max="13" width="29.5" bestFit="1" customWidth="1"/>
    <col min="14" max="16" width="11" bestFit="1" customWidth="1"/>
    <col min="17" max="17" width="11.1640625" bestFit="1" customWidth="1"/>
    <col min="18" max="30" width="11" bestFit="1" customWidth="1"/>
  </cols>
  <sheetData>
    <row r="1" spans="1:30" x14ac:dyDescent="0.2">
      <c r="A1" s="6" t="s">
        <v>493</v>
      </c>
      <c r="B1" s="7" t="s">
        <v>486</v>
      </c>
      <c r="C1" s="7" t="s">
        <v>484</v>
      </c>
      <c r="D1" s="5" t="s">
        <v>494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 spans="1:30" x14ac:dyDescent="0.2">
      <c r="A2">
        <f>_xlfn.XLOOKUP(E2,Lookups!$E:$E,Lookups!$F:$F,0)</f>
        <v>0</v>
      </c>
      <c r="B2">
        <v>1</v>
      </c>
      <c r="C2" s="3" t="d">
        <v>2026-07-03</v>
      </c>
      <c r="D2" s="3"/>
      <c r="E2" s="26" t="s">
        <v>348</v>
      </c>
      <c r="F2" s="26" t="s">
        <v>27</v>
      </c>
      <c r="G2" s="26" t="s">
        <v>77</v>
      </c>
      <c r="H2" s="26" t="s">
        <v>31</v>
      </c>
      <c r="I2" s="26">
        <v>553</v>
      </c>
      <c r="J2" s="26">
        <v>113603</v>
      </c>
      <c r="K2" s="26">
        <v>48057</v>
      </c>
      <c r="L2" s="26">
        <v>6267875</v>
      </c>
      <c r="M2" s="26">
        <v>38782</v>
      </c>
      <c r="N2" s="26">
        <v>172378</v>
      </c>
      <c r="O2" s="26">
        <v>884</v>
      </c>
      <c r="P2" s="26">
        <v>3330000</v>
      </c>
      <c r="Q2" s="26">
        <v>1623986472</v>
      </c>
      <c r="R2" s="26">
        <v>53101116</v>
      </c>
      <c r="S2" s="26">
        <v>46</v>
      </c>
      <c r="T2" s="26">
        <v>31309236</v>
      </c>
      <c r="U2" s="26">
        <v>11966741</v>
      </c>
      <c r="V2" s="26">
        <v>12384786</v>
      </c>
      <c r="W2" s="26">
        <v>2505</v>
      </c>
      <c r="X2" s="26">
        <v>396</v>
      </c>
      <c r="Y2" s="26">
        <v>63835</v>
      </c>
      <c r="Z2" s="26">
        <v>66845</v>
      </c>
      <c r="AA2" s="26">
        <v>21</v>
      </c>
      <c r="AB2" s="26">
        <v>0</v>
      </c>
      <c r="AC2" s="26">
        <v>0</v>
      </c>
      <c r="AD2" s="26">
        <v>14.6022678190711</v>
      </c>
    </row>
    <row r="3" spans="1:30" x14ac:dyDescent="0.2">
      <c r="A3">
        <f>_xlfn.XLOOKUP(E3,Lookups!$E:$E,Lookups!$F:$F,0)</f>
        <v>1</v>
      </c>
      <c r="B3">
        <v>1</v>
      </c>
      <c r="C3" s="3" t="d">
        <v>2026-07-03</v>
      </c>
      <c r="D3" s="3"/>
      <c r="E3" s="26" t="s">
        <v>32</v>
      </c>
      <c r="F3" s="26" t="s">
        <v>27</v>
      </c>
      <c r="G3" s="26" t="s">
        <v>28</v>
      </c>
      <c r="H3" s="26" t="s">
        <v>33</v>
      </c>
      <c r="I3" s="26">
        <v>1168</v>
      </c>
      <c r="J3" s="26">
        <v>2019</v>
      </c>
      <c r="K3" s="26">
        <v>4458982</v>
      </c>
      <c r="L3" s="26">
        <v>1463831442</v>
      </c>
      <c r="M3" s="26">
        <v>4691122</v>
      </c>
      <c r="N3" s="26">
        <v>15589707</v>
      </c>
      <c r="O3" s="26">
        <v>1478</v>
      </c>
      <c r="P3" s="26">
        <v>1430000</v>
      </c>
      <c r="Q3" s="26">
        <v>968947488</v>
      </c>
      <c r="R3" s="26">
        <v>6167873</v>
      </c>
      <c r="S3" s="26">
        <v>1870</v>
      </c>
      <c r="T3" s="26">
        <v>2398604</v>
      </c>
      <c r="U3" s="26">
        <v>3757172</v>
      </c>
      <c r="V3" s="26">
        <v>4656475</v>
      </c>
      <c r="W3" s="26">
        <v>226389</v>
      </c>
      <c r="X3" s="26">
        <v>41685</v>
      </c>
      <c r="Y3" s="26">
        <v>13936</v>
      </c>
      <c r="Z3" s="26">
        <v>4253</v>
      </c>
      <c r="AA3" s="26">
        <v>634</v>
      </c>
      <c r="AB3" s="26">
        <v>10</v>
      </c>
      <c r="AC3" s="26">
        <v>69</v>
      </c>
      <c r="AD3" s="26">
        <v>1250.55631256181</v>
      </c>
    </row>
    <row r="4" spans="1:30" x14ac:dyDescent="0.2">
      <c r="A4">
        <f>_xlfn.XLOOKUP(E4,Lookups!$E:$E,Lookups!$F:$F,0)</f>
        <v>1</v>
      </c>
      <c r="B4">
        <v>1</v>
      </c>
      <c r="C4" s="3" t="d">
        <v>2026-07-03</v>
      </c>
      <c r="D4" s="3"/>
      <c r="E4" s="26" t="s">
        <v>26</v>
      </c>
      <c r="F4" s="26" t="s">
        <v>27</v>
      </c>
      <c r="G4" s="26" t="s">
        <v>28</v>
      </c>
      <c r="H4" s="26" t="s">
        <v>29</v>
      </c>
      <c r="I4" s="26">
        <v>1332</v>
      </c>
      <c r="J4" s="26">
        <v>1703</v>
      </c>
      <c r="K4" s="26">
        <v>7907778</v>
      </c>
      <c r="L4" s="26">
        <v>1149482954</v>
      </c>
      <c r="M4" s="26">
        <v>3813927</v>
      </c>
      <c r="N4" s="26">
        <v>11131799</v>
      </c>
      <c r="O4" s="26">
        <v>3618</v>
      </c>
      <c r="P4" s="26">
        <v>594000</v>
      </c>
      <c r="Q4" s="26">
        <v>514501598</v>
      </c>
      <c r="R4" s="26">
        <v>3140157</v>
      </c>
      <c r="S4" s="26">
        <v>3620</v>
      </c>
      <c r="T4" s="26">
        <v>466487</v>
      </c>
      <c r="U4" s="26">
        <v>3152350</v>
      </c>
      <c r="V4" s="26">
        <v>2130400</v>
      </c>
      <c r="W4" s="26">
        <v>225391</v>
      </c>
      <c r="X4" s="26">
        <v>23881</v>
      </c>
      <c r="Y4" s="26">
        <v>5727</v>
      </c>
      <c r="Z4" s="26">
        <v>4352</v>
      </c>
      <c r="AA4" s="26">
        <v>791</v>
      </c>
      <c r="AB4" s="26">
        <v>10</v>
      </c>
      <c r="AC4" s="26">
        <v>101</v>
      </c>
      <c r="AD4" s="26">
        <v>1452.8397645513</v>
      </c>
    </row>
    <row r="5" spans="1:30" x14ac:dyDescent="0.2">
      <c r="A5">
        <f>_xlfn.XLOOKUP(E5,Lookups!$E:$E,Lookups!$F:$F,0)</f>
        <v>0</v>
      </c>
      <c r="B5">
        <v>1</v>
      </c>
      <c r="C5" s="3" t="d">
        <v>2026-07-03</v>
      </c>
      <c r="D5" s="3"/>
      <c r="E5" s="26" t="s">
        <v>553</v>
      </c>
      <c r="F5" s="26" t="s">
        <v>554</v>
      </c>
      <c r="G5" s="26" t="s">
        <v>36</v>
      </c>
      <c r="H5" s="26" t="s">
        <v>132</v>
      </c>
      <c r="I5" s="26">
        <v>1618</v>
      </c>
      <c r="J5" s="26">
        <v>448334</v>
      </c>
      <c r="K5" s="26">
        <v>983</v>
      </c>
      <c r="L5" s="26">
        <v>381424</v>
      </c>
      <c r="M5" s="26">
        <v>1174</v>
      </c>
      <c r="N5" s="26">
        <v>3198</v>
      </c>
      <c r="O5" s="26">
        <v>2194</v>
      </c>
      <c r="P5" s="26">
        <v>2180000</v>
      </c>
      <c r="Q5" s="26">
        <v>860697969</v>
      </c>
      <c r="R5" s="26">
        <v>10643567</v>
      </c>
      <c r="S5" s="26">
        <v>557</v>
      </c>
      <c r="T5" s="26">
        <v>13117502</v>
      </c>
      <c r="U5" s="26">
        <v>9486592</v>
      </c>
      <c r="V5" s="26">
        <v>7717773</v>
      </c>
      <c r="W5" s="26">
        <v>167</v>
      </c>
      <c r="X5" s="26">
        <v>294</v>
      </c>
      <c r="Y5" s="26">
        <v>466238</v>
      </c>
      <c r="Z5" s="26" t="s">
        <v>31</v>
      </c>
      <c r="AA5" s="26" t="s">
        <v>31</v>
      </c>
      <c r="AB5" s="26" t="s">
        <v>31</v>
      </c>
      <c r="AC5" s="26" t="s">
        <v>31</v>
      </c>
      <c r="AD5" s="26" t="s">
        <v>31</v>
      </c>
    </row>
    <row r="6" spans="1:30" x14ac:dyDescent="0.2">
      <c r="A6">
        <f>_xlfn.XLOOKUP(E6,Lookups!$E:$E,Lookups!$F:$F,0)</f>
        <v>0</v>
      </c>
      <c r="B6">
        <v>1</v>
      </c>
      <c r="C6" s="3" t="d">
        <v>2026-07-03</v>
      </c>
      <c r="D6" s="3"/>
      <c r="E6" s="26" t="s">
        <v>38</v>
      </c>
      <c r="F6" s="26" t="s">
        <v>27</v>
      </c>
      <c r="G6" s="26" t="s">
        <v>36</v>
      </c>
      <c r="H6" s="26" t="s">
        <v>29</v>
      </c>
      <c r="I6" s="26">
        <v>1929</v>
      </c>
      <c r="J6" s="26">
        <v>4233</v>
      </c>
      <c r="K6" s="26">
        <v>2270672</v>
      </c>
      <c r="L6" s="26">
        <v>369060161</v>
      </c>
      <c r="M6" s="26">
        <v>2044279</v>
      </c>
      <c r="N6" s="26">
        <v>7895082</v>
      </c>
      <c r="O6" s="26">
        <v>2849</v>
      </c>
      <c r="P6" s="26">
        <v>474000</v>
      </c>
      <c r="Q6" s="26">
        <v>201857520</v>
      </c>
      <c r="R6" s="26">
        <v>1200071</v>
      </c>
      <c r="S6" s="26">
        <v>1233</v>
      </c>
      <c r="T6" s="26">
        <v>2334151</v>
      </c>
      <c r="U6" s="26">
        <v>1220117</v>
      </c>
      <c r="V6" s="26">
        <v>2850347</v>
      </c>
      <c r="W6" s="26">
        <v>7847</v>
      </c>
      <c r="X6" s="26" t="s">
        <v>31</v>
      </c>
      <c r="Y6" s="26">
        <v>24055</v>
      </c>
      <c r="Z6" s="26">
        <v>9391</v>
      </c>
      <c r="AA6" s="26">
        <v>207</v>
      </c>
      <c r="AB6" s="26">
        <v>0</v>
      </c>
      <c r="AC6" s="26">
        <v>0</v>
      </c>
      <c r="AD6" s="26">
        <v>282.23208226481597</v>
      </c>
    </row>
    <row r="7" spans="1:30" x14ac:dyDescent="0.2">
      <c r="A7">
        <f>_xlfn.XLOOKUP(E7,Lookups!$E:$E,Lookups!$F:$F,0)</f>
        <v>1</v>
      </c>
      <c r="B7">
        <v>1</v>
      </c>
      <c r="C7" s="3" t="d">
        <v>2026-07-03</v>
      </c>
      <c r="D7" s="3"/>
      <c r="E7" s="26" t="s">
        <v>49</v>
      </c>
      <c r="F7" s="26" t="s">
        <v>27</v>
      </c>
      <c r="G7" s="26" t="s">
        <v>36</v>
      </c>
      <c r="H7" s="26" t="s">
        <v>50</v>
      </c>
      <c r="I7" s="26">
        <v>2142</v>
      </c>
      <c r="J7" s="26">
        <v>4568</v>
      </c>
      <c r="K7" s="26">
        <v>1693660</v>
      </c>
      <c r="L7" s="26">
        <v>271735115</v>
      </c>
      <c r="M7" s="26">
        <v>2017591</v>
      </c>
      <c r="N7" s="26">
        <v>7436139</v>
      </c>
      <c r="O7" s="26">
        <v>4189</v>
      </c>
      <c r="P7" s="26">
        <v>365000</v>
      </c>
      <c r="Q7" s="26">
        <v>128930678</v>
      </c>
      <c r="R7" s="26">
        <v>1445530</v>
      </c>
      <c r="S7" s="26">
        <v>867</v>
      </c>
      <c r="T7" s="26">
        <v>3388867</v>
      </c>
      <c r="U7" s="26">
        <v>1312192</v>
      </c>
      <c r="V7" s="26">
        <v>2299288</v>
      </c>
      <c r="W7" s="26">
        <v>3641</v>
      </c>
      <c r="X7" s="26">
        <v>312</v>
      </c>
      <c r="Y7" s="26">
        <v>30061</v>
      </c>
      <c r="Z7" s="26">
        <v>10719</v>
      </c>
      <c r="AA7" s="26">
        <v>112</v>
      </c>
      <c r="AB7" s="26">
        <v>3</v>
      </c>
      <c r="AC7" s="26">
        <v>22</v>
      </c>
      <c r="AD7" s="26">
        <v>169.003420053491</v>
      </c>
    </row>
    <row r="8" spans="1:30" x14ac:dyDescent="0.2">
      <c r="A8">
        <f>_xlfn.XLOOKUP(E8,Lookups!$E:$E,Lookups!$F:$F,0)</f>
        <v>1</v>
      </c>
      <c r="B8">
        <v>1</v>
      </c>
      <c r="C8" s="3" t="d">
        <v>2026-07-03</v>
      </c>
      <c r="D8" s="3"/>
      <c r="E8" s="26" t="s">
        <v>30</v>
      </c>
      <c r="F8" s="26" t="s">
        <v>27</v>
      </c>
      <c r="G8" s="26" t="s">
        <v>28</v>
      </c>
      <c r="H8" s="26" t="s">
        <v>29</v>
      </c>
      <c r="I8" s="26">
        <v>2544</v>
      </c>
      <c r="J8" s="26">
        <v>2895</v>
      </c>
      <c r="K8" s="26">
        <v>4669030</v>
      </c>
      <c r="L8" s="26">
        <v>620779039</v>
      </c>
      <c r="M8" s="26">
        <v>1667314</v>
      </c>
      <c r="N8" s="26">
        <v>4143914</v>
      </c>
      <c r="O8" s="26">
        <v>4409</v>
      </c>
      <c r="P8" s="26">
        <v>542000</v>
      </c>
      <c r="Q8" s="26">
        <v>231085759</v>
      </c>
      <c r="R8" s="26">
        <v>1577531</v>
      </c>
      <c r="S8" s="26">
        <v>8638</v>
      </c>
      <c r="T8" s="26">
        <v>145620</v>
      </c>
      <c r="U8" s="26">
        <v>1159358</v>
      </c>
      <c r="V8" s="26">
        <v>320638</v>
      </c>
      <c r="W8" s="26">
        <v>34772</v>
      </c>
      <c r="X8" s="26">
        <v>5131</v>
      </c>
      <c r="Y8" s="26">
        <v>18580</v>
      </c>
      <c r="Z8" s="26">
        <v>5436</v>
      </c>
      <c r="AA8" s="26">
        <v>429</v>
      </c>
      <c r="AB8" s="26">
        <v>0</v>
      </c>
      <c r="AC8" s="26">
        <v>0</v>
      </c>
      <c r="AD8" s="26">
        <v>617.31406692199903</v>
      </c>
    </row>
    <row r="9" spans="1:30" x14ac:dyDescent="0.2">
      <c r="A9">
        <f>_xlfn.XLOOKUP(E9,Lookups!$E:$E,Lookups!$F:$F,0)</f>
        <v>1</v>
      </c>
      <c r="B9">
        <v>1</v>
      </c>
      <c r="C9" s="3" t="d">
        <v>2026-07-03</v>
      </c>
      <c r="D9" s="3"/>
      <c r="E9" s="26" t="s">
        <v>56</v>
      </c>
      <c r="F9" s="26" t="s">
        <v>27</v>
      </c>
      <c r="G9" s="26" t="s">
        <v>28</v>
      </c>
      <c r="H9" s="26" t="s">
        <v>57</v>
      </c>
      <c r="I9" s="26">
        <v>2570</v>
      </c>
      <c r="J9" s="26">
        <v>6650</v>
      </c>
      <c r="K9" s="26">
        <v>1601098</v>
      </c>
      <c r="L9" s="26">
        <v>208116967</v>
      </c>
      <c r="M9" s="26">
        <v>1544604</v>
      </c>
      <c r="N9" s="26">
        <v>7449538</v>
      </c>
      <c r="O9" s="26">
        <v>4653</v>
      </c>
      <c r="P9" s="26">
        <v>582000</v>
      </c>
      <c r="Q9" s="26">
        <v>157049282</v>
      </c>
      <c r="R9" s="26">
        <v>1743842</v>
      </c>
      <c r="S9" s="26">
        <v>1050</v>
      </c>
      <c r="T9" s="26">
        <v>3815185</v>
      </c>
      <c r="U9" s="26">
        <v>3524682</v>
      </c>
      <c r="V9" s="26">
        <v>36156</v>
      </c>
      <c r="W9" s="26">
        <v>12279</v>
      </c>
      <c r="X9" s="26">
        <v>11000</v>
      </c>
      <c r="Y9" s="26">
        <v>26090</v>
      </c>
      <c r="Z9" s="26">
        <v>1573</v>
      </c>
      <c r="AA9" s="26">
        <v>38</v>
      </c>
      <c r="AB9" s="26">
        <v>2</v>
      </c>
      <c r="AC9" s="26">
        <v>206</v>
      </c>
      <c r="AD9" s="26">
        <v>3361.5129095389998</v>
      </c>
    </row>
    <row r="10" spans="1:30" x14ac:dyDescent="0.2">
      <c r="A10">
        <f>_xlfn.XLOOKUP(E10,Lookups!$E:$E,Lookups!$F:$F,0)</f>
        <v>0</v>
      </c>
      <c r="B10">
        <v>1</v>
      </c>
      <c r="C10" s="3" t="d">
        <v>2026-07-03</v>
      </c>
      <c r="D10" s="3"/>
      <c r="E10" s="26" t="s">
        <v>52</v>
      </c>
      <c r="F10" s="26" t="s">
        <v>27</v>
      </c>
      <c r="G10" s="26" t="s">
        <v>28</v>
      </c>
      <c r="H10" s="26" t="s">
        <v>53</v>
      </c>
      <c r="I10" s="26">
        <v>2633</v>
      </c>
      <c r="J10" s="26">
        <v>12423</v>
      </c>
      <c r="K10" s="26">
        <v>1627606</v>
      </c>
      <c r="L10" s="26">
        <v>243726648</v>
      </c>
      <c r="M10" s="26">
        <v>396334</v>
      </c>
      <c r="N10" s="26">
        <v>1334147</v>
      </c>
      <c r="O10" s="26">
        <v>2059</v>
      </c>
      <c r="P10" s="26">
        <v>1020000</v>
      </c>
      <c r="Q10" s="26">
        <v>763322676</v>
      </c>
      <c r="R10" s="26">
        <v>3270138</v>
      </c>
      <c r="S10" s="26">
        <v>871</v>
      </c>
      <c r="T10" s="26">
        <v>4140718</v>
      </c>
      <c r="U10" s="26">
        <v>1438627</v>
      </c>
      <c r="V10" s="26">
        <v>8623765</v>
      </c>
      <c r="W10" s="26">
        <v>77596</v>
      </c>
      <c r="X10" s="26" t="s">
        <v>31</v>
      </c>
      <c r="Y10" s="26">
        <v>23865</v>
      </c>
      <c r="Z10" s="26">
        <v>22176</v>
      </c>
      <c r="AA10" s="26">
        <v>160</v>
      </c>
      <c r="AB10" s="26">
        <v>0</v>
      </c>
      <c r="AC10" s="26">
        <v>0</v>
      </c>
      <c r="AD10" s="26">
        <v>191.83221110517101</v>
      </c>
    </row>
    <row r="11" spans="1:30" x14ac:dyDescent="0.2">
      <c r="A11">
        <f>_xlfn.XLOOKUP(E11,Lookups!$E:$E,Lookups!$F:$F,0)</f>
        <v>0</v>
      </c>
      <c r="B11">
        <v>1</v>
      </c>
      <c r="C11" s="3" t="d">
        <v>2026-07-03</v>
      </c>
      <c r="D11" s="3"/>
      <c r="E11" s="26" t="s">
        <v>34</v>
      </c>
      <c r="F11" s="26" t="s">
        <v>35</v>
      </c>
      <c r="G11" s="26" t="s">
        <v>36</v>
      </c>
      <c r="H11" s="26" t="s">
        <v>37</v>
      </c>
      <c r="I11" s="26">
        <v>2909</v>
      </c>
      <c r="J11" s="26">
        <v>3323</v>
      </c>
      <c r="K11" s="26">
        <v>3019863</v>
      </c>
      <c r="L11" s="26">
        <v>699218918</v>
      </c>
      <c r="M11" s="26">
        <v>2460115</v>
      </c>
      <c r="N11" s="26">
        <v>6807145</v>
      </c>
      <c r="O11" s="26">
        <v>11804</v>
      </c>
      <c r="P11" s="26">
        <v>293000</v>
      </c>
      <c r="Q11" s="26">
        <v>114547876</v>
      </c>
      <c r="R11" s="26">
        <v>1035273</v>
      </c>
      <c r="S11" s="26">
        <v>5298</v>
      </c>
      <c r="T11" s="26">
        <v>542139</v>
      </c>
      <c r="U11" s="26">
        <v>2509418</v>
      </c>
      <c r="V11" s="26">
        <v>500878</v>
      </c>
      <c r="W11" s="26">
        <v>62407</v>
      </c>
      <c r="X11" s="26" t="s">
        <v>31</v>
      </c>
      <c r="Y11" s="26">
        <v>5759</v>
      </c>
      <c r="Z11" s="26" t="s">
        <v>31</v>
      </c>
      <c r="AA11" s="26" t="s">
        <v>31</v>
      </c>
      <c r="AB11" s="26" t="s">
        <v>31</v>
      </c>
      <c r="AC11" s="26" t="s">
        <v>31</v>
      </c>
      <c r="AD11" s="26" t="s">
        <v>31</v>
      </c>
    </row>
    <row r="12" spans="1:30" x14ac:dyDescent="0.2">
      <c r="A12">
        <f>_xlfn.XLOOKUP(E12,Lookups!$E:$E,Lookups!$F:$F,0)</f>
        <v>1</v>
      </c>
      <c r="B12">
        <v>1</v>
      </c>
      <c r="C12" s="3" t="d">
        <v>2026-07-03</v>
      </c>
      <c r="D12" s="3"/>
      <c r="E12" s="26" t="s">
        <v>58</v>
      </c>
      <c r="F12" s="26" t="s">
        <v>27</v>
      </c>
      <c r="G12" s="26" t="s">
        <v>28</v>
      </c>
      <c r="H12" s="26" t="s">
        <v>50</v>
      </c>
      <c r="I12" s="26">
        <v>3339</v>
      </c>
      <c r="J12" s="26">
        <v>6372</v>
      </c>
      <c r="K12" s="26">
        <v>1570892</v>
      </c>
      <c r="L12" s="26">
        <v>386533451</v>
      </c>
      <c r="M12" s="26">
        <v>2458020</v>
      </c>
      <c r="N12" s="26">
        <v>9602399</v>
      </c>
      <c r="O12" s="26">
        <v>8333</v>
      </c>
      <c r="P12" s="26">
        <v>495000</v>
      </c>
      <c r="Q12" s="26">
        <v>251206642</v>
      </c>
      <c r="R12" s="26">
        <v>2038557</v>
      </c>
      <c r="S12" s="26">
        <v>2419</v>
      </c>
      <c r="T12" s="26">
        <v>1589188</v>
      </c>
      <c r="U12" s="26">
        <v>2679918</v>
      </c>
      <c r="V12" s="26">
        <v>3716982</v>
      </c>
      <c r="W12" s="26">
        <v>74201</v>
      </c>
      <c r="X12" s="26">
        <v>8661</v>
      </c>
      <c r="Y12" s="26">
        <v>13233</v>
      </c>
      <c r="Z12" s="26">
        <v>9113</v>
      </c>
      <c r="AA12" s="26">
        <v>266</v>
      </c>
      <c r="AB12" s="26">
        <v>4</v>
      </c>
      <c r="AC12" s="26">
        <v>30</v>
      </c>
      <c r="AD12" s="26">
        <v>382.842551984311</v>
      </c>
    </row>
    <row r="13" spans="1:30" x14ac:dyDescent="0.2">
      <c r="A13">
        <f>_xlfn.XLOOKUP(E13,Lookups!$E:$E,Lookups!$F:$F,0)</f>
        <v>1</v>
      </c>
      <c r="B13">
        <v>1</v>
      </c>
      <c r="C13" s="3" t="d">
        <v>2026-07-03</v>
      </c>
      <c r="D13" s="3"/>
      <c r="E13" s="26" t="s">
        <v>65</v>
      </c>
      <c r="F13" s="26" t="s">
        <v>27</v>
      </c>
      <c r="G13" s="26" t="s">
        <v>36</v>
      </c>
      <c r="H13" s="26" t="s">
        <v>48</v>
      </c>
      <c r="I13" s="26">
        <v>3404</v>
      </c>
      <c r="J13" s="26">
        <v>5795</v>
      </c>
      <c r="K13" s="26">
        <v>1275926</v>
      </c>
      <c r="L13" s="26">
        <v>186616030</v>
      </c>
      <c r="M13" s="26">
        <v>1685783</v>
      </c>
      <c r="N13" s="26">
        <v>3957091</v>
      </c>
      <c r="O13" s="26">
        <v>4260</v>
      </c>
      <c r="P13" s="26">
        <v>324000</v>
      </c>
      <c r="Q13" s="26">
        <v>187645002</v>
      </c>
      <c r="R13" s="26">
        <v>1017407</v>
      </c>
      <c r="S13" s="26">
        <v>7100</v>
      </c>
      <c r="T13" s="26">
        <v>233735</v>
      </c>
      <c r="U13" s="26">
        <v>309818</v>
      </c>
      <c r="V13" s="26" t="s">
        <v>31</v>
      </c>
      <c r="W13" s="26">
        <v>5700</v>
      </c>
      <c r="X13" s="26">
        <v>21</v>
      </c>
      <c r="Y13" s="26">
        <v>34914</v>
      </c>
      <c r="Z13" s="26" t="s">
        <v>31</v>
      </c>
      <c r="AA13" s="26" t="s">
        <v>31</v>
      </c>
      <c r="AB13" s="26" t="s">
        <v>31</v>
      </c>
      <c r="AC13" s="26" t="s">
        <v>31</v>
      </c>
      <c r="AD13" s="26" t="s">
        <v>31</v>
      </c>
    </row>
    <row r="14" spans="1:30" x14ac:dyDescent="0.2">
      <c r="A14">
        <f>_xlfn.XLOOKUP(E14,Lookups!$E:$E,Lookups!$F:$F,0)</f>
        <v>0</v>
      </c>
      <c r="B14">
        <v>1</v>
      </c>
      <c r="C14" s="3" t="d">
        <v>2026-07-03</v>
      </c>
      <c r="D14" s="3"/>
      <c r="E14" s="26" t="s">
        <v>555</v>
      </c>
      <c r="F14" s="26" t="s">
        <v>27</v>
      </c>
      <c r="G14" s="26" t="s">
        <v>77</v>
      </c>
      <c r="H14" s="26" t="s">
        <v>95</v>
      </c>
      <c r="I14" s="26">
        <v>3510</v>
      </c>
      <c r="J14" s="26">
        <v>292385</v>
      </c>
      <c r="K14" s="26">
        <v>8235</v>
      </c>
      <c r="L14" s="26">
        <v>278400</v>
      </c>
      <c r="M14" s="26">
        <v>1935</v>
      </c>
      <c r="N14" s="26">
        <v>8</v>
      </c>
      <c r="O14" s="26">
        <v>1703</v>
      </c>
      <c r="P14" s="26">
        <v>1540000</v>
      </c>
      <c r="Q14" s="26">
        <v>246739795</v>
      </c>
      <c r="R14" s="26">
        <v>9406433</v>
      </c>
      <c r="S14" s="26">
        <v>1006</v>
      </c>
      <c r="T14" s="26">
        <v>2451369</v>
      </c>
      <c r="U14" s="26">
        <v>1560932</v>
      </c>
      <c r="V14" s="26">
        <v>44060</v>
      </c>
      <c r="W14" s="26">
        <v>16</v>
      </c>
      <c r="X14" s="26" t="s">
        <v>31</v>
      </c>
      <c r="Y14" s="26">
        <v>466238</v>
      </c>
      <c r="Z14" s="26" t="s">
        <v>31</v>
      </c>
      <c r="AA14" s="26" t="s">
        <v>31</v>
      </c>
      <c r="AB14" s="26" t="s">
        <v>31</v>
      </c>
      <c r="AC14" s="26" t="s">
        <v>31</v>
      </c>
      <c r="AD14" s="26" t="s">
        <v>31</v>
      </c>
    </row>
    <row r="15" spans="1:30" x14ac:dyDescent="0.2">
      <c r="A15">
        <f>_xlfn.XLOOKUP(E15,Lookups!$E:$E,Lookups!$F:$F,0)</f>
        <v>1</v>
      </c>
      <c r="B15">
        <v>1</v>
      </c>
      <c r="C15" s="3" t="d">
        <v>2026-07-03</v>
      </c>
      <c r="D15" s="3"/>
      <c r="E15" s="26" t="s">
        <v>45</v>
      </c>
      <c r="F15" s="26" t="s">
        <v>27</v>
      </c>
      <c r="G15" s="26" t="s">
        <v>28</v>
      </c>
      <c r="H15" s="26" t="s">
        <v>33</v>
      </c>
      <c r="I15" s="26">
        <v>3583</v>
      </c>
      <c r="J15" s="26">
        <v>3931</v>
      </c>
      <c r="K15" s="26">
        <v>1838533</v>
      </c>
      <c r="L15" s="26">
        <v>461935885</v>
      </c>
      <c r="M15" s="26">
        <v>2823644</v>
      </c>
      <c r="N15" s="26">
        <v>11186792</v>
      </c>
      <c r="O15" s="26">
        <v>613359</v>
      </c>
      <c r="P15" s="26" t="s">
        <v>31</v>
      </c>
      <c r="Q15" s="26" t="s">
        <v>31</v>
      </c>
      <c r="R15" s="26" t="s">
        <v>31</v>
      </c>
      <c r="S15" s="26">
        <v>6356</v>
      </c>
      <c r="T15" s="26" t="s">
        <v>31</v>
      </c>
      <c r="U15" s="26">
        <v>1321490</v>
      </c>
      <c r="V15" s="26" t="s">
        <v>31</v>
      </c>
      <c r="W15" s="26">
        <v>5281</v>
      </c>
      <c r="X15" s="26">
        <v>627</v>
      </c>
      <c r="Y15" s="26">
        <v>79539</v>
      </c>
      <c r="Z15" s="26" t="s">
        <v>31</v>
      </c>
      <c r="AA15" s="26" t="s">
        <v>31</v>
      </c>
      <c r="AB15" s="26" t="s">
        <v>31</v>
      </c>
      <c r="AC15" s="26" t="s">
        <v>31</v>
      </c>
      <c r="AD15" s="26" t="s">
        <v>31</v>
      </c>
    </row>
    <row r="16" spans="1:30" x14ac:dyDescent="0.2">
      <c r="A16">
        <f>_xlfn.XLOOKUP(E16,Lookups!$E:$E,Lookups!$F:$F,0)</f>
        <v>0</v>
      </c>
      <c r="B16">
        <v>1</v>
      </c>
      <c r="C16" s="3" t="d">
        <v>2026-07-03</v>
      </c>
      <c r="D16" s="3"/>
      <c r="E16" s="26" t="s">
        <v>63</v>
      </c>
      <c r="F16" s="26" t="s">
        <v>27</v>
      </c>
      <c r="G16" s="26" t="s">
        <v>28</v>
      </c>
      <c r="H16" s="26" t="s">
        <v>48</v>
      </c>
      <c r="I16" s="26">
        <v>3611</v>
      </c>
      <c r="J16" s="26">
        <v>10359</v>
      </c>
      <c r="K16" s="26">
        <v>1496389</v>
      </c>
      <c r="L16" s="26">
        <v>208911298</v>
      </c>
      <c r="M16" s="26">
        <v>840239</v>
      </c>
      <c r="N16" s="26">
        <v>2723270</v>
      </c>
      <c r="O16" s="26">
        <v>8173</v>
      </c>
      <c r="P16" s="26">
        <v>563000</v>
      </c>
      <c r="Q16" s="26">
        <v>295837867</v>
      </c>
      <c r="R16" s="26">
        <v>2933637</v>
      </c>
      <c r="S16" s="26">
        <v>1774</v>
      </c>
      <c r="T16" s="26">
        <v>2830334</v>
      </c>
      <c r="U16" s="26">
        <v>6516655</v>
      </c>
      <c r="V16" s="26">
        <v>7110438</v>
      </c>
      <c r="W16" s="26">
        <v>261030</v>
      </c>
      <c r="X16" s="26">
        <v>27928</v>
      </c>
      <c r="Y16" s="26">
        <v>9283</v>
      </c>
      <c r="Z16" s="26">
        <v>17134</v>
      </c>
      <c r="AA16" s="26">
        <v>214</v>
      </c>
      <c r="AB16" s="26">
        <v>0</v>
      </c>
      <c r="AC16" s="26">
        <v>0</v>
      </c>
      <c r="AD16" s="26">
        <v>397.72838330932098</v>
      </c>
    </row>
    <row r="17" spans="1:30" x14ac:dyDescent="0.2">
      <c r="A17">
        <f>_xlfn.XLOOKUP(E17,Lookups!$E:$E,Lookups!$F:$F,0)</f>
        <v>1</v>
      </c>
      <c r="B17">
        <v>1</v>
      </c>
      <c r="C17" s="3" t="d">
        <v>2026-07-03</v>
      </c>
      <c r="D17" s="3"/>
      <c r="E17" s="26" t="s">
        <v>39</v>
      </c>
      <c r="F17" s="26" t="s">
        <v>27</v>
      </c>
      <c r="G17" s="26" t="s">
        <v>28</v>
      </c>
      <c r="H17" s="26" t="s">
        <v>40</v>
      </c>
      <c r="I17" s="26">
        <v>3639</v>
      </c>
      <c r="J17" s="26">
        <v>8313</v>
      </c>
      <c r="K17" s="26">
        <v>2146180</v>
      </c>
      <c r="L17" s="26">
        <v>223599478</v>
      </c>
      <c r="M17" s="26">
        <v>802700</v>
      </c>
      <c r="N17" s="26">
        <v>2970443</v>
      </c>
      <c r="O17" s="26">
        <v>8518</v>
      </c>
      <c r="P17" s="26">
        <v>543000</v>
      </c>
      <c r="Q17" s="26">
        <v>228312985</v>
      </c>
      <c r="R17" s="26">
        <v>1846865</v>
      </c>
      <c r="S17" s="26">
        <v>1100</v>
      </c>
      <c r="T17" s="26">
        <v>3119631</v>
      </c>
      <c r="U17" s="26">
        <v>2276521</v>
      </c>
      <c r="V17" s="26">
        <v>3241005</v>
      </c>
      <c r="W17" s="26">
        <v>67112</v>
      </c>
      <c r="X17" s="26">
        <v>4061</v>
      </c>
      <c r="Y17" s="26">
        <v>18447</v>
      </c>
      <c r="Z17" s="26">
        <v>21089</v>
      </c>
      <c r="AA17" s="26">
        <v>131</v>
      </c>
      <c r="AB17" s="26">
        <v>0</v>
      </c>
      <c r="AC17" s="26">
        <v>0</v>
      </c>
      <c r="AD17" s="26">
        <v>194.33923478116199</v>
      </c>
    </row>
    <row r="18" spans="1:30" x14ac:dyDescent="0.2">
      <c r="A18">
        <f>_xlfn.XLOOKUP(E18,Lookups!$E:$E,Lookups!$F:$F,0)</f>
        <v>0</v>
      </c>
      <c r="B18">
        <v>1</v>
      </c>
      <c r="C18" s="3" t="d">
        <v>2026-07-03</v>
      </c>
      <c r="D18" s="3"/>
      <c r="E18" s="26" t="s">
        <v>102</v>
      </c>
      <c r="F18" s="26" t="s">
        <v>27</v>
      </c>
      <c r="G18" s="26" t="s">
        <v>28</v>
      </c>
      <c r="H18" s="26" t="s">
        <v>103</v>
      </c>
      <c r="I18" s="26">
        <v>3797</v>
      </c>
      <c r="J18" s="26">
        <v>3846</v>
      </c>
      <c r="K18" s="26">
        <v>708600</v>
      </c>
      <c r="L18" s="26">
        <v>1095288410</v>
      </c>
      <c r="M18" s="26">
        <v>4495301</v>
      </c>
      <c r="N18" s="26">
        <v>16870953</v>
      </c>
      <c r="O18" s="26">
        <v>4076</v>
      </c>
      <c r="P18" s="26">
        <v>138</v>
      </c>
      <c r="Q18" s="26">
        <v>1245441970</v>
      </c>
      <c r="R18" s="26">
        <v>8795574</v>
      </c>
      <c r="S18" s="26">
        <v>7504</v>
      </c>
      <c r="T18" s="26">
        <v>1814526</v>
      </c>
      <c r="U18" s="26">
        <v>1975824</v>
      </c>
      <c r="V18" s="26">
        <v>4050014</v>
      </c>
      <c r="W18" s="26">
        <v>93376</v>
      </c>
      <c r="X18" s="26" t="s">
        <v>31</v>
      </c>
      <c r="Y18" s="26">
        <v>1779</v>
      </c>
      <c r="Z18" s="26">
        <v>19628</v>
      </c>
      <c r="AA18" s="26">
        <v>166</v>
      </c>
      <c r="AB18" s="26">
        <v>2</v>
      </c>
      <c r="AC18" s="26">
        <v>38</v>
      </c>
      <c r="AD18" s="26">
        <v>301.78626707819802</v>
      </c>
    </row>
    <row r="19" spans="1:30" x14ac:dyDescent="0.2">
      <c r="A19">
        <f>_xlfn.XLOOKUP(E19,Lookups!$E:$E,Lookups!$F:$F,0)</f>
        <v>0</v>
      </c>
      <c r="B19">
        <v>1</v>
      </c>
      <c r="C19" s="3" t="d">
        <v>2026-07-03</v>
      </c>
      <c r="D19" s="3"/>
      <c r="E19" s="26" t="s">
        <v>160</v>
      </c>
      <c r="F19" s="26" t="s">
        <v>27</v>
      </c>
      <c r="G19" s="26" t="s">
        <v>28</v>
      </c>
      <c r="H19" s="26" t="s">
        <v>72</v>
      </c>
      <c r="I19" s="26">
        <v>3901</v>
      </c>
      <c r="J19" s="26">
        <v>4327</v>
      </c>
      <c r="K19" s="26">
        <v>257255</v>
      </c>
      <c r="L19" s="26">
        <v>321431996</v>
      </c>
      <c r="M19" s="26">
        <v>6157309</v>
      </c>
      <c r="N19" s="26">
        <v>47834694</v>
      </c>
      <c r="O19" s="26">
        <v>22790</v>
      </c>
      <c r="P19" s="26">
        <v>77600</v>
      </c>
      <c r="Q19" s="26">
        <v>31980373</v>
      </c>
      <c r="R19" s="26">
        <v>313948</v>
      </c>
      <c r="S19" s="26">
        <v>2728</v>
      </c>
      <c r="T19" s="26">
        <v>373115</v>
      </c>
      <c r="U19" s="26">
        <v>1277880</v>
      </c>
      <c r="V19" s="26">
        <v>1840460</v>
      </c>
      <c r="W19" s="26">
        <v>21674</v>
      </c>
      <c r="X19" s="26">
        <v>43157</v>
      </c>
      <c r="Y19" s="26">
        <v>7295</v>
      </c>
      <c r="Z19" s="26">
        <v>123905</v>
      </c>
      <c r="AA19" s="26">
        <v>28</v>
      </c>
      <c r="AB19" s="26">
        <v>1</v>
      </c>
      <c r="AC19" s="26">
        <v>2</v>
      </c>
      <c r="AD19" s="26">
        <v>14.8043247454646</v>
      </c>
    </row>
    <row r="20" spans="1:30" x14ac:dyDescent="0.2">
      <c r="A20">
        <f>_xlfn.XLOOKUP(E20,Lookups!$E:$E,Lookups!$F:$F,0)</f>
        <v>0</v>
      </c>
      <c r="B20">
        <v>1</v>
      </c>
      <c r="C20" s="3" t="d">
        <v>2026-07-03</v>
      </c>
      <c r="D20" s="3"/>
      <c r="E20" s="26" t="s">
        <v>59</v>
      </c>
      <c r="F20" s="26" t="s">
        <v>27</v>
      </c>
      <c r="G20" s="26" t="s">
        <v>28</v>
      </c>
      <c r="H20" s="26" t="s">
        <v>44</v>
      </c>
      <c r="I20" s="26">
        <v>4171</v>
      </c>
      <c r="J20" s="26">
        <v>5747</v>
      </c>
      <c r="K20" s="26">
        <v>1558102</v>
      </c>
      <c r="L20" s="26">
        <v>326612473</v>
      </c>
      <c r="M20" s="26">
        <v>1604568</v>
      </c>
      <c r="N20" s="26">
        <v>4476345</v>
      </c>
      <c r="O20" s="26">
        <v>10438</v>
      </c>
      <c r="P20" s="26">
        <v>178000</v>
      </c>
      <c r="Q20" s="26">
        <v>47241821</v>
      </c>
      <c r="R20" s="26">
        <v>300543</v>
      </c>
      <c r="S20" s="26">
        <v>9730</v>
      </c>
      <c r="T20" s="26">
        <v>707010</v>
      </c>
      <c r="U20" s="26">
        <v>567916</v>
      </c>
      <c r="V20" s="26">
        <v>61511</v>
      </c>
      <c r="W20" s="26">
        <v>13041</v>
      </c>
      <c r="X20" s="26" t="s">
        <v>31</v>
      </c>
      <c r="Y20" s="26">
        <v>27006</v>
      </c>
      <c r="Z20" s="26">
        <v>12555</v>
      </c>
      <c r="AA20" s="26">
        <v>121</v>
      </c>
      <c r="AB20" s="26">
        <v>1</v>
      </c>
      <c r="AC20" s="26">
        <v>23</v>
      </c>
      <c r="AD20" s="26">
        <v>161.036158444721</v>
      </c>
    </row>
    <row r="21" spans="1:30" x14ac:dyDescent="0.2">
      <c r="A21">
        <f>_xlfn.XLOOKUP(E21,Lookups!$E:$E,Lookups!$F:$F,0)</f>
        <v>0</v>
      </c>
      <c r="B21">
        <v>1</v>
      </c>
      <c r="C21" s="3" t="d">
        <v>2026-07-03</v>
      </c>
      <c r="D21" s="3"/>
      <c r="E21" s="26" t="s">
        <v>80</v>
      </c>
      <c r="F21" s="26" t="s">
        <v>27</v>
      </c>
      <c r="G21" s="26" t="s">
        <v>28</v>
      </c>
      <c r="H21" s="26" t="s">
        <v>29</v>
      </c>
      <c r="I21" s="26">
        <v>4585</v>
      </c>
      <c r="J21" s="26">
        <v>8450</v>
      </c>
      <c r="K21" s="26">
        <v>937268</v>
      </c>
      <c r="L21" s="26">
        <v>402161640</v>
      </c>
      <c r="M21" s="26">
        <v>1288579</v>
      </c>
      <c r="N21" s="26">
        <v>3416575</v>
      </c>
      <c r="O21" s="26">
        <v>56949</v>
      </c>
      <c r="P21" s="26">
        <v>1830</v>
      </c>
      <c r="Q21" s="26">
        <v>22907413</v>
      </c>
      <c r="R21" s="26">
        <v>169750</v>
      </c>
      <c r="S21" s="26">
        <v>3155</v>
      </c>
      <c r="T21" s="26">
        <v>3911453</v>
      </c>
      <c r="U21" s="26">
        <v>2775933</v>
      </c>
      <c r="V21" s="26">
        <v>127</v>
      </c>
      <c r="W21" s="26">
        <v>11296</v>
      </c>
      <c r="X21" s="26" t="s">
        <v>31</v>
      </c>
      <c r="Y21" s="26">
        <v>25019</v>
      </c>
      <c r="Z21" s="26">
        <v>11949</v>
      </c>
      <c r="AA21" s="26">
        <v>170</v>
      </c>
      <c r="AB21" s="26">
        <v>0</v>
      </c>
      <c r="AC21" s="26">
        <v>0</v>
      </c>
      <c r="AD21" s="26">
        <v>242.093266302941</v>
      </c>
    </row>
    <row r="22" spans="1:30" x14ac:dyDescent="0.2">
      <c r="A22">
        <f>_xlfn.XLOOKUP(E22,Lookups!$E:$E,Lookups!$F:$F,0)</f>
        <v>0</v>
      </c>
      <c r="B22">
        <v>1</v>
      </c>
      <c r="C22" s="3" t="d">
        <v>2026-07-03</v>
      </c>
      <c r="D22" s="3"/>
      <c r="E22" s="26" t="s">
        <v>43</v>
      </c>
      <c r="F22" s="26" t="s">
        <v>27</v>
      </c>
      <c r="G22" s="26" t="s">
        <v>28</v>
      </c>
      <c r="H22" s="26" t="s">
        <v>44</v>
      </c>
      <c r="I22" s="26">
        <v>4704</v>
      </c>
      <c r="J22" s="26">
        <v>5440</v>
      </c>
      <c r="K22" s="26">
        <v>1906580</v>
      </c>
      <c r="L22" s="26">
        <v>295608849</v>
      </c>
      <c r="M22" s="26">
        <v>1477500</v>
      </c>
      <c r="N22" s="26">
        <v>5066848</v>
      </c>
      <c r="O22" s="26">
        <v>148002</v>
      </c>
      <c r="P22" s="26">
        <v>2350</v>
      </c>
      <c r="Q22" s="26">
        <v>962765</v>
      </c>
      <c r="R22" s="26">
        <v>9150</v>
      </c>
      <c r="S22" s="26">
        <v>7460</v>
      </c>
      <c r="T22" s="26">
        <v>561417</v>
      </c>
      <c r="U22" s="26">
        <v>555164</v>
      </c>
      <c r="V22" s="26">
        <v>1198433</v>
      </c>
      <c r="W22" s="26">
        <v>11606</v>
      </c>
      <c r="X22" s="26">
        <v>2128</v>
      </c>
      <c r="Y22" s="26">
        <v>18446</v>
      </c>
      <c r="Z22" s="26">
        <v>6130</v>
      </c>
      <c r="AA22" s="26">
        <v>130</v>
      </c>
      <c r="AB22" s="26">
        <v>6</v>
      </c>
      <c r="AC22" s="26">
        <v>38</v>
      </c>
      <c r="AD22" s="26">
        <v>479.08907533165802</v>
      </c>
    </row>
    <row r="23" spans="1:30" x14ac:dyDescent="0.2">
      <c r="A23">
        <f>_xlfn.XLOOKUP(E23,Lookups!$E:$E,Lookups!$F:$F,0)</f>
        <v>1</v>
      </c>
      <c r="B23">
        <v>1</v>
      </c>
      <c r="C23" s="3" t="d">
        <v>2026-07-03</v>
      </c>
      <c r="D23" s="3"/>
      <c r="E23" s="26" t="s">
        <v>60</v>
      </c>
      <c r="F23" s="26" t="s">
        <v>27</v>
      </c>
      <c r="G23" s="26" t="s">
        <v>28</v>
      </c>
      <c r="H23" s="26" t="s">
        <v>33</v>
      </c>
      <c r="I23" s="26">
        <v>4773</v>
      </c>
      <c r="J23" s="26">
        <v>6304</v>
      </c>
      <c r="K23" s="26">
        <v>1551136</v>
      </c>
      <c r="L23" s="26">
        <v>420009551</v>
      </c>
      <c r="M23" s="26">
        <v>2278538</v>
      </c>
      <c r="N23" s="26">
        <v>5958557</v>
      </c>
      <c r="O23" s="26">
        <v>4597</v>
      </c>
      <c r="P23" s="26">
        <v>579000</v>
      </c>
      <c r="Q23" s="26">
        <v>363221124</v>
      </c>
      <c r="R23" s="26">
        <v>2396399</v>
      </c>
      <c r="S23" s="26">
        <v>9200</v>
      </c>
      <c r="T23" s="26">
        <v>591043</v>
      </c>
      <c r="U23" s="26">
        <v>817068</v>
      </c>
      <c r="V23" s="26">
        <v>1618568</v>
      </c>
      <c r="W23" s="26">
        <v>46576</v>
      </c>
      <c r="X23" s="26">
        <v>1287</v>
      </c>
      <c r="Y23" s="26">
        <v>13761</v>
      </c>
      <c r="Z23" s="26">
        <v>2673</v>
      </c>
      <c r="AA23" s="26">
        <v>266</v>
      </c>
      <c r="AB23" s="26">
        <v>2</v>
      </c>
      <c r="AC23" s="26">
        <v>79</v>
      </c>
      <c r="AD23" s="26">
        <v>1402.7406451178299</v>
      </c>
    </row>
    <row r="24" spans="1:30" x14ac:dyDescent="0.2">
      <c r="A24">
        <f>_xlfn.XLOOKUP(E24,Lookups!$E:$E,Lookups!$F:$F,0)</f>
        <v>0</v>
      </c>
      <c r="B24">
        <v>1</v>
      </c>
      <c r="C24" s="3" t="d">
        <v>2026-07-03</v>
      </c>
      <c r="D24" s="3"/>
      <c r="E24" s="26" t="s">
        <v>42</v>
      </c>
      <c r="F24" s="26" t="s">
        <v>27</v>
      </c>
      <c r="G24" s="26" t="s">
        <v>28</v>
      </c>
      <c r="H24" s="26" t="s">
        <v>33</v>
      </c>
      <c r="I24" s="26">
        <v>4984</v>
      </c>
      <c r="J24" s="26">
        <v>7090</v>
      </c>
      <c r="K24" s="26">
        <v>1938748</v>
      </c>
      <c r="L24" s="26">
        <v>426874353</v>
      </c>
      <c r="M24" s="26">
        <v>1053355</v>
      </c>
      <c r="N24" s="26">
        <v>3784951</v>
      </c>
      <c r="O24" s="26">
        <v>14094</v>
      </c>
      <c r="P24" s="26">
        <v>194000</v>
      </c>
      <c r="Q24" s="26">
        <v>100507942</v>
      </c>
      <c r="R24" s="26">
        <v>622554</v>
      </c>
      <c r="S24" s="26">
        <v>7700</v>
      </c>
      <c r="T24" s="26">
        <v>37112</v>
      </c>
      <c r="U24" s="26">
        <v>1577419</v>
      </c>
      <c r="V24" s="26">
        <v>1461443</v>
      </c>
      <c r="W24" s="26">
        <v>35143</v>
      </c>
      <c r="X24" s="26">
        <v>1129</v>
      </c>
      <c r="Y24" s="26">
        <v>55837</v>
      </c>
      <c r="Z24" s="26">
        <v>15935</v>
      </c>
      <c r="AA24" s="26">
        <v>150</v>
      </c>
      <c r="AB24" s="26">
        <v>1</v>
      </c>
      <c r="AC24" s="26">
        <v>3</v>
      </c>
      <c r="AD24" s="26">
        <v>199.55946556106301</v>
      </c>
    </row>
    <row r="25" spans="1:30" x14ac:dyDescent="0.2">
      <c r="A25">
        <f>_xlfn.XLOOKUP(E25,Lookups!$E:$E,Lookups!$F:$F,0)</f>
        <v>0</v>
      </c>
      <c r="B25">
        <v>1</v>
      </c>
      <c r="C25" s="3" t="d">
        <v>2026-07-03</v>
      </c>
      <c r="D25" s="3"/>
      <c r="E25" s="26" t="s">
        <v>85</v>
      </c>
      <c r="F25" s="26" t="s">
        <v>27</v>
      </c>
      <c r="G25" s="26" t="s">
        <v>28</v>
      </c>
      <c r="H25" s="26" t="s">
        <v>86</v>
      </c>
      <c r="I25" s="26">
        <v>5041</v>
      </c>
      <c r="J25" s="26">
        <v>9838</v>
      </c>
      <c r="K25" s="26">
        <v>909018</v>
      </c>
      <c r="L25" s="26">
        <v>188140413</v>
      </c>
      <c r="M25" s="26">
        <v>1560493</v>
      </c>
      <c r="N25" s="26">
        <v>12730595</v>
      </c>
      <c r="O25" s="26">
        <v>4632</v>
      </c>
      <c r="P25" s="26">
        <v>1190000</v>
      </c>
      <c r="Q25" s="26">
        <v>386123717</v>
      </c>
      <c r="R25" s="26">
        <v>3685385</v>
      </c>
      <c r="S25" s="26">
        <v>5512</v>
      </c>
      <c r="T25" s="26">
        <v>865437</v>
      </c>
      <c r="U25" s="26">
        <v>2122444</v>
      </c>
      <c r="V25" s="26">
        <v>3408361</v>
      </c>
      <c r="W25" s="26">
        <v>53604</v>
      </c>
      <c r="X25" s="26">
        <v>18673</v>
      </c>
      <c r="Y25" s="26">
        <v>7480</v>
      </c>
      <c r="Z25" s="26">
        <v>2372</v>
      </c>
      <c r="AA25" s="26">
        <v>294</v>
      </c>
      <c r="AB25" s="26">
        <v>13</v>
      </c>
      <c r="AC25" s="26">
        <v>221</v>
      </c>
      <c r="AD25" s="26">
        <v>1710.1771808896301</v>
      </c>
    </row>
    <row r="26" spans="1:30" x14ac:dyDescent="0.2">
      <c r="A26">
        <f>_xlfn.XLOOKUP(E26,Lookups!$E:$E,Lookups!$F:$F,0)</f>
        <v>0</v>
      </c>
      <c r="B26">
        <v>1</v>
      </c>
      <c r="C26" s="3" t="d">
        <v>2026-07-03</v>
      </c>
      <c r="D26" s="3"/>
      <c r="E26" s="26" t="s">
        <v>69</v>
      </c>
      <c r="F26" s="26" t="s">
        <v>27</v>
      </c>
      <c r="G26" s="26" t="s">
        <v>28</v>
      </c>
      <c r="H26" s="26" t="s">
        <v>70</v>
      </c>
      <c r="I26" s="26">
        <v>5508</v>
      </c>
      <c r="J26" s="26">
        <v>9358</v>
      </c>
      <c r="K26" s="26">
        <v>1246204</v>
      </c>
      <c r="L26" s="26">
        <v>189625876</v>
      </c>
      <c r="M26" s="26">
        <v>1539270</v>
      </c>
      <c r="N26" s="26">
        <v>5185813</v>
      </c>
      <c r="O26" s="26">
        <v>16299</v>
      </c>
      <c r="P26" s="26">
        <v>125000</v>
      </c>
      <c r="Q26" s="26">
        <v>122051824</v>
      </c>
      <c r="R26" s="26">
        <v>919253</v>
      </c>
      <c r="S26" s="26">
        <v>3649</v>
      </c>
      <c r="T26" s="26">
        <v>827405</v>
      </c>
      <c r="U26" s="26">
        <v>1480176</v>
      </c>
      <c r="V26" s="26">
        <v>226356</v>
      </c>
      <c r="W26" s="26">
        <v>33937</v>
      </c>
      <c r="X26" s="26" t="s">
        <v>31</v>
      </c>
      <c r="Y26" s="26">
        <v>10938</v>
      </c>
      <c r="Z26" s="26">
        <v>19093</v>
      </c>
      <c r="AA26" s="26">
        <v>133</v>
      </c>
      <c r="AB26" s="26">
        <v>2</v>
      </c>
      <c r="AC26" s="26">
        <v>21</v>
      </c>
      <c r="AD26" s="26">
        <v>157.80447622364301</v>
      </c>
    </row>
    <row r="27" spans="1:30" x14ac:dyDescent="0.2">
      <c r="A27">
        <f>_xlfn.XLOOKUP(E27,Lookups!$E:$E,Lookups!$F:$F,0)</f>
        <v>0</v>
      </c>
      <c r="B27">
        <v>1</v>
      </c>
      <c r="C27" s="3" t="d">
        <v>2026-07-03</v>
      </c>
      <c r="D27" s="3"/>
      <c r="E27" s="26" t="s">
        <v>223</v>
      </c>
      <c r="F27" s="26" t="s">
        <v>27</v>
      </c>
      <c r="G27" s="26" t="s">
        <v>28</v>
      </c>
      <c r="H27" s="26" t="s">
        <v>153</v>
      </c>
      <c r="I27" s="26">
        <v>5779</v>
      </c>
      <c r="J27" s="26">
        <v>7168</v>
      </c>
      <c r="K27" s="26">
        <v>134574</v>
      </c>
      <c r="L27" s="26">
        <v>165911119</v>
      </c>
      <c r="M27" s="26">
        <v>2404098</v>
      </c>
      <c r="N27" s="26">
        <v>11205662</v>
      </c>
      <c r="O27" s="26">
        <v>8731</v>
      </c>
      <c r="P27" s="26">
        <v>135000</v>
      </c>
      <c r="Q27" s="26">
        <v>50720662</v>
      </c>
      <c r="R27" s="26">
        <v>309574</v>
      </c>
      <c r="S27" s="26">
        <v>148287</v>
      </c>
      <c r="T27" s="26">
        <v>5691</v>
      </c>
      <c r="U27" s="26">
        <v>53006</v>
      </c>
      <c r="V27" s="26" t="s">
        <v>31</v>
      </c>
      <c r="W27" s="26">
        <v>237</v>
      </c>
      <c r="X27" s="26">
        <v>117</v>
      </c>
      <c r="Y27" s="26">
        <v>90105</v>
      </c>
      <c r="Z27" s="26" t="s">
        <v>31</v>
      </c>
      <c r="AA27" s="26" t="s">
        <v>31</v>
      </c>
      <c r="AB27" s="26" t="s">
        <v>31</v>
      </c>
      <c r="AC27" s="26" t="s">
        <v>31</v>
      </c>
      <c r="AD27" s="26" t="s">
        <v>31</v>
      </c>
    </row>
    <row r="28" spans="1:30" x14ac:dyDescent="0.2">
      <c r="A28">
        <f>_xlfn.XLOOKUP(E28,Lookups!$E:$E,Lookups!$F:$F,0)</f>
        <v>0</v>
      </c>
      <c r="B28">
        <v>1</v>
      </c>
      <c r="C28" s="3" t="d">
        <v>2026-07-03</v>
      </c>
      <c r="D28" s="3"/>
      <c r="E28" s="26" t="s">
        <v>47</v>
      </c>
      <c r="F28" s="26" t="s">
        <v>27</v>
      </c>
      <c r="G28" s="26" t="s">
        <v>28</v>
      </c>
      <c r="H28" s="26" t="s">
        <v>48</v>
      </c>
      <c r="I28" s="26">
        <v>6034</v>
      </c>
      <c r="J28" s="26">
        <v>8714</v>
      </c>
      <c r="K28" s="26">
        <v>1716554</v>
      </c>
      <c r="L28" s="26">
        <v>221645763</v>
      </c>
      <c r="M28" s="26">
        <v>920077</v>
      </c>
      <c r="N28" s="26">
        <v>2337015</v>
      </c>
      <c r="O28" s="26">
        <v>8882</v>
      </c>
      <c r="P28" s="26">
        <v>381000</v>
      </c>
      <c r="Q28" s="26">
        <v>194839906</v>
      </c>
      <c r="R28" s="26">
        <v>1142159</v>
      </c>
      <c r="S28" s="26">
        <v>6114</v>
      </c>
      <c r="T28" s="26">
        <v>1131062</v>
      </c>
      <c r="U28" s="26">
        <v>791511</v>
      </c>
      <c r="V28" s="26">
        <v>22484</v>
      </c>
      <c r="W28" s="26">
        <v>28714</v>
      </c>
      <c r="X28" s="26" t="s">
        <v>31</v>
      </c>
      <c r="Y28" s="26">
        <v>33375</v>
      </c>
      <c r="Z28" s="26">
        <v>16489</v>
      </c>
      <c r="AA28" s="26">
        <v>133</v>
      </c>
      <c r="AB28" s="26">
        <v>1</v>
      </c>
      <c r="AC28" s="26">
        <v>23</v>
      </c>
      <c r="AD28" s="26">
        <v>192.20437172207301</v>
      </c>
    </row>
    <row r="29" spans="1:30" x14ac:dyDescent="0.2">
      <c r="A29">
        <f>_xlfn.XLOOKUP(E29,Lookups!$E:$E,Lookups!$F:$F,0)</f>
        <v>0</v>
      </c>
      <c r="B29">
        <v>1</v>
      </c>
      <c r="C29" s="3" t="d">
        <v>2026-07-03</v>
      </c>
      <c r="D29" s="3"/>
      <c r="E29" s="26" t="s">
        <v>156</v>
      </c>
      <c r="F29" s="26" t="s">
        <v>27</v>
      </c>
      <c r="G29" s="26" t="s">
        <v>28</v>
      </c>
      <c r="H29" s="26" t="s">
        <v>37</v>
      </c>
      <c r="I29" s="26">
        <v>6082</v>
      </c>
      <c r="J29" s="26">
        <v>22395</v>
      </c>
      <c r="K29" s="26">
        <v>271970</v>
      </c>
      <c r="L29" s="26">
        <v>41360254</v>
      </c>
      <c r="M29" s="26">
        <v>1066822</v>
      </c>
      <c r="N29" s="26">
        <v>1629728</v>
      </c>
      <c r="O29" s="26">
        <v>25735</v>
      </c>
      <c r="P29" s="26">
        <v>164000</v>
      </c>
      <c r="Q29" s="26">
        <v>46530532</v>
      </c>
      <c r="R29" s="26">
        <v>333785</v>
      </c>
      <c r="S29" s="26">
        <v>1614</v>
      </c>
      <c r="T29" s="26">
        <v>2081911</v>
      </c>
      <c r="U29" s="26">
        <v>5641967</v>
      </c>
      <c r="V29" s="26">
        <v>4107115</v>
      </c>
      <c r="W29" s="26">
        <v>70209</v>
      </c>
      <c r="X29" s="26" t="s">
        <v>31</v>
      </c>
      <c r="Y29" s="26">
        <v>30972</v>
      </c>
      <c r="Z29" s="26">
        <v>67544</v>
      </c>
      <c r="AA29" s="26">
        <v>37</v>
      </c>
      <c r="AB29" s="26">
        <v>0</v>
      </c>
      <c r="AC29" s="26">
        <v>0</v>
      </c>
      <c r="AD29" s="26">
        <v>31.631415414827401</v>
      </c>
    </row>
    <row r="30" spans="1:30" x14ac:dyDescent="0.2">
      <c r="A30">
        <f>_xlfn.XLOOKUP(E30,Lookups!$E:$E,Lookups!$F:$F,0)</f>
        <v>1</v>
      </c>
      <c r="B30">
        <v>1</v>
      </c>
      <c r="C30" s="3" t="d">
        <v>2026-07-03</v>
      </c>
      <c r="D30" s="3"/>
      <c r="E30" s="26" t="s">
        <v>149</v>
      </c>
      <c r="F30" s="26" t="s">
        <v>27</v>
      </c>
      <c r="G30" s="26" t="s">
        <v>28</v>
      </c>
      <c r="H30" s="26" t="s">
        <v>46</v>
      </c>
      <c r="I30" s="26">
        <v>6520</v>
      </c>
      <c r="J30" s="26">
        <v>11455</v>
      </c>
      <c r="K30" s="26">
        <v>318313</v>
      </c>
      <c r="L30" s="26">
        <v>98169042</v>
      </c>
      <c r="M30" s="26">
        <v>1995769</v>
      </c>
      <c r="N30" s="26">
        <v>8865208</v>
      </c>
      <c r="O30" s="26">
        <v>3676</v>
      </c>
      <c r="P30" s="26">
        <v>443000</v>
      </c>
      <c r="Q30" s="26">
        <v>86418178</v>
      </c>
      <c r="R30" s="26">
        <v>1024426</v>
      </c>
      <c r="S30" s="26">
        <v>6498</v>
      </c>
      <c r="T30" s="26">
        <v>2066155</v>
      </c>
      <c r="U30" s="26">
        <v>196750</v>
      </c>
      <c r="V30" s="26">
        <v>441978</v>
      </c>
      <c r="W30" s="26">
        <v>1689</v>
      </c>
      <c r="X30" s="26">
        <v>491</v>
      </c>
      <c r="Y30" s="26">
        <v>102629</v>
      </c>
      <c r="Z30" s="26" t="s">
        <v>31</v>
      </c>
      <c r="AA30" s="26" t="s">
        <v>31</v>
      </c>
      <c r="AB30" s="26" t="s">
        <v>31</v>
      </c>
      <c r="AC30" s="26" t="s">
        <v>31</v>
      </c>
      <c r="AD30" s="26" t="s">
        <v>31</v>
      </c>
    </row>
    <row r="31" spans="1:30" x14ac:dyDescent="0.2">
      <c r="A31">
        <f>_xlfn.XLOOKUP(E31,Lookups!$E:$E,Lookups!$F:$F,0)</f>
        <v>1</v>
      </c>
      <c r="B31">
        <v>1</v>
      </c>
      <c r="C31" s="3" t="d">
        <v>2026-07-03</v>
      </c>
      <c r="D31" s="3"/>
      <c r="E31" s="26" t="s">
        <v>41</v>
      </c>
      <c r="F31" s="26" t="s">
        <v>27</v>
      </c>
      <c r="G31" s="26" t="s">
        <v>28</v>
      </c>
      <c r="H31" s="26" t="s">
        <v>33</v>
      </c>
      <c r="I31" s="26">
        <v>6605</v>
      </c>
      <c r="J31" s="26">
        <v>6447</v>
      </c>
      <c r="K31" s="26">
        <v>2097947</v>
      </c>
      <c r="L31" s="26">
        <v>465967624</v>
      </c>
      <c r="M31" s="26">
        <v>1469069</v>
      </c>
      <c r="N31" s="26">
        <v>4744746</v>
      </c>
      <c r="O31" s="26">
        <v>14770</v>
      </c>
      <c r="P31" s="26">
        <v>283000</v>
      </c>
      <c r="Q31" s="26">
        <v>134581637</v>
      </c>
      <c r="R31" s="26">
        <v>1100673</v>
      </c>
      <c r="S31" s="26">
        <v>23054</v>
      </c>
      <c r="T31" s="26">
        <v>348801</v>
      </c>
      <c r="U31" s="26">
        <v>727954</v>
      </c>
      <c r="V31" s="26">
        <v>93442</v>
      </c>
      <c r="W31" s="26">
        <v>32545</v>
      </c>
      <c r="X31" s="26">
        <v>711</v>
      </c>
      <c r="Y31" s="26">
        <v>30492</v>
      </c>
      <c r="Z31" s="26">
        <v>5280</v>
      </c>
      <c r="AA31" s="26">
        <v>411</v>
      </c>
      <c r="AB31" s="26">
        <v>0</v>
      </c>
      <c r="AC31" s="26">
        <v>0</v>
      </c>
      <c r="AD31" s="26">
        <v>649.03419345843895</v>
      </c>
    </row>
    <row r="32" spans="1:30" x14ac:dyDescent="0.2">
      <c r="A32">
        <f>_xlfn.XLOOKUP(E32,Lookups!$E:$E,Lookups!$F:$F,0)</f>
        <v>0</v>
      </c>
      <c r="B32">
        <v>1</v>
      </c>
      <c r="C32" s="3" t="d">
        <v>2026-07-03</v>
      </c>
      <c r="D32" s="3"/>
      <c r="E32" s="26" t="s">
        <v>64</v>
      </c>
      <c r="F32" s="26" t="s">
        <v>27</v>
      </c>
      <c r="G32" s="26" t="s">
        <v>28</v>
      </c>
      <c r="H32" s="26" t="s">
        <v>46</v>
      </c>
      <c r="I32" s="26">
        <v>6786</v>
      </c>
      <c r="J32" s="26">
        <v>12742</v>
      </c>
      <c r="K32" s="26">
        <v>1289612</v>
      </c>
      <c r="L32" s="26">
        <v>138837695</v>
      </c>
      <c r="M32" s="26">
        <v>730585</v>
      </c>
      <c r="N32" s="26">
        <v>1472656</v>
      </c>
      <c r="O32" s="26">
        <v>7622</v>
      </c>
      <c r="P32" s="26">
        <v>374000</v>
      </c>
      <c r="Q32" s="26">
        <v>209535054</v>
      </c>
      <c r="R32" s="26">
        <v>1406589</v>
      </c>
      <c r="S32" s="26">
        <v>10584</v>
      </c>
      <c r="T32" s="26" t="s">
        <v>31</v>
      </c>
      <c r="U32" s="26">
        <v>1361475</v>
      </c>
      <c r="V32" s="26">
        <v>1626694</v>
      </c>
      <c r="W32" s="26">
        <v>54680</v>
      </c>
      <c r="X32" s="26" t="s">
        <v>31</v>
      </c>
      <c r="Y32" s="26">
        <v>18923</v>
      </c>
      <c r="Z32" s="26">
        <v>6089</v>
      </c>
      <c r="AA32" s="26">
        <v>334</v>
      </c>
      <c r="AB32" s="26">
        <v>5</v>
      </c>
      <c r="AC32" s="26">
        <v>33</v>
      </c>
      <c r="AD32" s="26">
        <v>517.54834018951999</v>
      </c>
    </row>
    <row r="33" spans="1:30" x14ac:dyDescent="0.2">
      <c r="A33">
        <f>_xlfn.XLOOKUP(E33,Lookups!$E:$E,Lookups!$F:$F,0)</f>
        <v>1</v>
      </c>
      <c r="B33">
        <v>1</v>
      </c>
      <c r="C33" s="3" t="d">
        <v>2026-07-03</v>
      </c>
      <c r="D33" s="3"/>
      <c r="E33" s="26" t="s">
        <v>121</v>
      </c>
      <c r="F33" s="26" t="s">
        <v>27</v>
      </c>
      <c r="G33" s="26" t="s">
        <v>28</v>
      </c>
      <c r="H33" s="26" t="s">
        <v>33</v>
      </c>
      <c r="I33" s="26">
        <v>6796</v>
      </c>
      <c r="J33" s="26">
        <v>6705</v>
      </c>
      <c r="K33" s="26">
        <v>492332</v>
      </c>
      <c r="L33" s="26">
        <v>286861518</v>
      </c>
      <c r="M33" s="26">
        <v>2277376</v>
      </c>
      <c r="N33" s="26">
        <v>6810311</v>
      </c>
      <c r="O33" s="26">
        <v>235532</v>
      </c>
      <c r="P33" s="26">
        <v>136</v>
      </c>
      <c r="Q33" s="26">
        <v>2375</v>
      </c>
      <c r="R33" s="26">
        <v>60</v>
      </c>
      <c r="S33" s="26">
        <v>4595</v>
      </c>
      <c r="T33" s="26">
        <v>530317</v>
      </c>
      <c r="U33" s="26">
        <v>320385</v>
      </c>
      <c r="V33" s="26" t="s">
        <v>31</v>
      </c>
      <c r="W33" s="26">
        <v>2750</v>
      </c>
      <c r="X33" s="26">
        <v>34</v>
      </c>
      <c r="Y33" s="26">
        <v>65871</v>
      </c>
      <c r="Z33" s="26">
        <v>5978</v>
      </c>
      <c r="AA33" s="26">
        <v>239</v>
      </c>
      <c r="AB33" s="26">
        <v>0</v>
      </c>
      <c r="AC33" s="26">
        <v>0</v>
      </c>
      <c r="AD33" s="26">
        <v>439.08655504087</v>
      </c>
    </row>
    <row r="34" spans="1:30" x14ac:dyDescent="0.2">
      <c r="A34">
        <f>_xlfn.XLOOKUP(E34,Lookups!$E:$E,Lookups!$F:$F,0)</f>
        <v>0</v>
      </c>
      <c r="B34">
        <v>1</v>
      </c>
      <c r="C34" s="3" t="d">
        <v>2026-07-03</v>
      </c>
      <c r="D34" s="3"/>
      <c r="E34" s="26" t="s">
        <v>106</v>
      </c>
      <c r="F34" s="26" t="s">
        <v>27</v>
      </c>
      <c r="G34" s="26" t="s">
        <v>28</v>
      </c>
      <c r="H34" s="26" t="s">
        <v>37</v>
      </c>
      <c r="I34" s="26">
        <v>6835</v>
      </c>
      <c r="J34" s="26">
        <v>16316</v>
      </c>
      <c r="K34" s="26">
        <v>681589</v>
      </c>
      <c r="L34" s="26">
        <v>119046469</v>
      </c>
      <c r="M34" s="26">
        <v>563892</v>
      </c>
      <c r="N34" s="26">
        <v>2524859</v>
      </c>
      <c r="O34" s="26">
        <v>21282</v>
      </c>
      <c r="P34" s="26" t="s">
        <v>31</v>
      </c>
      <c r="Q34" s="26">
        <v>203940883</v>
      </c>
      <c r="R34" s="26">
        <v>1240126</v>
      </c>
      <c r="S34" s="26">
        <v>1444</v>
      </c>
      <c r="T34" s="26">
        <v>1317267</v>
      </c>
      <c r="U34" s="26">
        <v>3369547</v>
      </c>
      <c r="V34" s="26">
        <v>5278925</v>
      </c>
      <c r="W34" s="26">
        <v>48447</v>
      </c>
      <c r="X34" s="26">
        <v>423</v>
      </c>
      <c r="Y34" s="26">
        <v>14252</v>
      </c>
      <c r="Z34" s="26">
        <v>6569</v>
      </c>
      <c r="AA34" s="26">
        <v>277</v>
      </c>
      <c r="AB34" s="26">
        <v>16</v>
      </c>
      <c r="AC34" s="26">
        <v>224</v>
      </c>
      <c r="AD34" s="26">
        <v>833.015583831767</v>
      </c>
    </row>
    <row r="35" spans="1:30" x14ac:dyDescent="0.2">
      <c r="A35">
        <f>_xlfn.XLOOKUP(E35,Lookups!$E:$E,Lookups!$F:$F,0)</f>
        <v>0</v>
      </c>
      <c r="B35">
        <v>1</v>
      </c>
      <c r="C35" s="3" t="d">
        <v>2026-07-03</v>
      </c>
      <c r="D35" s="3"/>
      <c r="E35" s="26" t="s">
        <v>178</v>
      </c>
      <c r="F35" s="26" t="s">
        <v>27</v>
      </c>
      <c r="G35" s="26" t="s">
        <v>28</v>
      </c>
      <c r="H35" s="26" t="s">
        <v>46</v>
      </c>
      <c r="I35" s="26">
        <v>7234</v>
      </c>
      <c r="J35" s="26">
        <v>32553</v>
      </c>
      <c r="K35" s="26">
        <v>209300</v>
      </c>
      <c r="L35" s="26">
        <v>29876414</v>
      </c>
      <c r="M35" s="26">
        <v>435727</v>
      </c>
      <c r="N35" s="26">
        <v>749079</v>
      </c>
      <c r="O35" s="26">
        <v>19922</v>
      </c>
      <c r="P35" s="26">
        <v>103000</v>
      </c>
      <c r="Q35" s="26">
        <v>21119138</v>
      </c>
      <c r="R35" s="26">
        <v>213264</v>
      </c>
      <c r="S35" s="26">
        <v>388</v>
      </c>
      <c r="T35" s="26">
        <v>2850937</v>
      </c>
      <c r="U35" s="26">
        <v>673726</v>
      </c>
      <c r="V35" s="26">
        <v>2083381</v>
      </c>
      <c r="W35" s="26">
        <v>712</v>
      </c>
      <c r="X35" s="26" t="s">
        <v>31</v>
      </c>
      <c r="Y35" s="26">
        <v>91088</v>
      </c>
      <c r="Z35" s="26" t="s">
        <v>31</v>
      </c>
      <c r="AA35" s="26" t="s">
        <v>31</v>
      </c>
      <c r="AB35" s="26" t="s">
        <v>31</v>
      </c>
      <c r="AC35" s="26" t="s">
        <v>31</v>
      </c>
      <c r="AD35" s="26" t="s">
        <v>31</v>
      </c>
    </row>
    <row r="36" spans="1:30" x14ac:dyDescent="0.2">
      <c r="A36">
        <f>_xlfn.XLOOKUP(E36,Lookups!$E:$E,Lookups!$F:$F,0)</f>
        <v>0</v>
      </c>
      <c r="B36">
        <v>1</v>
      </c>
      <c r="C36" s="3" t="d">
        <v>2026-07-03</v>
      </c>
      <c r="D36" s="3"/>
      <c r="E36" s="26" t="s">
        <v>165</v>
      </c>
      <c r="F36" s="26" t="s">
        <v>35</v>
      </c>
      <c r="G36" s="26" t="s">
        <v>36</v>
      </c>
      <c r="H36" s="26" t="s">
        <v>46</v>
      </c>
      <c r="I36" s="26">
        <v>7385</v>
      </c>
      <c r="J36" s="26">
        <v>10101</v>
      </c>
      <c r="K36" s="26">
        <v>230873</v>
      </c>
      <c r="L36" s="26">
        <v>107450555</v>
      </c>
      <c r="M36" s="26">
        <v>2148782</v>
      </c>
      <c r="N36" s="26">
        <v>9277828</v>
      </c>
      <c r="O36" s="26">
        <v>23654</v>
      </c>
      <c r="P36" s="26">
        <v>19000</v>
      </c>
      <c r="Q36" s="26">
        <v>9650814</v>
      </c>
      <c r="R36" s="26">
        <v>59258</v>
      </c>
      <c r="S36" s="26">
        <v>5105</v>
      </c>
      <c r="T36" s="26">
        <v>171453</v>
      </c>
      <c r="U36" s="26">
        <v>105752</v>
      </c>
      <c r="V36" s="26">
        <v>35</v>
      </c>
      <c r="W36" s="26">
        <v>172</v>
      </c>
      <c r="X36" s="26" t="s">
        <v>31</v>
      </c>
      <c r="Y36" s="26">
        <v>63537</v>
      </c>
      <c r="Z36" s="26" t="s">
        <v>31</v>
      </c>
      <c r="AA36" s="26" t="s">
        <v>31</v>
      </c>
      <c r="AB36" s="26" t="s">
        <v>31</v>
      </c>
      <c r="AC36" s="26" t="s">
        <v>31</v>
      </c>
      <c r="AD36" s="26" t="s">
        <v>31</v>
      </c>
    </row>
    <row r="37" spans="1:30" x14ac:dyDescent="0.2">
      <c r="A37">
        <f>_xlfn.XLOOKUP(E37,Lookups!$E:$E,Lookups!$F:$F,0)</f>
        <v>0</v>
      </c>
      <c r="B37">
        <v>1</v>
      </c>
      <c r="C37" s="3" t="d">
        <v>2026-07-03</v>
      </c>
      <c r="D37" s="3"/>
      <c r="E37" s="26" t="s">
        <v>79</v>
      </c>
      <c r="F37" s="26" t="s">
        <v>27</v>
      </c>
      <c r="G37" s="26" t="s">
        <v>28</v>
      </c>
      <c r="H37" s="26" t="s">
        <v>72</v>
      </c>
      <c r="I37" s="26">
        <v>7457</v>
      </c>
      <c r="J37" s="26">
        <v>12757</v>
      </c>
      <c r="K37" s="26">
        <v>947451</v>
      </c>
      <c r="L37" s="26">
        <v>218288307</v>
      </c>
      <c r="M37" s="26">
        <v>937514</v>
      </c>
      <c r="N37" s="26">
        <v>2744061</v>
      </c>
      <c r="O37" s="26">
        <v>13564</v>
      </c>
      <c r="P37" s="26">
        <v>235000</v>
      </c>
      <c r="Q37" s="26">
        <v>185962695</v>
      </c>
      <c r="R37" s="26">
        <v>1291159</v>
      </c>
      <c r="S37" s="26">
        <v>13411</v>
      </c>
      <c r="T37" s="26">
        <v>141667</v>
      </c>
      <c r="U37" s="26">
        <v>307864</v>
      </c>
      <c r="V37" s="26">
        <v>1109825</v>
      </c>
      <c r="W37" s="26">
        <v>119239</v>
      </c>
      <c r="X37" s="26">
        <v>10697</v>
      </c>
      <c r="Y37" s="26">
        <v>7780</v>
      </c>
      <c r="Z37" s="26">
        <v>7153</v>
      </c>
      <c r="AA37" s="26">
        <v>153</v>
      </c>
      <c r="AB37" s="26">
        <v>5</v>
      </c>
      <c r="AC37" s="26">
        <v>68</v>
      </c>
      <c r="AD37" s="26">
        <v>545.06582309835801</v>
      </c>
    </row>
    <row r="38" spans="1:30" x14ac:dyDescent="0.2">
      <c r="A38">
        <f>_xlfn.XLOOKUP(E38,Lookups!$E:$E,Lookups!$F:$F,0)</f>
        <v>0</v>
      </c>
      <c r="B38">
        <v>1</v>
      </c>
      <c r="C38" s="3" t="d">
        <v>2026-07-03</v>
      </c>
      <c r="D38" s="3"/>
      <c r="E38" s="26" t="s">
        <v>324</v>
      </c>
      <c r="F38" s="26" t="s">
        <v>325</v>
      </c>
      <c r="G38" s="26" t="s">
        <v>36</v>
      </c>
      <c r="H38" s="26" t="s">
        <v>326</v>
      </c>
      <c r="I38" s="26">
        <v>7571</v>
      </c>
      <c r="J38" s="26">
        <v>72290</v>
      </c>
      <c r="K38" s="26">
        <v>56112</v>
      </c>
      <c r="L38" s="26">
        <v>7294989</v>
      </c>
      <c r="M38" s="26">
        <v>127002</v>
      </c>
      <c r="N38" s="26">
        <v>118954</v>
      </c>
      <c r="O38" s="26">
        <v>4806</v>
      </c>
      <c r="P38" s="26">
        <v>611000</v>
      </c>
      <c r="Q38" s="26">
        <v>120666234</v>
      </c>
      <c r="R38" s="26">
        <v>668379</v>
      </c>
      <c r="S38" s="26">
        <v>3521</v>
      </c>
      <c r="T38" s="26">
        <v>1529008</v>
      </c>
      <c r="U38" s="26">
        <v>242247</v>
      </c>
      <c r="V38" s="26">
        <v>508599</v>
      </c>
      <c r="W38" s="26">
        <v>595</v>
      </c>
      <c r="X38" s="26" t="s">
        <v>31</v>
      </c>
      <c r="Y38" s="26">
        <v>39534</v>
      </c>
      <c r="Z38" s="26" t="s">
        <v>31</v>
      </c>
      <c r="AA38" s="26" t="s">
        <v>31</v>
      </c>
      <c r="AB38" s="26" t="s">
        <v>31</v>
      </c>
      <c r="AC38" s="26" t="s">
        <v>31</v>
      </c>
      <c r="AD38" s="26" t="s">
        <v>31</v>
      </c>
    </row>
    <row r="39" spans="1:30" x14ac:dyDescent="0.2">
      <c r="A39">
        <f>_xlfn.XLOOKUP(E39,Lookups!$E:$E,Lookups!$F:$F,0)</f>
        <v>1</v>
      </c>
      <c r="B39">
        <v>1</v>
      </c>
      <c r="C39" s="3" t="d">
        <v>2026-07-03</v>
      </c>
      <c r="D39" s="3"/>
      <c r="E39" s="26" t="s">
        <v>134</v>
      </c>
      <c r="F39" s="26" t="s">
        <v>27</v>
      </c>
      <c r="G39" s="26" t="s">
        <v>28</v>
      </c>
      <c r="H39" s="26" t="s">
        <v>62</v>
      </c>
      <c r="I39" s="26">
        <v>7724</v>
      </c>
      <c r="J39" s="26">
        <v>8494</v>
      </c>
      <c r="K39" s="26">
        <v>398249</v>
      </c>
      <c r="L39" s="26">
        <v>233409823</v>
      </c>
      <c r="M39" s="26">
        <v>2061888</v>
      </c>
      <c r="N39" s="26">
        <v>4716834</v>
      </c>
      <c r="O39" s="26">
        <v>138786</v>
      </c>
      <c r="P39" s="26">
        <v>3740</v>
      </c>
      <c r="Q39" s="26">
        <v>230529</v>
      </c>
      <c r="R39" s="26">
        <v>3367</v>
      </c>
      <c r="S39" s="26">
        <v>58607</v>
      </c>
      <c r="T39" s="26">
        <v>521500</v>
      </c>
      <c r="U39" s="26">
        <v>3693</v>
      </c>
      <c r="V39" s="26">
        <v>11686</v>
      </c>
      <c r="W39" s="26">
        <v>1038</v>
      </c>
      <c r="X39" s="26" t="s">
        <v>31</v>
      </c>
      <c r="Y39" s="26">
        <v>139241</v>
      </c>
      <c r="Z39" s="26">
        <v>7815</v>
      </c>
      <c r="AA39" s="26">
        <v>167</v>
      </c>
      <c r="AB39" s="26">
        <v>0</v>
      </c>
      <c r="AC39" s="26">
        <v>0</v>
      </c>
      <c r="AD39" s="26">
        <v>259.77235199784701</v>
      </c>
    </row>
    <row r="40" spans="1:30" x14ac:dyDescent="0.2">
      <c r="A40">
        <f>_xlfn.XLOOKUP(E40,Lookups!$E:$E,Lookups!$F:$F,0)</f>
        <v>1</v>
      </c>
      <c r="B40">
        <v>1</v>
      </c>
      <c r="C40" s="3" t="d">
        <v>2026-07-03</v>
      </c>
      <c r="D40" s="3"/>
      <c r="E40" s="26" t="s">
        <v>61</v>
      </c>
      <c r="F40" s="26" t="s">
        <v>27</v>
      </c>
      <c r="G40" s="26" t="s">
        <v>28</v>
      </c>
      <c r="H40" s="26" t="s">
        <v>62</v>
      </c>
      <c r="I40" s="26">
        <v>7859</v>
      </c>
      <c r="J40" s="26">
        <v>11137</v>
      </c>
      <c r="K40" s="26">
        <v>1535855</v>
      </c>
      <c r="L40" s="26">
        <v>209306995</v>
      </c>
      <c r="M40" s="26">
        <v>562917</v>
      </c>
      <c r="N40" s="26">
        <v>1978790</v>
      </c>
      <c r="O40" s="26">
        <v>13295</v>
      </c>
      <c r="P40" s="26">
        <v>264000</v>
      </c>
      <c r="Q40" s="26">
        <v>160241814</v>
      </c>
      <c r="R40" s="26">
        <v>1055487</v>
      </c>
      <c r="S40" s="26">
        <v>10479</v>
      </c>
      <c r="T40" s="26">
        <v>24203</v>
      </c>
      <c r="U40" s="26">
        <v>1024613</v>
      </c>
      <c r="V40" s="26">
        <v>2019252</v>
      </c>
      <c r="W40" s="26">
        <v>34506</v>
      </c>
      <c r="X40" s="26" t="s">
        <v>31</v>
      </c>
      <c r="Y40" s="26">
        <v>34748</v>
      </c>
      <c r="Z40" s="26">
        <v>13060</v>
      </c>
      <c r="AA40" s="26">
        <v>157</v>
      </c>
      <c r="AB40" s="26">
        <v>1</v>
      </c>
      <c r="AC40" s="26">
        <v>14</v>
      </c>
      <c r="AD40" s="26">
        <v>277.99186895533501</v>
      </c>
    </row>
    <row r="41" spans="1:30" x14ac:dyDescent="0.2">
      <c r="A41">
        <f>_xlfn.XLOOKUP(E41,Lookups!$E:$E,Lookups!$F:$F,0)</f>
        <v>0</v>
      </c>
      <c r="B41">
        <v>1</v>
      </c>
      <c r="C41" s="3" t="d">
        <v>2026-07-03</v>
      </c>
      <c r="D41" s="3"/>
      <c r="E41" s="26" t="s">
        <v>78</v>
      </c>
      <c r="F41" s="26" t="s">
        <v>27</v>
      </c>
      <c r="G41" s="26" t="s">
        <v>77</v>
      </c>
      <c r="H41" s="26" t="s">
        <v>29</v>
      </c>
      <c r="I41" s="26">
        <v>7933</v>
      </c>
      <c r="J41" s="26">
        <v>12321</v>
      </c>
      <c r="K41" s="26">
        <v>995024</v>
      </c>
      <c r="L41" s="26">
        <v>232536637</v>
      </c>
      <c r="M41" s="26">
        <v>700195</v>
      </c>
      <c r="N41" s="26">
        <v>4652341</v>
      </c>
      <c r="O41" s="26">
        <v>15010</v>
      </c>
      <c r="P41" s="26">
        <v>302000</v>
      </c>
      <c r="Q41" s="26">
        <v>71884134</v>
      </c>
      <c r="R41" s="26">
        <v>1204764</v>
      </c>
      <c r="S41" s="26">
        <v>7859</v>
      </c>
      <c r="T41" s="26">
        <v>642708</v>
      </c>
      <c r="U41" s="26">
        <v>1126026</v>
      </c>
      <c r="V41" s="26">
        <v>1262232</v>
      </c>
      <c r="W41" s="26">
        <v>30712</v>
      </c>
      <c r="X41" s="26">
        <v>72255</v>
      </c>
      <c r="Y41" s="26">
        <v>44873</v>
      </c>
      <c r="Z41" s="26">
        <v>15859</v>
      </c>
      <c r="AA41" s="26">
        <v>185</v>
      </c>
      <c r="AB41" s="26">
        <v>0</v>
      </c>
      <c r="AC41" s="26">
        <v>0</v>
      </c>
      <c r="AD41" s="26">
        <v>169.11575992105301</v>
      </c>
    </row>
    <row r="42" spans="1:30" x14ac:dyDescent="0.2">
      <c r="A42">
        <f>_xlfn.XLOOKUP(E42,Lookups!$E:$E,Lookups!$F:$F,0)</f>
        <v>0</v>
      </c>
      <c r="B42">
        <v>1</v>
      </c>
      <c r="C42" s="3" t="d">
        <v>2026-07-03</v>
      </c>
      <c r="D42" s="3"/>
      <c r="E42" s="26" t="s">
        <v>334</v>
      </c>
      <c r="F42" s="26" t="s">
        <v>335</v>
      </c>
      <c r="G42" s="26" t="s">
        <v>28</v>
      </c>
      <c r="H42" s="26" t="s">
        <v>153</v>
      </c>
      <c r="I42" s="26">
        <v>8149</v>
      </c>
      <c r="J42" s="26">
        <v>1944</v>
      </c>
      <c r="K42" s="26">
        <v>52912</v>
      </c>
      <c r="L42" s="26">
        <v>800556935</v>
      </c>
      <c r="M42" s="26">
        <v>7070015</v>
      </c>
      <c r="N42" s="26">
        <v>60041679</v>
      </c>
      <c r="O42" s="26">
        <v>392475</v>
      </c>
      <c r="P42" s="26">
        <v>431</v>
      </c>
      <c r="Q42" s="26">
        <v>16781</v>
      </c>
      <c r="R42" s="26">
        <v>548</v>
      </c>
      <c r="S42" s="26">
        <v>65528</v>
      </c>
      <c r="T42" s="26">
        <v>255740</v>
      </c>
      <c r="U42" s="26">
        <v>61471</v>
      </c>
      <c r="V42" s="26">
        <v>191</v>
      </c>
      <c r="W42" s="26">
        <v>3001</v>
      </c>
      <c r="X42" s="26" t="s">
        <v>31</v>
      </c>
      <c r="Y42" s="26">
        <v>2317</v>
      </c>
      <c r="Z42" s="26">
        <v>191</v>
      </c>
      <c r="AA42" s="26">
        <v>237</v>
      </c>
      <c r="AB42" s="26">
        <v>28</v>
      </c>
      <c r="AC42" s="26">
        <v>2556</v>
      </c>
      <c r="AD42" s="26">
        <v>28720.077142545601</v>
      </c>
    </row>
    <row r="43" spans="1:30" x14ac:dyDescent="0.2">
      <c r="A43">
        <f>_xlfn.XLOOKUP(E43,Lookups!$E:$E,Lookups!$F:$F,0)</f>
        <v>1</v>
      </c>
      <c r="B43">
        <v>1</v>
      </c>
      <c r="C43" s="3" t="d">
        <v>2026-07-03</v>
      </c>
      <c r="D43" s="3"/>
      <c r="E43" s="26" t="s">
        <v>91</v>
      </c>
      <c r="F43" s="26" t="s">
        <v>27</v>
      </c>
      <c r="G43" s="26" t="s">
        <v>28</v>
      </c>
      <c r="H43" s="26" t="s">
        <v>57</v>
      </c>
      <c r="I43" s="26">
        <v>8274</v>
      </c>
      <c r="J43" s="26">
        <v>11662</v>
      </c>
      <c r="K43" s="26">
        <v>802995</v>
      </c>
      <c r="L43" s="26">
        <v>198722502</v>
      </c>
      <c r="M43" s="26">
        <v>993429</v>
      </c>
      <c r="N43" s="26">
        <v>4385454</v>
      </c>
      <c r="O43" s="26">
        <v>613359</v>
      </c>
      <c r="P43" s="26" t="s">
        <v>31</v>
      </c>
      <c r="Q43" s="26" t="s">
        <v>31</v>
      </c>
      <c r="R43" s="26" t="s">
        <v>31</v>
      </c>
      <c r="S43" s="26">
        <v>4709</v>
      </c>
      <c r="T43" s="26">
        <v>1744802</v>
      </c>
      <c r="U43" s="26">
        <v>369943</v>
      </c>
      <c r="V43" s="26" t="s">
        <v>31</v>
      </c>
      <c r="W43" s="26">
        <v>2195</v>
      </c>
      <c r="X43" s="26" t="s">
        <v>31</v>
      </c>
      <c r="Y43" s="26">
        <v>91108</v>
      </c>
      <c r="Z43" s="26">
        <v>17692</v>
      </c>
      <c r="AA43" s="26">
        <v>75</v>
      </c>
      <c r="AB43" s="26">
        <v>1</v>
      </c>
      <c r="AC43" s="26">
        <v>31</v>
      </c>
      <c r="AD43" s="26">
        <v>111.27047837276599</v>
      </c>
    </row>
    <row r="44" spans="1:30" x14ac:dyDescent="0.2">
      <c r="A44">
        <f>_xlfn.XLOOKUP(E44,Lookups!$E:$E,Lookups!$F:$F,0)</f>
        <v>0</v>
      </c>
      <c r="B44">
        <v>1</v>
      </c>
      <c r="C44" s="3" t="d">
        <v>2026-07-03</v>
      </c>
      <c r="D44" s="3"/>
      <c r="E44" s="26" t="s">
        <v>67</v>
      </c>
      <c r="F44" s="26" t="s">
        <v>27</v>
      </c>
      <c r="G44" s="26" t="s">
        <v>28</v>
      </c>
      <c r="H44" s="26" t="s">
        <v>68</v>
      </c>
      <c r="I44" s="26">
        <v>8313</v>
      </c>
      <c r="J44" s="26">
        <v>11300</v>
      </c>
      <c r="K44" s="26">
        <v>1247111</v>
      </c>
      <c r="L44" s="26">
        <v>149050946</v>
      </c>
      <c r="M44" s="26">
        <v>761974</v>
      </c>
      <c r="N44" s="26">
        <v>3016289</v>
      </c>
      <c r="O44" s="26">
        <v>15640</v>
      </c>
      <c r="P44" s="26">
        <v>233000</v>
      </c>
      <c r="Q44" s="26">
        <v>86909275</v>
      </c>
      <c r="R44" s="26">
        <v>714794</v>
      </c>
      <c r="S44" s="26">
        <v>6695</v>
      </c>
      <c r="T44" s="26">
        <v>738749</v>
      </c>
      <c r="U44" s="26">
        <v>883473</v>
      </c>
      <c r="V44" s="26">
        <v>985463</v>
      </c>
      <c r="W44" s="26">
        <v>30388</v>
      </c>
      <c r="X44" s="26">
        <v>1572</v>
      </c>
      <c r="Y44" s="26">
        <v>29700</v>
      </c>
      <c r="Z44" s="26">
        <v>19959</v>
      </c>
      <c r="AA44" s="26">
        <v>147</v>
      </c>
      <c r="AB44" s="26">
        <v>1</v>
      </c>
      <c r="AC44" s="26">
        <v>3</v>
      </c>
      <c r="AD44" s="26">
        <v>157.84353245385799</v>
      </c>
    </row>
    <row r="45" spans="1:30" x14ac:dyDescent="0.2">
      <c r="A45">
        <f>_xlfn.XLOOKUP(E45,Lookups!$E:$E,Lookups!$F:$F,0)</f>
        <v>0</v>
      </c>
      <c r="B45">
        <v>1</v>
      </c>
      <c r="C45" s="3" t="d">
        <v>2026-07-03</v>
      </c>
      <c r="D45" s="3"/>
      <c r="E45" s="26" t="s">
        <v>74</v>
      </c>
      <c r="F45" s="26" t="s">
        <v>27</v>
      </c>
      <c r="G45" s="26" t="s">
        <v>28</v>
      </c>
      <c r="H45" s="26" t="s">
        <v>46</v>
      </c>
      <c r="I45" s="26">
        <v>8418</v>
      </c>
      <c r="J45" s="26">
        <v>12426</v>
      </c>
      <c r="K45" s="26">
        <v>1100663</v>
      </c>
      <c r="L45" s="26">
        <v>167129679</v>
      </c>
      <c r="M45" s="26">
        <v>612486</v>
      </c>
      <c r="N45" s="26">
        <v>1311499</v>
      </c>
      <c r="O45" s="26">
        <v>14647</v>
      </c>
      <c r="P45" s="26">
        <v>264000</v>
      </c>
      <c r="Q45" s="26">
        <v>110331916</v>
      </c>
      <c r="R45" s="26">
        <v>852012</v>
      </c>
      <c r="S45" s="26">
        <v>14857</v>
      </c>
      <c r="T45" s="26" t="s">
        <v>31</v>
      </c>
      <c r="U45" s="26">
        <v>422731</v>
      </c>
      <c r="V45" s="26">
        <v>1435809</v>
      </c>
      <c r="W45" s="26">
        <v>93362</v>
      </c>
      <c r="X45" s="26">
        <v>6646</v>
      </c>
      <c r="Y45" s="26">
        <v>18103</v>
      </c>
      <c r="Z45" s="26">
        <v>27690</v>
      </c>
      <c r="AA45" s="26">
        <v>94</v>
      </c>
      <c r="AB45" s="26">
        <v>3</v>
      </c>
      <c r="AC45" s="26">
        <v>139</v>
      </c>
      <c r="AD45" s="26">
        <v>602.58767732287595</v>
      </c>
    </row>
    <row r="46" spans="1:30" x14ac:dyDescent="0.2">
      <c r="A46">
        <f>_xlfn.XLOOKUP(E46,Lookups!$E:$E,Lookups!$F:$F,0)</f>
        <v>0</v>
      </c>
      <c r="B46">
        <v>1</v>
      </c>
      <c r="C46" s="3" t="d">
        <v>2026-07-03</v>
      </c>
      <c r="D46" s="3"/>
      <c r="E46" s="26" t="s">
        <v>97</v>
      </c>
      <c r="F46" s="26" t="s">
        <v>27</v>
      </c>
      <c r="G46" s="26" t="s">
        <v>28</v>
      </c>
      <c r="H46" s="26" t="s">
        <v>98</v>
      </c>
      <c r="I46" s="26">
        <v>8536</v>
      </c>
      <c r="J46" s="26">
        <v>15683</v>
      </c>
      <c r="K46" s="26">
        <v>771971</v>
      </c>
      <c r="L46" s="26">
        <v>141233829</v>
      </c>
      <c r="M46" s="26">
        <v>704027</v>
      </c>
      <c r="N46" s="26">
        <v>2427925</v>
      </c>
      <c r="O46" s="26">
        <v>14763</v>
      </c>
      <c r="P46" s="26">
        <v>180000</v>
      </c>
      <c r="Q46" s="26">
        <v>122651374</v>
      </c>
      <c r="R46" s="26">
        <v>757892</v>
      </c>
      <c r="S46" s="26">
        <v>6116</v>
      </c>
      <c r="T46" s="26">
        <v>528356</v>
      </c>
      <c r="U46" s="26">
        <v>634855</v>
      </c>
      <c r="V46" s="26">
        <v>1638989</v>
      </c>
      <c r="W46" s="26">
        <v>63750</v>
      </c>
      <c r="X46" s="26" t="s">
        <v>31</v>
      </c>
      <c r="Y46" s="26">
        <v>13574</v>
      </c>
      <c r="Z46" s="26">
        <v>19300</v>
      </c>
      <c r="AA46" s="26">
        <v>99</v>
      </c>
      <c r="AB46" s="26">
        <v>0</v>
      </c>
      <c r="AC46" s="26">
        <v>0</v>
      </c>
      <c r="AD46" s="26">
        <v>162.83346457837899</v>
      </c>
    </row>
    <row r="47" spans="1:30" x14ac:dyDescent="0.2">
      <c r="A47">
        <f>_xlfn.XLOOKUP(E47,Lookups!$E:$E,Lookups!$F:$F,0)</f>
        <v>0</v>
      </c>
      <c r="B47">
        <v>1</v>
      </c>
      <c r="C47" s="3" t="d">
        <v>2026-07-03</v>
      </c>
      <c r="D47" s="3"/>
      <c r="E47" s="26" t="s">
        <v>76</v>
      </c>
      <c r="F47" s="26" t="s">
        <v>27</v>
      </c>
      <c r="G47" s="26" t="s">
        <v>77</v>
      </c>
      <c r="H47" s="26" t="s">
        <v>46</v>
      </c>
      <c r="I47" s="26">
        <v>8693</v>
      </c>
      <c r="J47" s="26">
        <v>7252</v>
      </c>
      <c r="K47" s="26">
        <v>1061494</v>
      </c>
      <c r="L47" s="26">
        <v>284961244</v>
      </c>
      <c r="M47" s="26">
        <v>842068</v>
      </c>
      <c r="N47" s="26">
        <v>854507</v>
      </c>
      <c r="O47" s="26">
        <v>43503</v>
      </c>
      <c r="P47" s="26">
        <v>50600</v>
      </c>
      <c r="Q47" s="26">
        <v>12176683</v>
      </c>
      <c r="R47" s="26">
        <v>200270</v>
      </c>
      <c r="S47" s="26">
        <v>294881</v>
      </c>
      <c r="T47" s="26">
        <v>23392</v>
      </c>
      <c r="U47" s="26">
        <v>858</v>
      </c>
      <c r="V47" s="26" t="s">
        <v>31</v>
      </c>
      <c r="W47" s="26">
        <v>975</v>
      </c>
      <c r="X47" s="26">
        <v>372</v>
      </c>
      <c r="Y47" s="26">
        <v>105098</v>
      </c>
      <c r="Z47" s="26">
        <v>29758</v>
      </c>
      <c r="AA47" s="26">
        <v>63</v>
      </c>
      <c r="AB47" s="26">
        <v>0</v>
      </c>
      <c r="AC47" s="26">
        <v>0</v>
      </c>
      <c r="AD47" s="26">
        <v>46.198209988229102</v>
      </c>
    </row>
    <row r="48" spans="1:30" x14ac:dyDescent="0.2">
      <c r="A48">
        <f>_xlfn.XLOOKUP(E48,Lookups!$E:$E,Lookups!$F:$F,0)</f>
        <v>0</v>
      </c>
      <c r="B48">
        <v>1</v>
      </c>
      <c r="C48" s="3" t="d">
        <v>2026-07-03</v>
      </c>
      <c r="D48" s="3"/>
      <c r="E48" s="26" t="s">
        <v>105</v>
      </c>
      <c r="F48" s="26" t="s">
        <v>27</v>
      </c>
      <c r="G48" s="26" t="s">
        <v>28</v>
      </c>
      <c r="H48" s="26" t="s">
        <v>44</v>
      </c>
      <c r="I48" s="26">
        <v>8732</v>
      </c>
      <c r="J48" s="26">
        <v>19802</v>
      </c>
      <c r="K48" s="26">
        <v>687786</v>
      </c>
      <c r="L48" s="26">
        <v>111744350</v>
      </c>
      <c r="M48" s="26">
        <v>390018</v>
      </c>
      <c r="N48" s="26">
        <v>443505</v>
      </c>
      <c r="O48" s="26">
        <v>8258</v>
      </c>
      <c r="P48" s="26">
        <v>374000</v>
      </c>
      <c r="Q48" s="26">
        <v>211957900</v>
      </c>
      <c r="R48" s="26">
        <v>955032</v>
      </c>
      <c r="S48" s="26">
        <v>7217</v>
      </c>
      <c r="T48" s="26">
        <v>793526</v>
      </c>
      <c r="U48" s="26">
        <v>359411</v>
      </c>
      <c r="V48" s="26">
        <v>3665233</v>
      </c>
      <c r="W48" s="26">
        <v>13074</v>
      </c>
      <c r="X48" s="26" t="s">
        <v>31</v>
      </c>
      <c r="Y48" s="26">
        <v>23364</v>
      </c>
      <c r="Z48" s="26">
        <v>36490</v>
      </c>
      <c r="AA48" s="26">
        <v>64</v>
      </c>
      <c r="AB48" s="26">
        <v>0</v>
      </c>
      <c r="AC48" s="26">
        <v>0</v>
      </c>
      <c r="AD48" s="26">
        <v>65.947556647135698</v>
      </c>
    </row>
    <row r="49" spans="1:30" x14ac:dyDescent="0.2">
      <c r="A49">
        <f>_xlfn.XLOOKUP(E49,Lookups!$E:$E,Lookups!$F:$F,0)</f>
        <v>0</v>
      </c>
      <c r="B49">
        <v>1</v>
      </c>
      <c r="C49" s="3" t="d">
        <v>2026-07-03</v>
      </c>
      <c r="D49" s="3"/>
      <c r="E49" s="26" t="s">
        <v>94</v>
      </c>
      <c r="F49" s="26" t="s">
        <v>35</v>
      </c>
      <c r="G49" s="26" t="s">
        <v>28</v>
      </c>
      <c r="H49" s="26" t="s">
        <v>95</v>
      </c>
      <c r="I49" s="26">
        <v>8856</v>
      </c>
      <c r="J49" s="26">
        <v>5363</v>
      </c>
      <c r="K49" s="26">
        <v>781974</v>
      </c>
      <c r="L49" s="26">
        <v>220642764</v>
      </c>
      <c r="M49" s="26">
        <v>1917562</v>
      </c>
      <c r="N49" s="26">
        <v>4902805</v>
      </c>
      <c r="O49" s="26">
        <v>613359</v>
      </c>
      <c r="P49" s="26" t="s">
        <v>31</v>
      </c>
      <c r="Q49" s="26" t="s">
        <v>31</v>
      </c>
      <c r="R49" s="26" t="s">
        <v>31</v>
      </c>
      <c r="S49" s="26">
        <v>834709</v>
      </c>
      <c r="T49" s="26" t="s">
        <v>31</v>
      </c>
      <c r="U49" s="26" t="s">
        <v>31</v>
      </c>
      <c r="V49" s="26" t="s">
        <v>31</v>
      </c>
      <c r="W49" s="26" t="s">
        <v>31</v>
      </c>
      <c r="X49" s="26" t="s">
        <v>31</v>
      </c>
      <c r="Y49" s="26">
        <v>466238</v>
      </c>
      <c r="Z49" s="26" t="s">
        <v>31</v>
      </c>
      <c r="AA49" s="26" t="s">
        <v>31</v>
      </c>
      <c r="AB49" s="26" t="s">
        <v>31</v>
      </c>
      <c r="AC49" s="26" t="s">
        <v>31</v>
      </c>
      <c r="AD49" s="26" t="s">
        <v>31</v>
      </c>
    </row>
    <row r="50" spans="1:30" x14ac:dyDescent="0.2">
      <c r="A50">
        <f>_xlfn.XLOOKUP(E50,Lookups!$E:$E,Lookups!$F:$F,0)</f>
        <v>0</v>
      </c>
      <c r="B50">
        <v>1</v>
      </c>
      <c r="C50" s="3" t="d">
        <v>2026-07-03</v>
      </c>
      <c r="D50" s="3"/>
      <c r="E50" s="26" t="s">
        <v>71</v>
      </c>
      <c r="F50" s="26" t="s">
        <v>27</v>
      </c>
      <c r="G50" s="26" t="s">
        <v>28</v>
      </c>
      <c r="H50" s="26" t="s">
        <v>72</v>
      </c>
      <c r="I50" s="26">
        <v>9044</v>
      </c>
      <c r="J50" s="26">
        <v>11283</v>
      </c>
      <c r="K50" s="26">
        <v>1166528</v>
      </c>
      <c r="L50" s="26">
        <v>201167507</v>
      </c>
      <c r="M50" s="26">
        <v>668020</v>
      </c>
      <c r="N50" s="26">
        <v>4085501</v>
      </c>
      <c r="O50" s="26">
        <v>13452</v>
      </c>
      <c r="P50" s="26">
        <v>85800</v>
      </c>
      <c r="Q50" s="26">
        <v>107774504</v>
      </c>
      <c r="R50" s="26">
        <v>684299</v>
      </c>
      <c r="S50" s="26">
        <v>16078</v>
      </c>
      <c r="T50" s="26">
        <v>987</v>
      </c>
      <c r="U50" s="26">
        <v>920643</v>
      </c>
      <c r="V50" s="26">
        <v>1766102</v>
      </c>
      <c r="W50" s="26">
        <v>23192</v>
      </c>
      <c r="X50" s="26" t="s">
        <v>31</v>
      </c>
      <c r="Y50" s="26">
        <v>42022</v>
      </c>
      <c r="Z50" s="26">
        <v>14725</v>
      </c>
      <c r="AA50" s="26">
        <v>185</v>
      </c>
      <c r="AB50" s="26">
        <v>4</v>
      </c>
      <c r="AC50" s="26">
        <v>43</v>
      </c>
      <c r="AD50" s="26">
        <v>229.352982638089</v>
      </c>
    </row>
    <row r="51" spans="1:30" x14ac:dyDescent="0.2">
      <c r="A51">
        <f>_xlfn.XLOOKUP(E51,Lookups!$E:$E,Lookups!$F:$F,0)</f>
        <v>0</v>
      </c>
      <c r="B51">
        <v>1</v>
      </c>
      <c r="C51" s="3" t="d">
        <v>2026-07-03</v>
      </c>
      <c r="D51" s="3"/>
      <c r="E51" s="26" t="s">
        <v>96</v>
      </c>
      <c r="F51" s="26" t="s">
        <v>27</v>
      </c>
      <c r="G51" s="26" t="s">
        <v>28</v>
      </c>
      <c r="H51" s="26" t="s">
        <v>50</v>
      </c>
      <c r="I51" s="26">
        <v>9120</v>
      </c>
      <c r="J51" s="26">
        <v>18172</v>
      </c>
      <c r="K51" s="26">
        <v>776968</v>
      </c>
      <c r="L51" s="26">
        <v>100757476</v>
      </c>
      <c r="M51" s="26">
        <v>446120</v>
      </c>
      <c r="N51" s="26">
        <v>2018196</v>
      </c>
      <c r="O51" s="26">
        <v>9185</v>
      </c>
      <c r="P51" s="26">
        <v>612000</v>
      </c>
      <c r="Q51" s="26">
        <v>191841151</v>
      </c>
      <c r="R51" s="26">
        <v>1704289</v>
      </c>
      <c r="S51" s="26">
        <v>4929</v>
      </c>
      <c r="T51" s="26">
        <v>2640119</v>
      </c>
      <c r="U51" s="26">
        <v>2916395</v>
      </c>
      <c r="V51" s="26" t="s">
        <v>31</v>
      </c>
      <c r="W51" s="26">
        <v>16819</v>
      </c>
      <c r="X51" s="26" t="s">
        <v>31</v>
      </c>
      <c r="Y51" s="26">
        <v>21851</v>
      </c>
      <c r="Z51" s="26">
        <v>43211</v>
      </c>
      <c r="AA51" s="26">
        <v>47</v>
      </c>
      <c r="AB51" s="26">
        <v>0</v>
      </c>
      <c r="AC51" s="26">
        <v>0</v>
      </c>
      <c r="AD51" s="26">
        <v>54.050516842255099</v>
      </c>
    </row>
    <row r="52" spans="1:30" x14ac:dyDescent="0.2">
      <c r="A52">
        <f>_xlfn.XLOOKUP(E52,Lookups!$E:$E,Lookups!$F:$F,0)</f>
        <v>0</v>
      </c>
      <c r="B52">
        <v>1</v>
      </c>
      <c r="C52" s="3" t="d">
        <v>2026-07-03</v>
      </c>
      <c r="D52" s="3"/>
      <c r="E52" s="26" t="s">
        <v>219</v>
      </c>
      <c r="F52" s="26" t="s">
        <v>220</v>
      </c>
      <c r="G52" s="26" t="s">
        <v>28</v>
      </c>
      <c r="H52" s="26" t="s">
        <v>37</v>
      </c>
      <c r="I52" s="26">
        <v>9203</v>
      </c>
      <c r="J52" s="26">
        <v>19693</v>
      </c>
      <c r="K52" s="26">
        <v>137911</v>
      </c>
      <c r="L52" s="26">
        <v>50572036</v>
      </c>
      <c r="M52" s="26">
        <v>1119723</v>
      </c>
      <c r="N52" s="26">
        <v>3302737</v>
      </c>
      <c r="O52" s="26">
        <v>7698</v>
      </c>
      <c r="P52" s="26">
        <v>85000</v>
      </c>
      <c r="Q52" s="26">
        <v>26333083</v>
      </c>
      <c r="R52" s="26">
        <v>185656</v>
      </c>
      <c r="S52" s="26">
        <v>834709</v>
      </c>
      <c r="T52" s="26" t="s">
        <v>31</v>
      </c>
      <c r="U52" s="26" t="s">
        <v>31</v>
      </c>
      <c r="V52" s="26" t="s">
        <v>31</v>
      </c>
      <c r="W52" s="26">
        <v>168</v>
      </c>
      <c r="X52" s="26" t="s">
        <v>31</v>
      </c>
      <c r="Y52" s="26">
        <v>97368</v>
      </c>
      <c r="Z52" s="26" t="s">
        <v>31</v>
      </c>
      <c r="AA52" s="26" t="s">
        <v>31</v>
      </c>
      <c r="AB52" s="26" t="s">
        <v>31</v>
      </c>
      <c r="AC52" s="26" t="s">
        <v>31</v>
      </c>
      <c r="AD52" s="26" t="s">
        <v>31</v>
      </c>
    </row>
    <row r="53" spans="1:30" x14ac:dyDescent="0.2">
      <c r="A53">
        <f>_xlfn.XLOOKUP(E53,Lookups!$E:$E,Lookups!$F:$F,0)</f>
        <v>0</v>
      </c>
      <c r="B53">
        <v>1</v>
      </c>
      <c r="C53" s="3" t="d">
        <v>2026-07-03</v>
      </c>
      <c r="D53" s="3"/>
      <c r="E53" s="26" t="s">
        <v>51</v>
      </c>
      <c r="F53" s="26" t="s">
        <v>27</v>
      </c>
      <c r="G53" s="26" t="s">
        <v>28</v>
      </c>
      <c r="H53" s="26" t="s">
        <v>44</v>
      </c>
      <c r="I53" s="26">
        <v>9219</v>
      </c>
      <c r="J53" s="26">
        <v>9103</v>
      </c>
      <c r="K53" s="26">
        <v>1629361</v>
      </c>
      <c r="L53" s="26">
        <v>201419116</v>
      </c>
      <c r="M53" s="26">
        <v>842923</v>
      </c>
      <c r="N53" s="26">
        <v>1666311</v>
      </c>
      <c r="O53" s="26">
        <v>13467</v>
      </c>
      <c r="P53" s="26">
        <v>301000</v>
      </c>
      <c r="Q53" s="26">
        <v>115907019</v>
      </c>
      <c r="R53" s="26">
        <v>785283</v>
      </c>
      <c r="S53" s="26">
        <v>41661</v>
      </c>
      <c r="T53" s="26">
        <v>7626</v>
      </c>
      <c r="U53" s="26">
        <v>523019</v>
      </c>
      <c r="V53" s="26">
        <v>8110</v>
      </c>
      <c r="W53" s="26">
        <v>54805</v>
      </c>
      <c r="X53" s="26" t="s">
        <v>31</v>
      </c>
      <c r="Y53" s="26">
        <v>27570</v>
      </c>
      <c r="Z53" s="26">
        <v>12138</v>
      </c>
      <c r="AA53" s="26">
        <v>247</v>
      </c>
      <c r="AB53" s="26">
        <v>3</v>
      </c>
      <c r="AC53" s="26">
        <v>31</v>
      </c>
      <c r="AD53" s="26">
        <v>484.61886367552802</v>
      </c>
    </row>
    <row r="54" spans="1:30" x14ac:dyDescent="0.2">
      <c r="A54">
        <f>_xlfn.XLOOKUP(E54,Lookups!$E:$E,Lookups!$F:$F,0)</f>
        <v>0</v>
      </c>
      <c r="B54">
        <v>1</v>
      </c>
      <c r="C54" s="3" t="d">
        <v>2026-07-03</v>
      </c>
      <c r="D54" s="3"/>
      <c r="E54" s="26" t="s">
        <v>66</v>
      </c>
      <c r="F54" s="26" t="s">
        <v>27</v>
      </c>
      <c r="G54" s="26" t="s">
        <v>28</v>
      </c>
      <c r="H54" s="26" t="s">
        <v>57</v>
      </c>
      <c r="I54" s="26">
        <v>9246</v>
      </c>
      <c r="J54" s="26">
        <v>9938</v>
      </c>
      <c r="K54" s="26">
        <v>1258967</v>
      </c>
      <c r="L54" s="26">
        <v>200347251</v>
      </c>
      <c r="M54" s="26">
        <v>760718</v>
      </c>
      <c r="N54" s="26">
        <v>2719581</v>
      </c>
      <c r="O54" s="26">
        <v>36845</v>
      </c>
      <c r="P54" s="26">
        <v>947</v>
      </c>
      <c r="Q54" s="26">
        <v>51577370</v>
      </c>
      <c r="R54" s="26">
        <v>353196</v>
      </c>
      <c r="S54" s="26">
        <v>18147</v>
      </c>
      <c r="T54" s="26">
        <v>933</v>
      </c>
      <c r="U54" s="26">
        <v>614847</v>
      </c>
      <c r="V54" s="26">
        <v>1038707</v>
      </c>
      <c r="W54" s="26">
        <v>43503</v>
      </c>
      <c r="X54" s="26" t="s">
        <v>31</v>
      </c>
      <c r="Y54" s="26">
        <v>22943</v>
      </c>
      <c r="Z54" s="26">
        <v>10771</v>
      </c>
      <c r="AA54" s="26">
        <v>156</v>
      </c>
      <c r="AB54" s="26">
        <v>3</v>
      </c>
      <c r="AC54" s="26">
        <v>25</v>
      </c>
      <c r="AD54" s="26">
        <v>275.146095472789</v>
      </c>
    </row>
    <row r="55" spans="1:30" x14ac:dyDescent="0.2">
      <c r="A55">
        <f>_xlfn.XLOOKUP(E55,Lookups!$E:$E,Lookups!$F:$F,0)</f>
        <v>0</v>
      </c>
      <c r="B55">
        <v>1</v>
      </c>
      <c r="C55" s="3" t="d">
        <v>2026-07-03</v>
      </c>
      <c r="D55" s="3"/>
      <c r="E55" s="26" t="s">
        <v>120</v>
      </c>
      <c r="F55" s="26" t="s">
        <v>27</v>
      </c>
      <c r="G55" s="26" t="s">
        <v>28</v>
      </c>
      <c r="H55" s="26" t="s">
        <v>48</v>
      </c>
      <c r="I55" s="26">
        <v>9264</v>
      </c>
      <c r="J55" s="26">
        <v>18623</v>
      </c>
      <c r="K55" s="26">
        <v>510856</v>
      </c>
      <c r="L55" s="26">
        <v>93658472</v>
      </c>
      <c r="M55" s="26">
        <v>824068</v>
      </c>
      <c r="N55" s="26">
        <v>1126232</v>
      </c>
      <c r="O55" s="26">
        <v>9020</v>
      </c>
      <c r="P55" s="26">
        <v>306000</v>
      </c>
      <c r="Q55" s="26">
        <v>200670070</v>
      </c>
      <c r="R55" s="26">
        <v>1126901</v>
      </c>
      <c r="S55" s="26">
        <v>8958</v>
      </c>
      <c r="T55" s="26">
        <v>225857</v>
      </c>
      <c r="U55" s="26">
        <v>406719</v>
      </c>
      <c r="V55" s="26">
        <v>1614952</v>
      </c>
      <c r="W55" s="26">
        <v>43514</v>
      </c>
      <c r="X55" s="26">
        <v>6199</v>
      </c>
      <c r="Y55" s="26">
        <v>17464</v>
      </c>
      <c r="Z55" s="26">
        <v>13395</v>
      </c>
      <c r="AA55" s="26">
        <v>213</v>
      </c>
      <c r="AB55" s="26">
        <v>1</v>
      </c>
      <c r="AC55" s="26">
        <v>15</v>
      </c>
      <c r="AD55" s="26">
        <v>286.66153318533497</v>
      </c>
    </row>
    <row r="56" spans="1:30" x14ac:dyDescent="0.2">
      <c r="A56">
        <f>_xlfn.XLOOKUP(E56,Lookups!$E:$E,Lookups!$F:$F,0)</f>
        <v>0</v>
      </c>
      <c r="B56">
        <v>1</v>
      </c>
      <c r="C56" s="3" t="d">
        <v>2026-07-03</v>
      </c>
      <c r="D56" s="3"/>
      <c r="E56" s="26" t="s">
        <v>75</v>
      </c>
      <c r="F56" s="26" t="s">
        <v>27</v>
      </c>
      <c r="G56" s="26" t="s">
        <v>28</v>
      </c>
      <c r="H56" s="26" t="s">
        <v>33</v>
      </c>
      <c r="I56" s="26">
        <v>9287</v>
      </c>
      <c r="J56" s="26">
        <v>7662</v>
      </c>
      <c r="K56" s="26">
        <v>1089394</v>
      </c>
      <c r="L56" s="26">
        <v>394930880</v>
      </c>
      <c r="M56" s="26">
        <v>1833572</v>
      </c>
      <c r="N56" s="26">
        <v>5155133</v>
      </c>
      <c r="O56" s="26">
        <v>613359</v>
      </c>
      <c r="P56" s="26" t="s">
        <v>31</v>
      </c>
      <c r="Q56" s="26" t="s">
        <v>31</v>
      </c>
      <c r="R56" s="26" t="s">
        <v>31</v>
      </c>
      <c r="S56" s="26">
        <v>13577</v>
      </c>
      <c r="T56" s="26">
        <v>409225</v>
      </c>
      <c r="U56" s="26">
        <v>577801</v>
      </c>
      <c r="V56" s="26">
        <v>34424</v>
      </c>
      <c r="W56" s="26">
        <v>905</v>
      </c>
      <c r="X56" s="26" t="s">
        <v>31</v>
      </c>
      <c r="Y56" s="26">
        <v>25537</v>
      </c>
      <c r="Z56" s="26">
        <v>2431</v>
      </c>
      <c r="AA56" s="26">
        <v>400</v>
      </c>
      <c r="AB56" s="26">
        <v>2</v>
      </c>
      <c r="AC56" s="26">
        <v>69</v>
      </c>
      <c r="AD56" s="26">
        <v>1582.6818867249301</v>
      </c>
    </row>
    <row r="57" spans="1:30" x14ac:dyDescent="0.2">
      <c r="A57">
        <f>_xlfn.XLOOKUP(E57,Lookups!$E:$E,Lookups!$F:$F,0)</f>
        <v>0</v>
      </c>
      <c r="B57">
        <v>1</v>
      </c>
      <c r="C57" s="3" t="d">
        <v>2026-07-03</v>
      </c>
      <c r="D57" s="3"/>
      <c r="E57" s="26" t="s">
        <v>110</v>
      </c>
      <c r="F57" s="26" t="s">
        <v>27</v>
      </c>
      <c r="G57" s="26" t="s">
        <v>28</v>
      </c>
      <c r="H57" s="26" t="s">
        <v>29</v>
      </c>
      <c r="I57" s="26">
        <v>9343</v>
      </c>
      <c r="J57" s="26">
        <v>15632</v>
      </c>
      <c r="K57" s="26">
        <v>576105</v>
      </c>
      <c r="L57" s="26">
        <v>176785687</v>
      </c>
      <c r="M57" s="26">
        <v>657939</v>
      </c>
      <c r="N57" s="26">
        <v>3593206</v>
      </c>
      <c r="O57" s="26">
        <v>16861</v>
      </c>
      <c r="P57" s="26">
        <v>64800</v>
      </c>
      <c r="Q57" s="26">
        <v>182367</v>
      </c>
      <c r="R57" s="26">
        <v>4358</v>
      </c>
      <c r="S57" s="26">
        <v>15488</v>
      </c>
      <c r="T57" s="26">
        <v>135</v>
      </c>
      <c r="U57" s="26">
        <v>262891</v>
      </c>
      <c r="V57" s="26">
        <v>283179</v>
      </c>
      <c r="W57" s="26">
        <v>2648</v>
      </c>
      <c r="X57" s="26" t="s">
        <v>31</v>
      </c>
      <c r="Y57" s="26">
        <v>84061</v>
      </c>
      <c r="Z57" s="26">
        <v>9037</v>
      </c>
      <c r="AA57" s="26">
        <v>195</v>
      </c>
      <c r="AB57" s="26">
        <v>1</v>
      </c>
      <c r="AC57" s="26">
        <v>13</v>
      </c>
      <c r="AD57" s="26">
        <v>289.40174100181099</v>
      </c>
    </row>
    <row r="58" spans="1:30" x14ac:dyDescent="0.2">
      <c r="A58">
        <f>_xlfn.XLOOKUP(E58,Lookups!$E:$E,Lookups!$F:$F,0)</f>
        <v>0</v>
      </c>
      <c r="B58">
        <v>1</v>
      </c>
      <c r="C58" s="3" t="d">
        <v>2026-07-03</v>
      </c>
      <c r="D58" s="3"/>
      <c r="E58" s="26" t="s">
        <v>99</v>
      </c>
      <c r="F58" s="26" t="s">
        <v>27</v>
      </c>
      <c r="G58" s="26" t="s">
        <v>77</v>
      </c>
      <c r="H58" s="26" t="s">
        <v>37</v>
      </c>
      <c r="I58" s="26">
        <v>9627</v>
      </c>
      <c r="J58" s="26">
        <v>16156</v>
      </c>
      <c r="K58" s="26">
        <v>741072</v>
      </c>
      <c r="L58" s="26">
        <v>128541765</v>
      </c>
      <c r="M58" s="26">
        <v>648038</v>
      </c>
      <c r="N58" s="26">
        <v>1230836</v>
      </c>
      <c r="O58" s="26">
        <v>11593</v>
      </c>
      <c r="P58" s="26">
        <v>299000</v>
      </c>
      <c r="Q58" s="26">
        <v>168170946</v>
      </c>
      <c r="R58" s="26">
        <v>1463052</v>
      </c>
      <c r="S58" s="26">
        <v>13066</v>
      </c>
      <c r="T58" s="26">
        <v>202231</v>
      </c>
      <c r="U58" s="26">
        <v>1029779</v>
      </c>
      <c r="V58" s="26">
        <v>1415329</v>
      </c>
      <c r="W58" s="26">
        <v>9105</v>
      </c>
      <c r="X58" s="26" t="s">
        <v>31</v>
      </c>
      <c r="Y58" s="26">
        <v>20072</v>
      </c>
      <c r="Z58" s="26">
        <v>27283</v>
      </c>
      <c r="AA58" s="26">
        <v>113</v>
      </c>
      <c r="AB58" s="26">
        <v>1</v>
      </c>
      <c r="AC58" s="26">
        <v>4</v>
      </c>
      <c r="AD58" s="26">
        <v>177.97830342850699</v>
      </c>
    </row>
    <row r="59" spans="1:30" x14ac:dyDescent="0.2">
      <c r="A59">
        <f>_xlfn.XLOOKUP(E59,Lookups!$E:$E,Lookups!$F:$F,0)</f>
        <v>0</v>
      </c>
      <c r="B59">
        <v>1</v>
      </c>
      <c r="C59" s="3" t="d">
        <v>2026-07-03</v>
      </c>
      <c r="D59" s="3"/>
      <c r="E59" s="26" t="s">
        <v>230</v>
      </c>
      <c r="F59" s="26" t="s">
        <v>27</v>
      </c>
      <c r="G59" s="26" t="s">
        <v>77</v>
      </c>
      <c r="H59" s="26" t="s">
        <v>40</v>
      </c>
      <c r="I59" s="26">
        <v>9748</v>
      </c>
      <c r="J59" s="26">
        <v>14075</v>
      </c>
      <c r="K59" s="26">
        <v>128869</v>
      </c>
      <c r="L59" s="26">
        <v>69429142</v>
      </c>
      <c r="M59" s="26">
        <v>1713870</v>
      </c>
      <c r="N59" s="26">
        <v>6376738</v>
      </c>
      <c r="O59" s="26">
        <v>12790</v>
      </c>
      <c r="P59" s="26">
        <v>37500</v>
      </c>
      <c r="Q59" s="26">
        <v>14971175</v>
      </c>
      <c r="R59" s="26">
        <v>112336</v>
      </c>
      <c r="S59" s="26">
        <v>16023</v>
      </c>
      <c r="T59" s="26">
        <v>128600</v>
      </c>
      <c r="U59" s="26">
        <v>118549</v>
      </c>
      <c r="V59" s="26">
        <v>24611</v>
      </c>
      <c r="W59" s="26">
        <v>478</v>
      </c>
      <c r="X59" s="26">
        <v>4766</v>
      </c>
      <c r="Y59" s="26">
        <v>100677</v>
      </c>
      <c r="Z59" s="26" t="s">
        <v>31</v>
      </c>
      <c r="AA59" s="26" t="s">
        <v>31</v>
      </c>
      <c r="AB59" s="26" t="s">
        <v>31</v>
      </c>
      <c r="AC59" s="26" t="s">
        <v>31</v>
      </c>
      <c r="AD59" s="26" t="s">
        <v>31</v>
      </c>
    </row>
    <row r="60" spans="1:30" x14ac:dyDescent="0.2">
      <c r="A60">
        <f>_xlfn.XLOOKUP(E60,Lookups!$E:$E,Lookups!$F:$F,0)</f>
        <v>0</v>
      </c>
      <c r="B60">
        <v>1</v>
      </c>
      <c r="C60" s="3" t="d">
        <v>2026-07-03</v>
      </c>
      <c r="D60" s="3"/>
      <c r="E60" s="26" t="s">
        <v>122</v>
      </c>
      <c r="F60" s="26" t="s">
        <v>27</v>
      </c>
      <c r="G60" s="26" t="s">
        <v>77</v>
      </c>
      <c r="H60" s="26" t="s">
        <v>50</v>
      </c>
      <c r="I60" s="26">
        <v>9782</v>
      </c>
      <c r="J60" s="26">
        <v>14975</v>
      </c>
      <c r="K60" s="26">
        <v>449580</v>
      </c>
      <c r="L60" s="26">
        <v>99164324</v>
      </c>
      <c r="M60" s="26">
        <v>1287953</v>
      </c>
      <c r="N60" s="26">
        <v>4257392</v>
      </c>
      <c r="O60" s="26">
        <v>22634</v>
      </c>
      <c r="P60" s="26">
        <v>92100</v>
      </c>
      <c r="Q60" s="26">
        <v>26043088</v>
      </c>
      <c r="R60" s="26">
        <v>214100</v>
      </c>
      <c r="S60" s="26">
        <v>5728</v>
      </c>
      <c r="T60" s="26">
        <v>575305</v>
      </c>
      <c r="U60" s="26">
        <v>418233</v>
      </c>
      <c r="V60" s="26">
        <v>10997</v>
      </c>
      <c r="W60" s="26">
        <v>7000</v>
      </c>
      <c r="X60" s="26">
        <v>1108</v>
      </c>
      <c r="Y60" s="26">
        <v>48144</v>
      </c>
      <c r="Z60" s="26">
        <v>17012</v>
      </c>
      <c r="AA60" s="26">
        <v>75</v>
      </c>
      <c r="AB60" s="26">
        <v>0</v>
      </c>
      <c r="AC60" s="26">
        <v>0</v>
      </c>
      <c r="AD60" s="26">
        <v>93.677168243318704</v>
      </c>
    </row>
    <row r="61" spans="1:30" x14ac:dyDescent="0.2">
      <c r="A61">
        <f>_xlfn.XLOOKUP(E61,Lookups!$E:$E,Lookups!$F:$F,0)</f>
        <v>0</v>
      </c>
      <c r="B61">
        <v>1</v>
      </c>
      <c r="C61" s="3" t="d">
        <v>2026-07-03</v>
      </c>
      <c r="D61" s="3"/>
      <c r="E61" s="26" t="s">
        <v>73</v>
      </c>
      <c r="F61" s="26" t="s">
        <v>27</v>
      </c>
      <c r="G61" s="26" t="s">
        <v>28</v>
      </c>
      <c r="H61" s="26" t="s">
        <v>55</v>
      </c>
      <c r="I61" s="26">
        <v>9789</v>
      </c>
      <c r="J61" s="26">
        <v>14425</v>
      </c>
      <c r="K61" s="26">
        <v>1137450</v>
      </c>
      <c r="L61" s="26">
        <v>128447245</v>
      </c>
      <c r="M61" s="26">
        <v>529443</v>
      </c>
      <c r="N61" s="26">
        <v>3376068</v>
      </c>
      <c r="O61" s="26">
        <v>23210</v>
      </c>
      <c r="P61" s="26">
        <v>186000</v>
      </c>
      <c r="Q61" s="26">
        <v>56519598</v>
      </c>
      <c r="R61" s="26">
        <v>499718</v>
      </c>
      <c r="S61" s="26">
        <v>7677</v>
      </c>
      <c r="T61" s="26">
        <v>970679</v>
      </c>
      <c r="U61" s="26">
        <v>1634540</v>
      </c>
      <c r="V61" s="26">
        <v>2191653</v>
      </c>
      <c r="W61" s="26">
        <v>40218</v>
      </c>
      <c r="X61" s="26">
        <v>6625</v>
      </c>
      <c r="Y61" s="26">
        <v>56694</v>
      </c>
      <c r="Z61" s="26">
        <v>9280</v>
      </c>
      <c r="AA61" s="26">
        <v>183</v>
      </c>
      <c r="AB61" s="26">
        <v>5</v>
      </c>
      <c r="AC61" s="26">
        <v>22</v>
      </c>
      <c r="AD61" s="26">
        <v>283.918957127981</v>
      </c>
    </row>
    <row r="62" spans="1:30" x14ac:dyDescent="0.2">
      <c r="A62">
        <f>_xlfn.XLOOKUP(E62,Lookups!$E:$E,Lookups!$F:$F,0)</f>
        <v>0</v>
      </c>
      <c r="B62">
        <v>1</v>
      </c>
      <c r="C62" s="3" t="d">
        <v>2026-07-03</v>
      </c>
      <c r="D62" s="3"/>
      <c r="E62" s="26" t="s">
        <v>90</v>
      </c>
      <c r="F62" s="26" t="s">
        <v>27</v>
      </c>
      <c r="G62" s="26" t="s">
        <v>28</v>
      </c>
      <c r="H62" s="26" t="s">
        <v>53</v>
      </c>
      <c r="I62" s="26">
        <v>10115</v>
      </c>
      <c r="J62" s="26">
        <v>20667</v>
      </c>
      <c r="K62" s="26">
        <v>816864</v>
      </c>
      <c r="L62" s="26">
        <v>62299410</v>
      </c>
      <c r="M62" s="26">
        <v>268360</v>
      </c>
      <c r="N62" s="26">
        <v>2040888</v>
      </c>
      <c r="O62" s="26">
        <v>17797</v>
      </c>
      <c r="P62" s="26">
        <v>291000</v>
      </c>
      <c r="Q62" s="26">
        <v>77197230</v>
      </c>
      <c r="R62" s="26">
        <v>641986</v>
      </c>
      <c r="S62" s="26">
        <v>3323</v>
      </c>
      <c r="T62" s="26">
        <v>4102548</v>
      </c>
      <c r="U62" s="26">
        <v>2508694</v>
      </c>
      <c r="V62" s="26">
        <v>124493</v>
      </c>
      <c r="W62" s="26">
        <v>9455</v>
      </c>
      <c r="X62" s="26">
        <v>501</v>
      </c>
      <c r="Y62" s="26">
        <v>63368</v>
      </c>
      <c r="Z62" s="26">
        <v>42164</v>
      </c>
      <c r="AA62" s="26">
        <v>49</v>
      </c>
      <c r="AB62" s="26">
        <v>1</v>
      </c>
      <c r="AC62" s="26">
        <v>3</v>
      </c>
      <c r="AD62" s="26">
        <v>47.673122558471</v>
      </c>
    </row>
    <row r="63" spans="1:30" x14ac:dyDescent="0.2">
      <c r="A63">
        <f>_xlfn.XLOOKUP(E63,Lookups!$E:$E,Lookups!$F:$F,0)</f>
        <v>0</v>
      </c>
      <c r="B63">
        <v>1</v>
      </c>
      <c r="C63" s="3" t="d">
        <v>2026-07-03</v>
      </c>
      <c r="D63" s="3"/>
      <c r="E63" s="26" t="s">
        <v>54</v>
      </c>
      <c r="F63" s="26" t="s">
        <v>27</v>
      </c>
      <c r="G63" s="26" t="s">
        <v>28</v>
      </c>
      <c r="H63" s="26" t="s">
        <v>55</v>
      </c>
      <c r="I63" s="26">
        <v>10232</v>
      </c>
      <c r="J63" s="26">
        <v>10140</v>
      </c>
      <c r="K63" s="26">
        <v>1623631</v>
      </c>
      <c r="L63" s="26">
        <v>128576154</v>
      </c>
      <c r="M63" s="26">
        <v>583931</v>
      </c>
      <c r="N63" s="26">
        <v>1701431</v>
      </c>
      <c r="O63" s="26">
        <v>12826</v>
      </c>
      <c r="P63" s="26">
        <v>279000</v>
      </c>
      <c r="Q63" s="26">
        <v>132925505</v>
      </c>
      <c r="R63" s="26">
        <v>709760</v>
      </c>
      <c r="S63" s="26">
        <v>22402</v>
      </c>
      <c r="T63" s="26" t="s">
        <v>31</v>
      </c>
      <c r="U63" s="26">
        <v>664011</v>
      </c>
      <c r="V63" s="26" t="s">
        <v>31</v>
      </c>
      <c r="W63" s="26">
        <v>25619</v>
      </c>
      <c r="X63" s="26">
        <v>1637</v>
      </c>
      <c r="Y63" s="26">
        <v>70989</v>
      </c>
      <c r="Z63" s="26">
        <v>11595</v>
      </c>
      <c r="AA63" s="26">
        <v>136</v>
      </c>
      <c r="AB63" s="26">
        <v>1</v>
      </c>
      <c r="AC63" s="26">
        <v>7</v>
      </c>
      <c r="AD63" s="26">
        <v>285.91444303085501</v>
      </c>
    </row>
    <row r="64" spans="1:30" x14ac:dyDescent="0.2">
      <c r="A64">
        <f>_xlfn.XLOOKUP(E64,Lookups!$E:$E,Lookups!$F:$F,0)</f>
        <v>1</v>
      </c>
      <c r="B64">
        <v>1</v>
      </c>
      <c r="C64" s="3" t="d">
        <v>2026-07-03</v>
      </c>
      <c r="D64" s="3"/>
      <c r="E64" s="26" t="s">
        <v>81</v>
      </c>
      <c r="F64" s="26" t="s">
        <v>27</v>
      </c>
      <c r="G64" s="26" t="s">
        <v>28</v>
      </c>
      <c r="H64" s="26" t="s">
        <v>72</v>
      </c>
      <c r="I64" s="26">
        <v>10240</v>
      </c>
      <c r="J64" s="26">
        <v>12461</v>
      </c>
      <c r="K64" s="26">
        <v>935363</v>
      </c>
      <c r="L64" s="26">
        <v>139368557</v>
      </c>
      <c r="M64" s="26">
        <v>785224</v>
      </c>
      <c r="N64" s="26">
        <v>4315781</v>
      </c>
      <c r="O64" s="26">
        <v>14694</v>
      </c>
      <c r="P64" s="26">
        <v>145000</v>
      </c>
      <c r="Q64" s="26">
        <v>56064922</v>
      </c>
      <c r="R64" s="26">
        <v>480989</v>
      </c>
      <c r="S64" s="26">
        <v>9173</v>
      </c>
      <c r="T64" s="26">
        <v>403280</v>
      </c>
      <c r="U64" s="26">
        <v>896790</v>
      </c>
      <c r="V64" s="26">
        <v>955603</v>
      </c>
      <c r="W64" s="26">
        <v>36887</v>
      </c>
      <c r="X64" s="26">
        <v>6494</v>
      </c>
      <c r="Y64" s="26">
        <v>59738</v>
      </c>
      <c r="Z64" s="26">
        <v>10896</v>
      </c>
      <c r="AA64" s="26">
        <v>203</v>
      </c>
      <c r="AB64" s="26">
        <v>4</v>
      </c>
      <c r="AC64" s="26">
        <v>29</v>
      </c>
      <c r="AD64" s="26">
        <v>323.32469423958702</v>
      </c>
    </row>
    <row r="65" spans="1:30" x14ac:dyDescent="0.2">
      <c r="A65">
        <f>_xlfn.XLOOKUP(E65,Lookups!$E:$E,Lookups!$F:$F,0)</f>
        <v>0</v>
      </c>
      <c r="B65">
        <v>1</v>
      </c>
      <c r="C65" s="3" t="d">
        <v>2026-07-03</v>
      </c>
      <c r="D65" s="3"/>
      <c r="E65" s="26" t="s">
        <v>215</v>
      </c>
      <c r="F65" s="26" t="s">
        <v>27</v>
      </c>
      <c r="G65" s="26" t="s">
        <v>28</v>
      </c>
      <c r="H65" s="26" t="s">
        <v>138</v>
      </c>
      <c r="I65" s="26">
        <v>10449</v>
      </c>
      <c r="J65" s="26">
        <v>14339</v>
      </c>
      <c r="K65" s="26">
        <v>146159</v>
      </c>
      <c r="L65" s="26">
        <v>182793045</v>
      </c>
      <c r="M65" s="26">
        <v>1769486</v>
      </c>
      <c r="N65" s="26">
        <v>9012411</v>
      </c>
      <c r="O65" s="26">
        <v>11499</v>
      </c>
      <c r="P65" s="26">
        <v>76300</v>
      </c>
      <c r="Q65" s="26">
        <v>17846166</v>
      </c>
      <c r="R65" s="26">
        <v>122968</v>
      </c>
      <c r="S65" s="26">
        <v>17284</v>
      </c>
      <c r="T65" s="26">
        <v>263422</v>
      </c>
      <c r="U65" s="26">
        <v>122033</v>
      </c>
      <c r="V65" s="26">
        <v>21406</v>
      </c>
      <c r="W65" s="26">
        <v>951</v>
      </c>
      <c r="X65" s="26">
        <v>180</v>
      </c>
      <c r="Y65" s="26">
        <v>114465</v>
      </c>
      <c r="Z65" s="26">
        <v>13873</v>
      </c>
      <c r="AA65" s="26">
        <v>116</v>
      </c>
      <c r="AB65" s="26">
        <v>0</v>
      </c>
      <c r="AC65" s="26">
        <v>0</v>
      </c>
      <c r="AD65" s="26">
        <v>140.74692017026601</v>
      </c>
    </row>
    <row r="66" spans="1:30" x14ac:dyDescent="0.2">
      <c r="A66">
        <f>_xlfn.XLOOKUP(E66,Lookups!$E:$E,Lookups!$F:$F,0)</f>
        <v>0</v>
      </c>
      <c r="B66">
        <v>1</v>
      </c>
      <c r="C66" s="3" t="d">
        <v>2026-07-03</v>
      </c>
      <c r="D66" s="3"/>
      <c r="E66" s="26" t="s">
        <v>233</v>
      </c>
      <c r="F66" s="26" t="s">
        <v>27</v>
      </c>
      <c r="G66" s="26" t="s">
        <v>28</v>
      </c>
      <c r="H66" s="26" t="s">
        <v>95</v>
      </c>
      <c r="I66" s="26">
        <v>10600</v>
      </c>
      <c r="J66" s="26">
        <v>50315</v>
      </c>
      <c r="K66" s="26">
        <v>125861</v>
      </c>
      <c r="L66" s="26">
        <v>31605824</v>
      </c>
      <c r="M66" s="26">
        <v>145319</v>
      </c>
      <c r="N66" s="26">
        <v>3325</v>
      </c>
      <c r="O66" s="26">
        <v>5327</v>
      </c>
      <c r="P66" s="26">
        <v>330000</v>
      </c>
      <c r="Q66" s="26">
        <v>150908082</v>
      </c>
      <c r="R66" s="26">
        <v>1534588</v>
      </c>
      <c r="S66" s="26">
        <v>6632</v>
      </c>
      <c r="T66" s="26">
        <v>2612976</v>
      </c>
      <c r="U66" s="26">
        <v>111784</v>
      </c>
      <c r="V66" s="26" t="s">
        <v>31</v>
      </c>
      <c r="W66" s="26">
        <v>85</v>
      </c>
      <c r="X66" s="26" t="s">
        <v>31</v>
      </c>
      <c r="Y66" s="26">
        <v>371749</v>
      </c>
      <c r="Z66" s="26" t="s">
        <v>31</v>
      </c>
      <c r="AA66" s="26" t="s">
        <v>31</v>
      </c>
      <c r="AB66" s="26" t="s">
        <v>31</v>
      </c>
      <c r="AC66" s="26" t="s">
        <v>31</v>
      </c>
      <c r="AD66" s="26" t="s">
        <v>31</v>
      </c>
    </row>
    <row r="67" spans="1:30" x14ac:dyDescent="0.2">
      <c r="A67">
        <f>_xlfn.XLOOKUP(E67,Lookups!$E:$E,Lookups!$F:$F,0)</f>
        <v>0</v>
      </c>
      <c r="B67">
        <v>1</v>
      </c>
      <c r="C67" s="3" t="d">
        <v>2026-07-03</v>
      </c>
      <c r="D67" s="3"/>
      <c r="E67" s="26" t="s">
        <v>143</v>
      </c>
      <c r="F67" s="26" t="s">
        <v>27</v>
      </c>
      <c r="G67" s="26" t="s">
        <v>28</v>
      </c>
      <c r="H67" s="26" t="s">
        <v>37</v>
      </c>
      <c r="I67" s="26">
        <v>10618</v>
      </c>
      <c r="J67" s="26">
        <v>15023</v>
      </c>
      <c r="K67" s="26">
        <v>352975</v>
      </c>
      <c r="L67" s="26">
        <v>103365339</v>
      </c>
      <c r="M67" s="26">
        <v>1062713</v>
      </c>
      <c r="N67" s="26">
        <v>2826264</v>
      </c>
      <c r="O67" s="26">
        <v>10297</v>
      </c>
      <c r="P67" s="26">
        <v>135000</v>
      </c>
      <c r="Q67" s="26">
        <v>49742319</v>
      </c>
      <c r="R67" s="26">
        <v>283898</v>
      </c>
      <c r="S67" s="26">
        <v>23958</v>
      </c>
      <c r="T67" s="26">
        <v>507775</v>
      </c>
      <c r="U67" s="26">
        <v>95904</v>
      </c>
      <c r="V67" s="26">
        <v>64275</v>
      </c>
      <c r="W67" s="26">
        <v>743</v>
      </c>
      <c r="X67" s="26">
        <v>190</v>
      </c>
      <c r="Y67" s="26">
        <v>145957</v>
      </c>
      <c r="Z67" s="26">
        <v>14635</v>
      </c>
      <c r="AA67" s="26">
        <v>77</v>
      </c>
      <c r="AB67" s="26">
        <v>0</v>
      </c>
      <c r="AC67" s="26">
        <v>0</v>
      </c>
      <c r="AD67" s="26">
        <v>103.496024562445</v>
      </c>
    </row>
    <row r="68" spans="1:30" x14ac:dyDescent="0.2">
      <c r="A68">
        <f>_xlfn.XLOOKUP(E68,Lookups!$E:$E,Lookups!$F:$F,0)</f>
        <v>0</v>
      </c>
      <c r="B68">
        <v>1</v>
      </c>
      <c r="C68" s="3" t="d">
        <v>2026-07-03</v>
      </c>
      <c r="D68" s="3"/>
      <c r="E68" s="26" t="s">
        <v>82</v>
      </c>
      <c r="F68" s="26" t="s">
        <v>27</v>
      </c>
      <c r="G68" s="26" t="s">
        <v>83</v>
      </c>
      <c r="H68" s="26" t="s">
        <v>84</v>
      </c>
      <c r="I68" s="26">
        <v>11195</v>
      </c>
      <c r="J68" s="26">
        <v>10779</v>
      </c>
      <c r="K68" s="26">
        <v>910893</v>
      </c>
      <c r="L68" s="26">
        <v>214920448</v>
      </c>
      <c r="M68" s="26">
        <v>1184151</v>
      </c>
      <c r="N68" s="26">
        <v>2720440</v>
      </c>
      <c r="O68" s="26">
        <v>613359</v>
      </c>
      <c r="P68" s="26" t="s">
        <v>31</v>
      </c>
      <c r="Q68" s="26" t="s">
        <v>31</v>
      </c>
      <c r="R68" s="26" t="s">
        <v>31</v>
      </c>
      <c r="S68" s="26">
        <v>28085</v>
      </c>
      <c r="T68" s="26">
        <v>11855</v>
      </c>
      <c r="U68" s="26">
        <v>292072</v>
      </c>
      <c r="V68" s="26">
        <v>1387469</v>
      </c>
      <c r="W68" s="26">
        <v>81166</v>
      </c>
      <c r="X68" s="26" t="s">
        <v>31</v>
      </c>
      <c r="Y68" s="26">
        <v>18412</v>
      </c>
      <c r="Z68" s="26">
        <v>30201</v>
      </c>
      <c r="AA68" s="26">
        <v>70</v>
      </c>
      <c r="AB68" s="26">
        <v>0</v>
      </c>
      <c r="AC68" s="26">
        <v>0</v>
      </c>
      <c r="AD68" s="26">
        <v>101.415895676478</v>
      </c>
    </row>
    <row r="69" spans="1:30" x14ac:dyDescent="0.2">
      <c r="A69">
        <f>_xlfn.XLOOKUP(E69,Lookups!$E:$E,Lookups!$F:$F,0)</f>
        <v>0</v>
      </c>
      <c r="B69">
        <v>1</v>
      </c>
      <c r="C69" s="3" t="d">
        <v>2026-07-03</v>
      </c>
      <c r="D69" s="3"/>
      <c r="E69" s="26" t="s">
        <v>133</v>
      </c>
      <c r="F69" s="26" t="s">
        <v>27</v>
      </c>
      <c r="G69" s="26" t="s">
        <v>36</v>
      </c>
      <c r="H69" s="26" t="s">
        <v>48</v>
      </c>
      <c r="I69" s="26">
        <v>11553</v>
      </c>
      <c r="J69" s="26">
        <v>12000</v>
      </c>
      <c r="K69" s="26">
        <v>397437</v>
      </c>
      <c r="L69" s="26">
        <v>168859426</v>
      </c>
      <c r="M69" s="26">
        <v>957911</v>
      </c>
      <c r="N69" s="26">
        <v>2327224</v>
      </c>
      <c r="O69" s="26">
        <v>18641</v>
      </c>
      <c r="P69" s="26">
        <v>77500</v>
      </c>
      <c r="Q69" s="26">
        <v>15242857</v>
      </c>
      <c r="R69" s="26">
        <v>131937</v>
      </c>
      <c r="S69" s="26">
        <v>2026</v>
      </c>
      <c r="T69" s="26">
        <v>880446</v>
      </c>
      <c r="U69" s="26">
        <v>135698</v>
      </c>
      <c r="V69" s="26">
        <v>1262</v>
      </c>
      <c r="W69" s="26">
        <v>1916</v>
      </c>
      <c r="X69" s="26">
        <v>251</v>
      </c>
      <c r="Y69" s="26">
        <v>65525</v>
      </c>
      <c r="Z69" s="26">
        <v>17088</v>
      </c>
      <c r="AA69" s="26">
        <v>81</v>
      </c>
      <c r="AB69" s="26">
        <v>0</v>
      </c>
      <c r="AC69" s="26">
        <v>0</v>
      </c>
      <c r="AD69" s="26">
        <v>120.11952552418001</v>
      </c>
    </row>
    <row r="70" spans="1:30" x14ac:dyDescent="0.2">
      <c r="A70">
        <f>_xlfn.XLOOKUP(E70,Lookups!$E:$E,Lookups!$F:$F,0)</f>
        <v>0</v>
      </c>
      <c r="B70">
        <v>1</v>
      </c>
      <c r="C70" s="3" t="d">
        <v>2026-07-03</v>
      </c>
      <c r="D70" s="3"/>
      <c r="E70" s="26" t="s">
        <v>88</v>
      </c>
      <c r="F70" s="26" t="s">
        <v>27</v>
      </c>
      <c r="G70" s="26" t="s">
        <v>28</v>
      </c>
      <c r="H70" s="26" t="s">
        <v>44</v>
      </c>
      <c r="I70" s="26">
        <v>11710</v>
      </c>
      <c r="J70" s="26">
        <v>13553</v>
      </c>
      <c r="K70" s="26">
        <v>834940</v>
      </c>
      <c r="L70" s="26">
        <v>120873829</v>
      </c>
      <c r="M70" s="26">
        <v>704275</v>
      </c>
      <c r="N70" s="26">
        <v>1840916</v>
      </c>
      <c r="O70" s="26">
        <v>37507</v>
      </c>
      <c r="P70" s="26">
        <v>154</v>
      </c>
      <c r="Q70" s="26">
        <v>31808533</v>
      </c>
      <c r="R70" s="26">
        <v>197570</v>
      </c>
      <c r="S70" s="26">
        <v>13472</v>
      </c>
      <c r="T70" s="26" t="s">
        <v>31</v>
      </c>
      <c r="U70" s="26">
        <v>811128</v>
      </c>
      <c r="V70" s="26">
        <v>653326</v>
      </c>
      <c r="W70" s="26">
        <v>12757</v>
      </c>
      <c r="X70" s="26" t="s">
        <v>31</v>
      </c>
      <c r="Y70" s="26">
        <v>85442</v>
      </c>
      <c r="Z70" s="26">
        <v>28737</v>
      </c>
      <c r="AA70" s="26">
        <v>65</v>
      </c>
      <c r="AB70" s="26">
        <v>1</v>
      </c>
      <c r="AC70" s="26">
        <v>24</v>
      </c>
      <c r="AD70" s="26">
        <v>117.76959544338</v>
      </c>
    </row>
    <row r="71" spans="1:30" x14ac:dyDescent="0.2">
      <c r="A71">
        <f>_xlfn.XLOOKUP(E71,Lookups!$E:$E,Lookups!$F:$F,0)</f>
        <v>0</v>
      </c>
      <c r="B71">
        <v>1</v>
      </c>
      <c r="C71" s="3" t="d">
        <v>2026-07-03</v>
      </c>
      <c r="D71" s="3"/>
      <c r="E71" s="26" t="s">
        <v>224</v>
      </c>
      <c r="F71" s="26" t="s">
        <v>27</v>
      </c>
      <c r="G71" s="26" t="s">
        <v>77</v>
      </c>
      <c r="H71" s="26" t="s">
        <v>225</v>
      </c>
      <c r="I71" s="26">
        <v>11794</v>
      </c>
      <c r="J71" s="26">
        <v>36433</v>
      </c>
      <c r="K71" s="26">
        <v>133071</v>
      </c>
      <c r="L71" s="26">
        <v>78702758</v>
      </c>
      <c r="M71" s="26">
        <v>371149</v>
      </c>
      <c r="N71" s="26">
        <v>1074190</v>
      </c>
      <c r="O71" s="26">
        <v>4893</v>
      </c>
      <c r="P71" s="26">
        <v>922000</v>
      </c>
      <c r="Q71" s="26">
        <v>289214135</v>
      </c>
      <c r="R71" s="26">
        <v>1955477</v>
      </c>
      <c r="S71" s="26">
        <v>23267</v>
      </c>
      <c r="T71" s="26">
        <v>3146</v>
      </c>
      <c r="U71" s="26">
        <v>566257</v>
      </c>
      <c r="V71" s="26">
        <v>1123896</v>
      </c>
      <c r="W71" s="26">
        <v>10072</v>
      </c>
      <c r="X71" s="26">
        <v>8556</v>
      </c>
      <c r="Y71" s="26">
        <v>34029</v>
      </c>
      <c r="Z71" s="26">
        <v>63291</v>
      </c>
      <c r="AA71" s="26">
        <v>45</v>
      </c>
      <c r="AB71" s="26">
        <v>0</v>
      </c>
      <c r="AC71" s="26">
        <v>0</v>
      </c>
      <c r="AD71" s="26">
        <v>30.1984779131758</v>
      </c>
    </row>
    <row r="72" spans="1:30" x14ac:dyDescent="0.2">
      <c r="A72">
        <f>_xlfn.XLOOKUP(E72,Lookups!$E:$E,Lookups!$F:$F,0)</f>
        <v>0</v>
      </c>
      <c r="B72">
        <v>1</v>
      </c>
      <c r="C72" s="3" t="d">
        <v>2026-07-03</v>
      </c>
      <c r="D72" s="3"/>
      <c r="E72" s="26" t="s">
        <v>556</v>
      </c>
      <c r="F72" s="26" t="s">
        <v>27</v>
      </c>
      <c r="G72" s="26" t="s">
        <v>28</v>
      </c>
      <c r="H72" s="26" t="s">
        <v>132</v>
      </c>
      <c r="I72" s="26">
        <v>11845</v>
      </c>
      <c r="J72" s="26">
        <v>245032</v>
      </c>
      <c r="K72" s="26">
        <v>6513</v>
      </c>
      <c r="L72" s="26">
        <v>439577</v>
      </c>
      <c r="M72" s="26">
        <v>4365</v>
      </c>
      <c r="N72" s="26">
        <v>7168</v>
      </c>
      <c r="O72" s="26">
        <v>613359</v>
      </c>
      <c r="P72" s="26" t="s">
        <v>31</v>
      </c>
      <c r="Q72" s="26" t="s">
        <v>31</v>
      </c>
      <c r="R72" s="26" t="s">
        <v>31</v>
      </c>
      <c r="S72" s="26">
        <v>841</v>
      </c>
      <c r="T72" s="26">
        <v>2196605</v>
      </c>
      <c r="U72" s="26">
        <v>2452216</v>
      </c>
      <c r="V72" s="26">
        <v>3033119</v>
      </c>
      <c r="W72" s="26">
        <v>70</v>
      </c>
      <c r="X72" s="26">
        <v>9223</v>
      </c>
      <c r="Y72" s="26">
        <v>466238</v>
      </c>
      <c r="Z72" s="26">
        <v>92789</v>
      </c>
      <c r="AA72" s="26">
        <v>2</v>
      </c>
      <c r="AB72" s="26">
        <v>0</v>
      </c>
      <c r="AC72" s="26">
        <v>0</v>
      </c>
      <c r="AD72" s="26">
        <v>4.6605553172939604</v>
      </c>
    </row>
    <row r="73" spans="1:30" x14ac:dyDescent="0.2">
      <c r="A73">
        <f>_xlfn.XLOOKUP(E73,Lookups!$E:$E,Lookups!$F:$F,0)</f>
        <v>0</v>
      </c>
      <c r="B73">
        <v>1</v>
      </c>
      <c r="C73" s="3" t="d">
        <v>2026-07-03</v>
      </c>
      <c r="D73" s="3"/>
      <c r="E73" s="26" t="s">
        <v>281</v>
      </c>
      <c r="F73" s="26" t="s">
        <v>27</v>
      </c>
      <c r="G73" s="26" t="s">
        <v>36</v>
      </c>
      <c r="H73" s="26" t="s">
        <v>46</v>
      </c>
      <c r="I73" s="26">
        <v>11896</v>
      </c>
      <c r="J73" s="26">
        <v>57134</v>
      </c>
      <c r="K73" s="26">
        <v>83460</v>
      </c>
      <c r="L73" s="26">
        <v>22274426</v>
      </c>
      <c r="M73" s="26">
        <v>108431</v>
      </c>
      <c r="N73" s="26">
        <v>162429</v>
      </c>
      <c r="O73" s="26">
        <v>9682</v>
      </c>
      <c r="P73" s="26">
        <v>172000</v>
      </c>
      <c r="Q73" s="26">
        <v>37978836</v>
      </c>
      <c r="R73" s="26">
        <v>323310</v>
      </c>
      <c r="S73" s="26">
        <v>4410</v>
      </c>
      <c r="T73" s="26">
        <v>589650</v>
      </c>
      <c r="U73" s="26">
        <v>124985</v>
      </c>
      <c r="V73" s="26">
        <v>851420</v>
      </c>
      <c r="W73" s="26">
        <v>899</v>
      </c>
      <c r="X73" s="26" t="s">
        <v>31</v>
      </c>
      <c r="Y73" s="26">
        <v>18090</v>
      </c>
      <c r="Z73" s="26">
        <v>103431</v>
      </c>
      <c r="AA73" s="26">
        <v>5</v>
      </c>
      <c r="AB73" s="26">
        <v>0</v>
      </c>
      <c r="AC73" s="26">
        <v>0</v>
      </c>
      <c r="AD73" s="26">
        <v>3.4741671423635099</v>
      </c>
    </row>
    <row r="74" spans="1:30" x14ac:dyDescent="0.2">
      <c r="A74">
        <f>_xlfn.XLOOKUP(E74,Lookups!$E:$E,Lookups!$F:$F,0)</f>
        <v>0</v>
      </c>
      <c r="B74">
        <v>1</v>
      </c>
      <c r="C74" s="3" t="d">
        <v>2026-07-03</v>
      </c>
      <c r="D74" s="3"/>
      <c r="E74" s="26" t="s">
        <v>92</v>
      </c>
      <c r="F74" s="26" t="s">
        <v>27</v>
      </c>
      <c r="G74" s="26" t="s">
        <v>28</v>
      </c>
      <c r="H74" s="26" t="s">
        <v>62</v>
      </c>
      <c r="I74" s="26">
        <v>12190</v>
      </c>
      <c r="J74" s="26">
        <v>12831</v>
      </c>
      <c r="K74" s="26">
        <v>799259</v>
      </c>
      <c r="L74" s="26">
        <v>355232600</v>
      </c>
      <c r="M74" s="26">
        <v>555778</v>
      </c>
      <c r="N74" s="26">
        <v>9081588</v>
      </c>
      <c r="O74" s="26">
        <v>31991</v>
      </c>
      <c r="P74" s="26">
        <v>218000</v>
      </c>
      <c r="Q74" s="26">
        <v>15757716</v>
      </c>
      <c r="R74" s="26">
        <v>158598</v>
      </c>
      <c r="S74" s="26">
        <v>9761</v>
      </c>
      <c r="T74" s="26">
        <v>721722</v>
      </c>
      <c r="U74" s="26">
        <v>1101934</v>
      </c>
      <c r="V74" s="26">
        <v>329333</v>
      </c>
      <c r="W74" s="26">
        <v>33180</v>
      </c>
      <c r="X74" s="26">
        <v>2204</v>
      </c>
      <c r="Y74" s="26">
        <v>24860</v>
      </c>
      <c r="Z74" s="26">
        <v>13592</v>
      </c>
      <c r="AA74" s="26">
        <v>125</v>
      </c>
      <c r="AB74" s="26">
        <v>4</v>
      </c>
      <c r="AC74" s="26">
        <v>18</v>
      </c>
      <c r="AD74" s="26">
        <v>166.281464338207</v>
      </c>
    </row>
    <row r="75" spans="1:30" x14ac:dyDescent="0.2">
      <c r="A75">
        <f>_xlfn.XLOOKUP(E75,Lookups!$E:$E,Lookups!$F:$F,0)</f>
        <v>1</v>
      </c>
      <c r="B75">
        <v>1</v>
      </c>
      <c r="C75" s="3" t="d">
        <v>2026-07-03</v>
      </c>
      <c r="D75" s="3"/>
      <c r="E75" s="26" t="s">
        <v>125</v>
      </c>
      <c r="F75" s="26" t="s">
        <v>27</v>
      </c>
      <c r="G75" s="26" t="s">
        <v>28</v>
      </c>
      <c r="H75" s="26" t="s">
        <v>46</v>
      </c>
      <c r="I75" s="26">
        <v>12220</v>
      </c>
      <c r="J75" s="26">
        <v>18563</v>
      </c>
      <c r="K75" s="26">
        <v>439698</v>
      </c>
      <c r="L75" s="26">
        <v>91714661</v>
      </c>
      <c r="M75" s="26">
        <v>800754</v>
      </c>
      <c r="N75" s="26">
        <v>2649433</v>
      </c>
      <c r="O75" s="26">
        <v>107492</v>
      </c>
      <c r="P75" s="26">
        <v>25900</v>
      </c>
      <c r="Q75" s="26">
        <v>3741125</v>
      </c>
      <c r="R75" s="26">
        <v>41873</v>
      </c>
      <c r="S75" s="26">
        <v>2811</v>
      </c>
      <c r="T75" s="26">
        <v>1639420</v>
      </c>
      <c r="U75" s="26">
        <v>534469</v>
      </c>
      <c r="V75" s="26" t="s">
        <v>31</v>
      </c>
      <c r="W75" s="26">
        <v>2210</v>
      </c>
      <c r="X75" s="26">
        <v>85</v>
      </c>
      <c r="Y75" s="26">
        <v>65837</v>
      </c>
      <c r="Z75" s="26">
        <v>26757</v>
      </c>
      <c r="AA75" s="26">
        <v>55</v>
      </c>
      <c r="AB75" s="26">
        <v>0</v>
      </c>
      <c r="AC75" s="26">
        <v>0</v>
      </c>
      <c r="AD75" s="26">
        <v>72.727178430055503</v>
      </c>
    </row>
    <row r="76" spans="1:30" x14ac:dyDescent="0.2">
      <c r="A76">
        <f>_xlfn.XLOOKUP(E76,Lookups!$E:$E,Lookups!$F:$F,0)</f>
        <v>0</v>
      </c>
      <c r="B76">
        <v>1</v>
      </c>
      <c r="C76" s="3" t="d">
        <v>2026-07-03</v>
      </c>
      <c r="D76" s="3"/>
      <c r="E76" s="26" t="s">
        <v>89</v>
      </c>
      <c r="F76" s="26" t="s">
        <v>27</v>
      </c>
      <c r="G76" s="26" t="s">
        <v>28</v>
      </c>
      <c r="H76" s="26" t="s">
        <v>50</v>
      </c>
      <c r="I76" s="26">
        <v>12296</v>
      </c>
      <c r="J76" s="26">
        <v>16720</v>
      </c>
      <c r="K76" s="26">
        <v>830586</v>
      </c>
      <c r="L76" s="26">
        <v>75313509</v>
      </c>
      <c r="M76" s="26">
        <v>578881</v>
      </c>
      <c r="N76" s="26">
        <v>1566435</v>
      </c>
      <c r="O76" s="26">
        <v>25809</v>
      </c>
      <c r="P76" s="26">
        <v>88800</v>
      </c>
      <c r="Q76" s="26">
        <v>37701527</v>
      </c>
      <c r="R76" s="26">
        <v>175867</v>
      </c>
      <c r="S76" s="26">
        <v>12414</v>
      </c>
      <c r="T76" s="26">
        <v>694324</v>
      </c>
      <c r="U76" s="26">
        <v>375369</v>
      </c>
      <c r="V76" s="26">
        <v>474223</v>
      </c>
      <c r="W76" s="26">
        <v>1113</v>
      </c>
      <c r="X76" s="26" t="s">
        <v>31</v>
      </c>
      <c r="Y76" s="26">
        <v>68684</v>
      </c>
      <c r="Z76" s="26">
        <v>16044</v>
      </c>
      <c r="AA76" s="26">
        <v>120</v>
      </c>
      <c r="AB76" s="26">
        <v>0</v>
      </c>
      <c r="AC76" s="26">
        <v>0</v>
      </c>
      <c r="AD76" s="26">
        <v>161.963846279645</v>
      </c>
    </row>
    <row r="77" spans="1:30" x14ac:dyDescent="0.2">
      <c r="A77">
        <f>_xlfn.XLOOKUP(E77,Lookups!$E:$E,Lookups!$F:$F,0)</f>
        <v>0</v>
      </c>
      <c r="B77">
        <v>1</v>
      </c>
      <c r="C77" s="3" t="d">
        <v>2026-07-03</v>
      </c>
      <c r="D77" s="3"/>
      <c r="E77" s="26" t="s">
        <v>152</v>
      </c>
      <c r="F77" s="26" t="s">
        <v>27</v>
      </c>
      <c r="G77" s="26" t="s">
        <v>28</v>
      </c>
      <c r="H77" s="26" t="s">
        <v>153</v>
      </c>
      <c r="I77" s="26">
        <v>12503</v>
      </c>
      <c r="J77" s="26">
        <v>10638</v>
      </c>
      <c r="K77" s="26">
        <v>290498</v>
      </c>
      <c r="L77" s="26">
        <v>237149196</v>
      </c>
      <c r="M77" s="26">
        <v>1627726</v>
      </c>
      <c r="N77" s="26">
        <v>7069341</v>
      </c>
      <c r="O77" s="26">
        <v>6841</v>
      </c>
      <c r="P77" s="26">
        <v>508000</v>
      </c>
      <c r="Q77" s="26">
        <v>209571259</v>
      </c>
      <c r="R77" s="26">
        <v>1698613</v>
      </c>
      <c r="S77" s="26">
        <v>90639</v>
      </c>
      <c r="T77" s="26">
        <v>109491</v>
      </c>
      <c r="U77" s="26">
        <v>45</v>
      </c>
      <c r="V77" s="26">
        <v>11635</v>
      </c>
      <c r="W77" s="26">
        <v>3466</v>
      </c>
      <c r="X77" s="26" t="s">
        <v>31</v>
      </c>
      <c r="Y77" s="26">
        <v>104708</v>
      </c>
      <c r="Z77" s="26">
        <v>11899</v>
      </c>
      <c r="AA77" s="26">
        <v>151</v>
      </c>
      <c r="AB77" s="26">
        <v>0</v>
      </c>
      <c r="AC77" s="26">
        <v>0</v>
      </c>
      <c r="AD77" s="26">
        <v>189.143716995289</v>
      </c>
    </row>
    <row r="78" spans="1:30" x14ac:dyDescent="0.2">
      <c r="A78">
        <f>_xlfn.XLOOKUP(E78,Lookups!$E:$E,Lookups!$F:$F,0)</f>
        <v>0</v>
      </c>
      <c r="B78">
        <v>1</v>
      </c>
      <c r="C78" s="3" t="d">
        <v>2026-07-03</v>
      </c>
      <c r="D78" s="3"/>
      <c r="E78" s="26" t="s">
        <v>107</v>
      </c>
      <c r="F78" s="26" t="s">
        <v>27</v>
      </c>
      <c r="G78" s="26" t="s">
        <v>28</v>
      </c>
      <c r="H78" s="26" t="s">
        <v>72</v>
      </c>
      <c r="I78" s="26">
        <v>12608</v>
      </c>
      <c r="J78" s="26">
        <v>20699</v>
      </c>
      <c r="K78" s="26">
        <v>635893</v>
      </c>
      <c r="L78" s="26">
        <v>110217458</v>
      </c>
      <c r="M78" s="26">
        <v>408670</v>
      </c>
      <c r="N78" s="26">
        <v>1308051</v>
      </c>
      <c r="O78" s="26">
        <v>16798</v>
      </c>
      <c r="P78" s="26">
        <v>202000</v>
      </c>
      <c r="Q78" s="26">
        <v>115739170</v>
      </c>
      <c r="R78" s="26">
        <v>855101</v>
      </c>
      <c r="S78" s="26">
        <v>11130</v>
      </c>
      <c r="T78" s="26">
        <v>506593</v>
      </c>
      <c r="U78" s="26">
        <v>766998</v>
      </c>
      <c r="V78" s="26">
        <v>3171825</v>
      </c>
      <c r="W78" s="26">
        <v>52557</v>
      </c>
      <c r="X78" s="26" t="s">
        <v>31</v>
      </c>
      <c r="Y78" s="26">
        <v>45761</v>
      </c>
      <c r="Z78" s="26">
        <v>30868</v>
      </c>
      <c r="AA78" s="26">
        <v>92</v>
      </c>
      <c r="AB78" s="26">
        <v>0</v>
      </c>
      <c r="AC78" s="26">
        <v>0</v>
      </c>
      <c r="AD78" s="26">
        <v>122.42372327882499</v>
      </c>
    </row>
    <row r="79" spans="1:30" x14ac:dyDescent="0.2">
      <c r="A79">
        <f>_xlfn.XLOOKUP(E79,Lookups!$E:$E,Lookups!$F:$F,0)</f>
        <v>0</v>
      </c>
      <c r="B79">
        <v>1</v>
      </c>
      <c r="C79" s="3" t="d">
        <v>2026-07-03</v>
      </c>
      <c r="D79" s="3"/>
      <c r="E79" s="26" t="s">
        <v>124</v>
      </c>
      <c r="F79" s="26" t="s">
        <v>27</v>
      </c>
      <c r="G79" s="26" t="s">
        <v>28</v>
      </c>
      <c r="H79" s="26" t="s">
        <v>33</v>
      </c>
      <c r="I79" s="26">
        <v>13028</v>
      </c>
      <c r="J79" s="26">
        <v>14685</v>
      </c>
      <c r="K79" s="26">
        <v>444194</v>
      </c>
      <c r="L79" s="26">
        <v>204385799</v>
      </c>
      <c r="M79" s="26">
        <v>596961</v>
      </c>
      <c r="N79" s="26">
        <v>5826146</v>
      </c>
      <c r="O79" s="26">
        <v>13897</v>
      </c>
      <c r="P79" s="26">
        <v>120000</v>
      </c>
      <c r="Q79" s="26">
        <v>24841733</v>
      </c>
      <c r="R79" s="26">
        <v>220043</v>
      </c>
      <c r="S79" s="26">
        <v>834709</v>
      </c>
      <c r="T79" s="26" t="s">
        <v>31</v>
      </c>
      <c r="U79" s="26" t="s">
        <v>31</v>
      </c>
      <c r="V79" s="26" t="s">
        <v>31</v>
      </c>
      <c r="W79" s="26">
        <v>1</v>
      </c>
      <c r="X79" s="26" t="s">
        <v>31</v>
      </c>
      <c r="Y79" s="26">
        <v>88955</v>
      </c>
      <c r="Z79" s="26" t="s">
        <v>31</v>
      </c>
      <c r="AA79" s="26" t="s">
        <v>31</v>
      </c>
      <c r="AB79" s="26" t="s">
        <v>31</v>
      </c>
      <c r="AC79" s="26" t="s">
        <v>31</v>
      </c>
      <c r="AD79" s="26" t="s">
        <v>31</v>
      </c>
    </row>
    <row r="80" spans="1:30" x14ac:dyDescent="0.2">
      <c r="A80">
        <f>_xlfn.XLOOKUP(E80,Lookups!$E:$E,Lookups!$F:$F,0)</f>
        <v>1</v>
      </c>
      <c r="B80">
        <v>1</v>
      </c>
      <c r="C80" s="3" t="d">
        <v>2026-07-03</v>
      </c>
      <c r="D80" s="3"/>
      <c r="E80" s="26" t="s">
        <v>287</v>
      </c>
      <c r="F80" s="26" t="s">
        <v>27</v>
      </c>
      <c r="G80" s="26" t="s">
        <v>77</v>
      </c>
      <c r="H80" s="26" t="s">
        <v>101</v>
      </c>
      <c r="I80" s="26">
        <v>13657</v>
      </c>
      <c r="J80" s="26">
        <v>11962</v>
      </c>
      <c r="K80" s="26">
        <v>79136</v>
      </c>
      <c r="L80" s="26">
        <v>150403474</v>
      </c>
      <c r="M80" s="26">
        <v>1515723</v>
      </c>
      <c r="N80" s="26">
        <v>6855721</v>
      </c>
      <c r="O80" s="26">
        <v>613359</v>
      </c>
      <c r="P80" s="26" t="s">
        <v>31</v>
      </c>
      <c r="Q80" s="26" t="s">
        <v>31</v>
      </c>
      <c r="R80" s="26" t="s">
        <v>31</v>
      </c>
      <c r="S80" s="26">
        <v>10374</v>
      </c>
      <c r="T80" s="26" t="s">
        <v>31</v>
      </c>
      <c r="U80" s="26">
        <v>314912</v>
      </c>
      <c r="V80" s="26">
        <v>19549</v>
      </c>
      <c r="W80" s="26">
        <v>724</v>
      </c>
      <c r="X80" s="26" t="s">
        <v>31</v>
      </c>
      <c r="Y80" s="26">
        <v>466238</v>
      </c>
      <c r="Z80" s="26" t="s">
        <v>31</v>
      </c>
      <c r="AA80" s="26" t="s">
        <v>31</v>
      </c>
      <c r="AB80" s="26" t="s">
        <v>31</v>
      </c>
      <c r="AC80" s="26" t="s">
        <v>31</v>
      </c>
      <c r="AD80" s="26" t="s">
        <v>31</v>
      </c>
    </row>
    <row r="81" spans="1:30" x14ac:dyDescent="0.2">
      <c r="A81">
        <f>_xlfn.XLOOKUP(E81,Lookups!$E:$E,Lookups!$F:$F,0)</f>
        <v>0</v>
      </c>
      <c r="B81">
        <v>1</v>
      </c>
      <c r="C81" s="3" t="d">
        <v>2026-07-03</v>
      </c>
      <c r="D81" s="3"/>
      <c r="E81" s="26" t="s">
        <v>218</v>
      </c>
      <c r="F81" s="26" t="s">
        <v>27</v>
      </c>
      <c r="G81" s="26" t="s">
        <v>28</v>
      </c>
      <c r="H81" s="26" t="s">
        <v>57</v>
      </c>
      <c r="I81" s="26">
        <v>13743</v>
      </c>
      <c r="J81" s="26">
        <v>28515</v>
      </c>
      <c r="K81" s="26">
        <v>139999</v>
      </c>
      <c r="L81" s="26">
        <v>41516301</v>
      </c>
      <c r="M81" s="26">
        <v>604543</v>
      </c>
      <c r="N81" s="26">
        <v>971272</v>
      </c>
      <c r="O81" s="26">
        <v>26811</v>
      </c>
      <c r="P81" s="26">
        <v>41600</v>
      </c>
      <c r="Q81" s="26">
        <v>2246614</v>
      </c>
      <c r="R81" s="26">
        <v>31473</v>
      </c>
      <c r="S81" s="26">
        <v>6817</v>
      </c>
      <c r="T81" s="26">
        <v>328433</v>
      </c>
      <c r="U81" s="26">
        <v>127358</v>
      </c>
      <c r="V81" s="26">
        <v>22899</v>
      </c>
      <c r="W81" s="26">
        <v>263</v>
      </c>
      <c r="X81" s="26">
        <v>81</v>
      </c>
      <c r="Y81" s="26">
        <v>366653</v>
      </c>
      <c r="Z81" s="26">
        <v>13028</v>
      </c>
      <c r="AA81" s="26">
        <v>90</v>
      </c>
      <c r="AB81" s="26">
        <v>0</v>
      </c>
      <c r="AC81" s="26">
        <v>0</v>
      </c>
      <c r="AD81" s="26">
        <v>122.540689864299</v>
      </c>
    </row>
    <row r="82" spans="1:30" x14ac:dyDescent="0.2">
      <c r="A82">
        <f>_xlfn.XLOOKUP(E82,Lookups!$E:$E,Lookups!$F:$F,0)</f>
        <v>0</v>
      </c>
      <c r="B82">
        <v>1</v>
      </c>
      <c r="C82" s="3" t="d">
        <v>2026-07-03</v>
      </c>
      <c r="D82" s="3"/>
      <c r="E82" s="26" t="s">
        <v>112</v>
      </c>
      <c r="F82" s="26" t="s">
        <v>27</v>
      </c>
      <c r="G82" s="26" t="s">
        <v>28</v>
      </c>
      <c r="H82" s="26" t="s">
        <v>113</v>
      </c>
      <c r="I82" s="26">
        <v>13798</v>
      </c>
      <c r="J82" s="26">
        <v>12009</v>
      </c>
      <c r="K82" s="26">
        <v>560605</v>
      </c>
      <c r="L82" s="26">
        <v>217249319</v>
      </c>
      <c r="M82" s="26">
        <v>745490</v>
      </c>
      <c r="N82" s="26">
        <v>1555488</v>
      </c>
      <c r="O82" s="26">
        <v>46935</v>
      </c>
      <c r="P82" s="26">
        <v>33700</v>
      </c>
      <c r="Q82" s="26">
        <v>4911100</v>
      </c>
      <c r="R82" s="26">
        <v>56948</v>
      </c>
      <c r="S82" s="26">
        <v>8005</v>
      </c>
      <c r="T82" s="26">
        <v>47971</v>
      </c>
      <c r="U82" s="26">
        <v>183145</v>
      </c>
      <c r="V82" s="26">
        <v>255767</v>
      </c>
      <c r="W82" s="26">
        <v>3832</v>
      </c>
      <c r="X82" s="26" t="s">
        <v>31</v>
      </c>
      <c r="Y82" s="26">
        <v>44128</v>
      </c>
      <c r="Z82" s="26">
        <v>11130</v>
      </c>
      <c r="AA82" s="26">
        <v>150</v>
      </c>
      <c r="AB82" s="26">
        <v>1</v>
      </c>
      <c r="AC82" s="26">
        <v>6</v>
      </c>
      <c r="AD82" s="26">
        <v>309.13286651423999</v>
      </c>
    </row>
    <row r="83" spans="1:30" x14ac:dyDescent="0.2">
      <c r="A83">
        <f>_xlfn.XLOOKUP(E83,Lookups!$E:$E,Lookups!$F:$F,0)</f>
        <v>0</v>
      </c>
      <c r="B83">
        <v>1</v>
      </c>
      <c r="C83" s="3" t="d">
        <v>2026-07-03</v>
      </c>
      <c r="D83" s="3"/>
      <c r="E83" s="26" t="s">
        <v>126</v>
      </c>
      <c r="F83" s="26" t="s">
        <v>27</v>
      </c>
      <c r="G83" s="26" t="s">
        <v>28</v>
      </c>
      <c r="H83" s="26" t="s">
        <v>50</v>
      </c>
      <c r="I83" s="26">
        <v>14049</v>
      </c>
      <c r="J83" s="26">
        <v>27861</v>
      </c>
      <c r="K83" s="26">
        <v>424598</v>
      </c>
      <c r="L83" s="26">
        <v>96263973</v>
      </c>
      <c r="M83" s="26">
        <v>343636</v>
      </c>
      <c r="N83" s="26">
        <v>1045615</v>
      </c>
      <c r="O83" s="26">
        <v>23610</v>
      </c>
      <c r="P83" s="26">
        <v>44000</v>
      </c>
      <c r="Q83" s="26">
        <v>99321836</v>
      </c>
      <c r="R83" s="26">
        <v>723336</v>
      </c>
      <c r="S83" s="26">
        <v>8524</v>
      </c>
      <c r="T83" s="26" t="s">
        <v>31</v>
      </c>
      <c r="U83" s="26">
        <v>2042563</v>
      </c>
      <c r="V83" s="26">
        <v>2508608</v>
      </c>
      <c r="W83" s="26">
        <v>30553</v>
      </c>
      <c r="X83" s="26">
        <v>452</v>
      </c>
      <c r="Y83" s="26">
        <v>35652</v>
      </c>
      <c r="Z83" s="26">
        <v>19375</v>
      </c>
      <c r="AA83" s="26">
        <v>157</v>
      </c>
      <c r="AB83" s="26">
        <v>1</v>
      </c>
      <c r="AC83" s="26">
        <v>20</v>
      </c>
      <c r="AD83" s="26">
        <v>193.78551852124099</v>
      </c>
    </row>
    <row r="84" spans="1:30" x14ac:dyDescent="0.2">
      <c r="A84">
        <f>_xlfn.XLOOKUP(E84,Lookups!$E:$E,Lookups!$F:$F,0)</f>
        <v>0</v>
      </c>
      <c r="B84">
        <v>1</v>
      </c>
      <c r="C84" s="3" t="d">
        <v>2026-07-03</v>
      </c>
      <c r="D84" s="3"/>
      <c r="E84" s="26" t="s">
        <v>87</v>
      </c>
      <c r="F84" s="26" t="s">
        <v>27</v>
      </c>
      <c r="G84" s="26" t="s">
        <v>28</v>
      </c>
      <c r="H84" s="26" t="s">
        <v>72</v>
      </c>
      <c r="I84" s="26">
        <v>14135</v>
      </c>
      <c r="J84" s="26">
        <v>15030</v>
      </c>
      <c r="K84" s="26">
        <v>872284</v>
      </c>
      <c r="L84" s="26">
        <v>120201255</v>
      </c>
      <c r="M84" s="26">
        <v>701792</v>
      </c>
      <c r="N84" s="26">
        <v>1914336</v>
      </c>
      <c r="O84" s="26">
        <v>22073</v>
      </c>
      <c r="P84" s="26">
        <v>109000</v>
      </c>
      <c r="Q84" s="26">
        <v>83824707</v>
      </c>
      <c r="R84" s="26">
        <v>548750</v>
      </c>
      <c r="S84" s="26">
        <v>36729</v>
      </c>
      <c r="T84" s="26">
        <v>62348</v>
      </c>
      <c r="U84" s="26">
        <v>203625</v>
      </c>
      <c r="V84" s="26">
        <v>599076</v>
      </c>
      <c r="W84" s="26">
        <v>23656</v>
      </c>
      <c r="X84" s="26" t="s">
        <v>31</v>
      </c>
      <c r="Y84" s="26">
        <v>47384</v>
      </c>
      <c r="Z84" s="26">
        <v>10293</v>
      </c>
      <c r="AA84" s="26">
        <v>149</v>
      </c>
      <c r="AB84" s="26">
        <v>1</v>
      </c>
      <c r="AC84" s="26">
        <v>16</v>
      </c>
      <c r="AD84" s="26">
        <v>325.92518024385299</v>
      </c>
    </row>
    <row r="85" spans="1:30" x14ac:dyDescent="0.2">
      <c r="A85">
        <f>_xlfn.XLOOKUP(E85,Lookups!$E:$E,Lookups!$F:$F,0)</f>
        <v>0</v>
      </c>
      <c r="B85">
        <v>1</v>
      </c>
      <c r="C85" s="3" t="d">
        <v>2026-07-03</v>
      </c>
      <c r="D85" s="3"/>
      <c r="E85" s="26" t="s">
        <v>141</v>
      </c>
      <c r="F85" s="26" t="s">
        <v>35</v>
      </c>
      <c r="G85" s="26" t="s">
        <v>28</v>
      </c>
      <c r="H85" s="26" t="s">
        <v>31</v>
      </c>
      <c r="I85" s="26">
        <v>14255</v>
      </c>
      <c r="J85" s="26">
        <v>19245</v>
      </c>
      <c r="K85" s="26">
        <v>363438</v>
      </c>
      <c r="L85" s="26">
        <v>89417211</v>
      </c>
      <c r="M85" s="26">
        <v>635533</v>
      </c>
      <c r="N85" s="26">
        <v>2328429</v>
      </c>
      <c r="O85" s="26">
        <v>33956</v>
      </c>
      <c r="P85" s="26">
        <v>97500</v>
      </c>
      <c r="Q85" s="26">
        <v>9137086</v>
      </c>
      <c r="R85" s="26">
        <v>204731</v>
      </c>
      <c r="S85" s="26">
        <v>17701</v>
      </c>
      <c r="T85" s="26">
        <v>1445326</v>
      </c>
      <c r="U85" s="26">
        <v>313887</v>
      </c>
      <c r="V85" s="26">
        <v>56431</v>
      </c>
      <c r="W85" s="26">
        <v>505</v>
      </c>
      <c r="X85" s="26">
        <v>29</v>
      </c>
      <c r="Y85" s="26">
        <v>90782</v>
      </c>
      <c r="Z85" s="26" t="s">
        <v>31</v>
      </c>
      <c r="AA85" s="26" t="s">
        <v>31</v>
      </c>
      <c r="AB85" s="26" t="s">
        <v>31</v>
      </c>
      <c r="AC85" s="26" t="s">
        <v>31</v>
      </c>
      <c r="AD85" s="26" t="s">
        <v>31</v>
      </c>
    </row>
    <row r="86" spans="1:30" x14ac:dyDescent="0.2">
      <c r="A86">
        <f>_xlfn.XLOOKUP(E86,Lookups!$E:$E,Lookups!$F:$F,0)</f>
        <v>0</v>
      </c>
      <c r="B86">
        <v>1</v>
      </c>
      <c r="C86" s="3" t="d">
        <v>2026-07-03</v>
      </c>
      <c r="D86" s="3"/>
      <c r="E86" s="26" t="s">
        <v>93</v>
      </c>
      <c r="F86" s="26" t="s">
        <v>27</v>
      </c>
      <c r="G86" s="26" t="s">
        <v>28</v>
      </c>
      <c r="H86" s="26" t="s">
        <v>46</v>
      </c>
      <c r="I86" s="26">
        <v>14594</v>
      </c>
      <c r="J86" s="26">
        <v>25272</v>
      </c>
      <c r="K86" s="26">
        <v>780818</v>
      </c>
      <c r="L86" s="26">
        <v>64475520</v>
      </c>
      <c r="M86" s="26">
        <v>220324</v>
      </c>
      <c r="N86" s="26">
        <v>358883</v>
      </c>
      <c r="O86" s="26">
        <v>16290</v>
      </c>
      <c r="P86" s="26">
        <v>136000</v>
      </c>
      <c r="Q86" s="26">
        <v>132893503</v>
      </c>
      <c r="R86" s="26">
        <v>858845</v>
      </c>
      <c r="S86" s="26">
        <v>15026</v>
      </c>
      <c r="T86" s="26" t="s">
        <v>31</v>
      </c>
      <c r="U86" s="26">
        <v>1226808</v>
      </c>
      <c r="V86" s="26">
        <v>128029</v>
      </c>
      <c r="W86" s="26">
        <v>27029</v>
      </c>
      <c r="X86" s="26" t="s">
        <v>31</v>
      </c>
      <c r="Y86" s="26">
        <v>146064</v>
      </c>
      <c r="Z86" s="26">
        <v>26583</v>
      </c>
      <c r="AA86" s="26">
        <v>74</v>
      </c>
      <c r="AB86" s="26">
        <v>1</v>
      </c>
      <c r="AC86" s="26">
        <v>4</v>
      </c>
      <c r="AD86" s="26">
        <v>79.912058302321398</v>
      </c>
    </row>
    <row r="87" spans="1:30" x14ac:dyDescent="0.2">
      <c r="A87">
        <f>_xlfn.XLOOKUP(E87,Lookups!$E:$E,Lookups!$F:$F,0)</f>
        <v>0</v>
      </c>
      <c r="B87">
        <v>1</v>
      </c>
      <c r="C87" s="3" t="d">
        <v>2026-07-03</v>
      </c>
      <c r="D87" s="3"/>
      <c r="E87" s="26" t="s">
        <v>417</v>
      </c>
      <c r="F87" s="26" t="s">
        <v>27</v>
      </c>
      <c r="G87" s="26" t="s">
        <v>28</v>
      </c>
      <c r="H87" s="26" t="s">
        <v>46</v>
      </c>
      <c r="I87" s="26">
        <v>14680</v>
      </c>
      <c r="J87" s="26">
        <v>62090</v>
      </c>
      <c r="K87" s="26">
        <v>27028</v>
      </c>
      <c r="L87" s="26">
        <v>17032233</v>
      </c>
      <c r="M87" s="26">
        <v>300113</v>
      </c>
      <c r="N87" s="26">
        <v>123327</v>
      </c>
      <c r="O87" s="26">
        <v>12554</v>
      </c>
      <c r="P87" s="26">
        <v>68800</v>
      </c>
      <c r="Q87" s="26">
        <v>22215684</v>
      </c>
      <c r="R87" s="26">
        <v>237335</v>
      </c>
      <c r="S87" s="26">
        <v>13847</v>
      </c>
      <c r="T87" s="26">
        <v>2034185</v>
      </c>
      <c r="U87" s="26">
        <v>551</v>
      </c>
      <c r="V87" s="26">
        <v>729058</v>
      </c>
      <c r="W87" s="26">
        <v>72</v>
      </c>
      <c r="X87" s="26" t="s">
        <v>31</v>
      </c>
      <c r="Y87" s="26">
        <v>234956</v>
      </c>
      <c r="Z87" s="26" t="s">
        <v>31</v>
      </c>
      <c r="AA87" s="26" t="s">
        <v>31</v>
      </c>
      <c r="AB87" s="26" t="s">
        <v>31</v>
      </c>
      <c r="AC87" s="26" t="s">
        <v>31</v>
      </c>
      <c r="AD87" s="26" t="s">
        <v>31</v>
      </c>
    </row>
    <row r="88" spans="1:30" x14ac:dyDescent="0.2">
      <c r="A88">
        <f>_xlfn.XLOOKUP(E88,Lookups!$E:$E,Lookups!$F:$F,0)</f>
        <v>0</v>
      </c>
      <c r="B88">
        <v>1</v>
      </c>
      <c r="C88" s="3" t="d">
        <v>2026-07-03</v>
      </c>
      <c r="D88" s="3"/>
      <c r="E88" s="26" t="s">
        <v>115</v>
      </c>
      <c r="F88" s="26" t="s">
        <v>27</v>
      </c>
      <c r="G88" s="26" t="s">
        <v>28</v>
      </c>
      <c r="H88" s="26" t="s">
        <v>37</v>
      </c>
      <c r="I88" s="26">
        <v>14800</v>
      </c>
      <c r="J88" s="26">
        <v>26904</v>
      </c>
      <c r="K88" s="26">
        <v>533369</v>
      </c>
      <c r="L88" s="26">
        <v>56281663</v>
      </c>
      <c r="M88" s="26">
        <v>222181</v>
      </c>
      <c r="N88" s="26">
        <v>1769072</v>
      </c>
      <c r="O88" s="26">
        <v>18745</v>
      </c>
      <c r="P88" s="26">
        <v>251000</v>
      </c>
      <c r="Q88" s="26">
        <v>99113028</v>
      </c>
      <c r="R88" s="26">
        <v>633382</v>
      </c>
      <c r="S88" s="26">
        <v>34803</v>
      </c>
      <c r="T88" s="26">
        <v>62521</v>
      </c>
      <c r="U88" s="26">
        <v>329040</v>
      </c>
      <c r="V88" s="26">
        <v>533071</v>
      </c>
      <c r="W88" s="26">
        <v>45077</v>
      </c>
      <c r="X88" s="26" t="s">
        <v>31</v>
      </c>
      <c r="Y88" s="26">
        <v>18205</v>
      </c>
      <c r="Z88" s="26">
        <v>14870</v>
      </c>
      <c r="AA88" s="26">
        <v>181</v>
      </c>
      <c r="AB88" s="26">
        <v>1</v>
      </c>
      <c r="AC88" s="26">
        <v>4</v>
      </c>
      <c r="AD88" s="26">
        <v>291.15240340025002</v>
      </c>
    </row>
    <row r="89" spans="1:30" x14ac:dyDescent="0.2">
      <c r="A89">
        <f>_xlfn.XLOOKUP(E89,Lookups!$E:$E,Lookups!$F:$F,0)</f>
        <v>0</v>
      </c>
      <c r="B89">
        <v>1</v>
      </c>
      <c r="C89" s="3" t="d">
        <v>2026-07-03</v>
      </c>
      <c r="D89" s="3"/>
      <c r="E89" s="26" t="s">
        <v>139</v>
      </c>
      <c r="F89" s="26" t="s">
        <v>27</v>
      </c>
      <c r="G89" s="26" t="s">
        <v>28</v>
      </c>
      <c r="H89" s="26" t="s">
        <v>72</v>
      </c>
      <c r="I89" s="26">
        <v>15090</v>
      </c>
      <c r="J89" s="26">
        <v>19284</v>
      </c>
      <c r="K89" s="26">
        <v>375309</v>
      </c>
      <c r="L89" s="26">
        <v>152942980</v>
      </c>
      <c r="M89" s="26">
        <v>571092</v>
      </c>
      <c r="N89" s="26">
        <v>4177997</v>
      </c>
      <c r="O89" s="26">
        <v>20821</v>
      </c>
      <c r="P89" s="26">
        <v>59700</v>
      </c>
      <c r="Q89" s="26">
        <v>66887911</v>
      </c>
      <c r="R89" s="26">
        <v>434196</v>
      </c>
      <c r="S89" s="26">
        <v>25380</v>
      </c>
      <c r="T89" s="26">
        <v>2994</v>
      </c>
      <c r="U89" s="26">
        <v>315931</v>
      </c>
      <c r="V89" s="26">
        <v>899619</v>
      </c>
      <c r="W89" s="26">
        <v>22908</v>
      </c>
      <c r="X89" s="26">
        <v>3709</v>
      </c>
      <c r="Y89" s="26">
        <v>22312</v>
      </c>
      <c r="Z89" s="26">
        <v>5571</v>
      </c>
      <c r="AA89" s="26">
        <v>83</v>
      </c>
      <c r="AB89" s="26">
        <v>8</v>
      </c>
      <c r="AC89" s="26">
        <v>60</v>
      </c>
      <c r="AD89" s="26">
        <v>669.72384847018395</v>
      </c>
    </row>
    <row r="90" spans="1:30" x14ac:dyDescent="0.2">
      <c r="A90">
        <f>_xlfn.XLOOKUP(E90,Lookups!$E:$E,Lookups!$F:$F,0)</f>
        <v>0</v>
      </c>
      <c r="B90">
        <v>1</v>
      </c>
      <c r="C90" s="3" t="d">
        <v>2026-07-03</v>
      </c>
      <c r="D90" s="3"/>
      <c r="E90" s="26" t="s">
        <v>111</v>
      </c>
      <c r="F90" s="26" t="s">
        <v>27</v>
      </c>
      <c r="G90" s="26" t="s">
        <v>28</v>
      </c>
      <c r="H90" s="26" t="s">
        <v>37</v>
      </c>
      <c r="I90" s="26">
        <v>15103</v>
      </c>
      <c r="J90" s="26">
        <v>22242</v>
      </c>
      <c r="K90" s="26">
        <v>564642</v>
      </c>
      <c r="L90" s="26">
        <v>64575461</v>
      </c>
      <c r="M90" s="26">
        <v>322841</v>
      </c>
      <c r="N90" s="26">
        <v>623604</v>
      </c>
      <c r="O90" s="26">
        <v>27708</v>
      </c>
      <c r="P90" s="26">
        <v>93400</v>
      </c>
      <c r="Q90" s="26">
        <v>23471103</v>
      </c>
      <c r="R90" s="26">
        <v>188925</v>
      </c>
      <c r="S90" s="26">
        <v>43562</v>
      </c>
      <c r="T90" s="26">
        <v>71354</v>
      </c>
      <c r="U90" s="26">
        <v>128610</v>
      </c>
      <c r="V90" s="26">
        <v>247252</v>
      </c>
      <c r="W90" s="26">
        <v>5906</v>
      </c>
      <c r="X90" s="26">
        <v>4687</v>
      </c>
      <c r="Y90" s="26">
        <v>17543</v>
      </c>
      <c r="Z90" s="26">
        <v>11010</v>
      </c>
      <c r="AA90" s="26">
        <v>327</v>
      </c>
      <c r="AB90" s="26">
        <v>0</v>
      </c>
      <c r="AC90" s="26">
        <v>0</v>
      </c>
      <c r="AD90" s="26">
        <v>388.939042629661</v>
      </c>
    </row>
    <row r="91" spans="1:30" x14ac:dyDescent="0.2">
      <c r="A91">
        <f>_xlfn.XLOOKUP(E91,Lookups!$E:$E,Lookups!$F:$F,0)</f>
        <v>0</v>
      </c>
      <c r="B91">
        <v>1</v>
      </c>
      <c r="C91" s="3" t="d">
        <v>2026-07-03</v>
      </c>
      <c r="D91" s="3"/>
      <c r="E91" s="26" t="s">
        <v>264</v>
      </c>
      <c r="F91" s="26" t="s">
        <v>27</v>
      </c>
      <c r="G91" s="26" t="s">
        <v>28</v>
      </c>
      <c r="H91" s="26" t="s">
        <v>31</v>
      </c>
      <c r="I91" s="26">
        <v>15210</v>
      </c>
      <c r="J91" s="26">
        <v>58164</v>
      </c>
      <c r="K91" s="26">
        <v>95761</v>
      </c>
      <c r="L91" s="26">
        <v>23806008</v>
      </c>
      <c r="M91" s="26">
        <v>224358</v>
      </c>
      <c r="N91" s="26">
        <v>195778</v>
      </c>
      <c r="O91" s="26">
        <v>15667</v>
      </c>
      <c r="P91" s="26">
        <v>204000</v>
      </c>
      <c r="Q91" s="26">
        <v>56315195</v>
      </c>
      <c r="R91" s="26">
        <v>613240</v>
      </c>
      <c r="S91" s="26">
        <v>4065</v>
      </c>
      <c r="T91" s="26">
        <v>2175518</v>
      </c>
      <c r="U91" s="26">
        <v>114009</v>
      </c>
      <c r="V91" s="26">
        <v>1830031</v>
      </c>
      <c r="W91" s="26">
        <v>222</v>
      </c>
      <c r="X91" s="26" t="s">
        <v>31</v>
      </c>
      <c r="Y91" s="26">
        <v>58410</v>
      </c>
      <c r="Z91" s="26" t="s">
        <v>31</v>
      </c>
      <c r="AA91" s="26" t="s">
        <v>31</v>
      </c>
      <c r="AB91" s="26" t="s">
        <v>31</v>
      </c>
      <c r="AC91" s="26" t="s">
        <v>31</v>
      </c>
      <c r="AD91" s="26" t="s">
        <v>31</v>
      </c>
    </row>
    <row r="92" spans="1:30" x14ac:dyDescent="0.2">
      <c r="A92">
        <f>_xlfn.XLOOKUP(E92,Lookups!$E:$E,Lookups!$F:$F,0)</f>
        <v>0</v>
      </c>
      <c r="B92">
        <v>1</v>
      </c>
      <c r="C92" s="3" t="d">
        <v>2026-07-03</v>
      </c>
      <c r="D92" s="3"/>
      <c r="E92" s="26" t="s">
        <v>140</v>
      </c>
      <c r="F92" s="26" t="s">
        <v>27</v>
      </c>
      <c r="G92" s="26" t="s">
        <v>36</v>
      </c>
      <c r="H92" s="26" t="s">
        <v>33</v>
      </c>
      <c r="I92" s="26">
        <v>15219</v>
      </c>
      <c r="J92" s="26">
        <v>29725</v>
      </c>
      <c r="K92" s="26">
        <v>365356</v>
      </c>
      <c r="L92" s="26">
        <v>58491787</v>
      </c>
      <c r="M92" s="26">
        <v>231414</v>
      </c>
      <c r="N92" s="26">
        <v>2617714</v>
      </c>
      <c r="O92" s="26">
        <v>20847</v>
      </c>
      <c r="P92" s="26">
        <v>137000</v>
      </c>
      <c r="Q92" s="26">
        <v>23556984</v>
      </c>
      <c r="R92" s="26">
        <v>324636</v>
      </c>
      <c r="S92" s="26">
        <v>4127</v>
      </c>
      <c r="T92" s="26">
        <v>1216776</v>
      </c>
      <c r="U92" s="26">
        <v>726792</v>
      </c>
      <c r="V92" s="26">
        <v>986172</v>
      </c>
      <c r="W92" s="26">
        <v>5557</v>
      </c>
      <c r="X92" s="26">
        <v>324</v>
      </c>
      <c r="Y92" s="26">
        <v>33074</v>
      </c>
      <c r="Z92" s="26">
        <v>20115</v>
      </c>
      <c r="AA92" s="26">
        <v>107</v>
      </c>
      <c r="AB92" s="26">
        <v>0</v>
      </c>
      <c r="AC92" s="26">
        <v>0</v>
      </c>
      <c r="AD92" s="26">
        <v>121.88558948363</v>
      </c>
    </row>
    <row r="93" spans="1:30" x14ac:dyDescent="0.2">
      <c r="A93">
        <f>_xlfn.XLOOKUP(E93,Lookups!$E:$E,Lookups!$F:$F,0)</f>
        <v>0</v>
      </c>
      <c r="B93">
        <v>1</v>
      </c>
      <c r="C93" s="3" t="d">
        <v>2026-07-03</v>
      </c>
      <c r="D93" s="3"/>
      <c r="E93" s="26" t="s">
        <v>557</v>
      </c>
      <c r="F93" s="26" t="s">
        <v>408</v>
      </c>
      <c r="G93" s="26" t="s">
        <v>28</v>
      </c>
      <c r="H93" s="26" t="s">
        <v>31</v>
      </c>
      <c r="I93" s="26">
        <v>15868</v>
      </c>
      <c r="J93" s="26">
        <v>771441</v>
      </c>
      <c r="K93" s="26" t="s">
        <v>31</v>
      </c>
      <c r="L93" s="26" t="s">
        <v>31</v>
      </c>
      <c r="M93" s="26" t="s">
        <v>31</v>
      </c>
      <c r="N93" s="26" t="s">
        <v>31</v>
      </c>
      <c r="O93" s="26">
        <v>14912</v>
      </c>
      <c r="P93" s="26">
        <v>62400</v>
      </c>
      <c r="Q93" s="26">
        <v>5084630</v>
      </c>
      <c r="R93" s="26">
        <v>90962</v>
      </c>
      <c r="S93" s="26">
        <v>7312</v>
      </c>
      <c r="T93" s="26">
        <v>2695008</v>
      </c>
      <c r="U93" s="26">
        <v>242326</v>
      </c>
      <c r="V93" s="26" t="s">
        <v>31</v>
      </c>
      <c r="W93" s="26" t="s">
        <v>31</v>
      </c>
      <c r="X93" s="26">
        <v>16063</v>
      </c>
      <c r="Y93" s="26">
        <v>466238</v>
      </c>
      <c r="Z93" s="26" t="s">
        <v>31</v>
      </c>
      <c r="AA93" s="26" t="s">
        <v>31</v>
      </c>
      <c r="AB93" s="26" t="s">
        <v>31</v>
      </c>
      <c r="AC93" s="26" t="s">
        <v>31</v>
      </c>
      <c r="AD93" s="26" t="s">
        <v>31</v>
      </c>
    </row>
    <row r="94" spans="1:30" x14ac:dyDescent="0.2">
      <c r="A94">
        <f>_xlfn.XLOOKUP(E94,Lookups!$E:$E,Lookups!$F:$F,0)</f>
        <v>0</v>
      </c>
      <c r="B94">
        <v>1</v>
      </c>
      <c r="C94" s="3" t="d">
        <v>2026-07-03</v>
      </c>
      <c r="D94" s="3"/>
      <c r="E94" s="26" t="s">
        <v>117</v>
      </c>
      <c r="F94" s="26" t="s">
        <v>27</v>
      </c>
      <c r="G94" s="26" t="s">
        <v>28</v>
      </c>
      <c r="H94" s="26" t="s">
        <v>118</v>
      </c>
      <c r="I94" s="26">
        <v>15905</v>
      </c>
      <c r="J94" s="26">
        <v>16332</v>
      </c>
      <c r="K94" s="26">
        <v>523784</v>
      </c>
      <c r="L94" s="26">
        <v>176770941</v>
      </c>
      <c r="M94" s="26">
        <v>654466</v>
      </c>
      <c r="N94" s="26">
        <v>3643292</v>
      </c>
      <c r="O94" s="26">
        <v>32271</v>
      </c>
      <c r="P94" s="26">
        <v>77300</v>
      </c>
      <c r="Q94" s="26">
        <v>11552313</v>
      </c>
      <c r="R94" s="26">
        <v>89379</v>
      </c>
      <c r="S94" s="26">
        <v>25617</v>
      </c>
      <c r="T94" s="26">
        <v>435501</v>
      </c>
      <c r="U94" s="26">
        <v>370959</v>
      </c>
      <c r="V94" s="26">
        <v>143223</v>
      </c>
      <c r="W94" s="26">
        <v>10642</v>
      </c>
      <c r="X94" s="26">
        <v>13</v>
      </c>
      <c r="Y94" s="26">
        <v>54152</v>
      </c>
      <c r="Z94" s="26">
        <v>15930</v>
      </c>
      <c r="AA94" s="26">
        <v>93</v>
      </c>
      <c r="AB94" s="26">
        <v>1</v>
      </c>
      <c r="AC94" s="26">
        <v>23</v>
      </c>
      <c r="AD94" s="26">
        <v>149.407563089501</v>
      </c>
    </row>
    <row r="95" spans="1:30" x14ac:dyDescent="0.2">
      <c r="A95">
        <f>_xlfn.XLOOKUP(E95,Lookups!$E:$E,Lookups!$F:$F,0)</f>
        <v>0</v>
      </c>
      <c r="B95">
        <v>1</v>
      </c>
      <c r="C95" s="3" t="d">
        <v>2026-07-03</v>
      </c>
      <c r="D95" s="3"/>
      <c r="E95" s="26" t="s">
        <v>184</v>
      </c>
      <c r="F95" s="26" t="s">
        <v>27</v>
      </c>
      <c r="G95" s="26" t="s">
        <v>28</v>
      </c>
      <c r="H95" s="26" t="s">
        <v>185</v>
      </c>
      <c r="I95" s="26">
        <v>16303</v>
      </c>
      <c r="J95" s="26">
        <v>42066</v>
      </c>
      <c r="K95" s="26">
        <v>198791</v>
      </c>
      <c r="L95" s="26">
        <v>41190554</v>
      </c>
      <c r="M95" s="26">
        <v>275345</v>
      </c>
      <c r="N95" s="26">
        <v>711983</v>
      </c>
      <c r="O95" s="26">
        <v>22090</v>
      </c>
      <c r="P95" s="26">
        <v>187000</v>
      </c>
      <c r="Q95" s="26">
        <v>68881017</v>
      </c>
      <c r="R95" s="26">
        <v>522858</v>
      </c>
      <c r="S95" s="26">
        <v>8085</v>
      </c>
      <c r="T95" s="26">
        <v>1152017</v>
      </c>
      <c r="U95" s="26">
        <v>804211</v>
      </c>
      <c r="V95" s="26">
        <v>1668748</v>
      </c>
      <c r="W95" s="26">
        <v>27168</v>
      </c>
      <c r="X95" s="26">
        <v>1727</v>
      </c>
      <c r="Y95" s="26">
        <v>35186</v>
      </c>
      <c r="Z95" s="26">
        <v>7261</v>
      </c>
      <c r="AA95" s="26">
        <v>287</v>
      </c>
      <c r="AB95" s="26">
        <v>2</v>
      </c>
      <c r="AC95" s="26">
        <v>12</v>
      </c>
      <c r="AD95" s="26">
        <v>488.67118360285002</v>
      </c>
    </row>
    <row r="96" spans="1:30" x14ac:dyDescent="0.2">
      <c r="A96">
        <f>_xlfn.XLOOKUP(E96,Lookups!$E:$E,Lookups!$F:$F,0)</f>
        <v>0</v>
      </c>
      <c r="B96">
        <v>1</v>
      </c>
      <c r="C96" s="3" t="d">
        <v>2026-07-03</v>
      </c>
      <c r="D96" s="3"/>
      <c r="E96" s="26" t="s">
        <v>174</v>
      </c>
      <c r="F96" s="26" t="s">
        <v>27</v>
      </c>
      <c r="G96" s="26" t="s">
        <v>28</v>
      </c>
      <c r="H96" s="26" t="s">
        <v>175</v>
      </c>
      <c r="I96" s="26">
        <v>16583</v>
      </c>
      <c r="J96" s="26">
        <v>25845</v>
      </c>
      <c r="K96" s="26">
        <v>214766</v>
      </c>
      <c r="L96" s="26">
        <v>122191965</v>
      </c>
      <c r="M96" s="26">
        <v>504959</v>
      </c>
      <c r="N96" s="26">
        <v>2840429</v>
      </c>
      <c r="O96" s="26">
        <v>22422</v>
      </c>
      <c r="P96" s="26">
        <v>148000</v>
      </c>
      <c r="Q96" s="26">
        <v>65648502</v>
      </c>
      <c r="R96" s="26">
        <v>460794</v>
      </c>
      <c r="S96" s="26">
        <v>23757</v>
      </c>
      <c r="T96" s="26" t="s">
        <v>31</v>
      </c>
      <c r="U96" s="26">
        <v>163054</v>
      </c>
      <c r="V96" s="26">
        <v>765106</v>
      </c>
      <c r="W96" s="26">
        <v>85119</v>
      </c>
      <c r="X96" s="26">
        <v>15865</v>
      </c>
      <c r="Y96" s="26">
        <v>10533</v>
      </c>
      <c r="Z96" s="26">
        <v>22923</v>
      </c>
      <c r="AA96" s="26">
        <v>176</v>
      </c>
      <c r="AB96" s="26">
        <v>1</v>
      </c>
      <c r="AC96" s="26">
        <v>91</v>
      </c>
      <c r="AD96" s="26">
        <v>608.81590761026098</v>
      </c>
    </row>
    <row r="97" spans="1:30" x14ac:dyDescent="0.2">
      <c r="A97">
        <f>_xlfn.XLOOKUP(E97,Lookups!$E:$E,Lookups!$F:$F,0)</f>
        <v>0</v>
      </c>
      <c r="B97">
        <v>1</v>
      </c>
      <c r="C97" s="3" t="d">
        <v>2026-07-03</v>
      </c>
      <c r="D97" s="3"/>
      <c r="E97" s="26" t="s">
        <v>137</v>
      </c>
      <c r="F97" s="26" t="s">
        <v>27</v>
      </c>
      <c r="G97" s="26" t="s">
        <v>28</v>
      </c>
      <c r="H97" s="26" t="s">
        <v>138</v>
      </c>
      <c r="I97" s="26">
        <v>16589</v>
      </c>
      <c r="J97" s="26">
        <v>23652</v>
      </c>
      <c r="K97" s="26">
        <v>375684</v>
      </c>
      <c r="L97" s="26">
        <v>77995889</v>
      </c>
      <c r="M97" s="26">
        <v>462529</v>
      </c>
      <c r="N97" s="26">
        <v>1962207</v>
      </c>
      <c r="O97" s="26">
        <v>32188</v>
      </c>
      <c r="P97" s="26">
        <v>67700</v>
      </c>
      <c r="Q97" s="26">
        <v>39570509</v>
      </c>
      <c r="R97" s="26">
        <v>223084</v>
      </c>
      <c r="S97" s="26">
        <v>7801</v>
      </c>
      <c r="T97" s="26" t="s">
        <v>31</v>
      </c>
      <c r="U97" s="26">
        <v>415788</v>
      </c>
      <c r="V97" s="26">
        <v>1848500</v>
      </c>
      <c r="W97" s="26">
        <v>22394</v>
      </c>
      <c r="X97" s="26" t="s">
        <v>31</v>
      </c>
      <c r="Y97" s="26">
        <v>25143</v>
      </c>
      <c r="Z97" s="26">
        <v>21766</v>
      </c>
      <c r="AA97" s="26">
        <v>102</v>
      </c>
      <c r="AB97" s="26">
        <v>2</v>
      </c>
      <c r="AC97" s="26">
        <v>10</v>
      </c>
      <c r="AD97" s="26">
        <v>137.16428713232301</v>
      </c>
    </row>
    <row r="98" spans="1:30" x14ac:dyDescent="0.2">
      <c r="A98">
        <f>_xlfn.XLOOKUP(E98,Lookups!$E:$E,Lookups!$F:$F,0)</f>
        <v>0</v>
      </c>
      <c r="B98">
        <v>1</v>
      </c>
      <c r="C98" s="3" t="d">
        <v>2026-07-03</v>
      </c>
      <c r="D98" s="3"/>
      <c r="E98" s="26" t="s">
        <v>211</v>
      </c>
      <c r="F98" s="26" t="s">
        <v>27</v>
      </c>
      <c r="G98" s="26" t="s">
        <v>36</v>
      </c>
      <c r="H98" s="26" t="s">
        <v>46</v>
      </c>
      <c r="I98" s="26">
        <v>17019</v>
      </c>
      <c r="J98" s="26">
        <v>16880</v>
      </c>
      <c r="K98" s="26">
        <v>151703</v>
      </c>
      <c r="L98" s="26">
        <v>73082161</v>
      </c>
      <c r="M98" s="26">
        <v>683985</v>
      </c>
      <c r="N98" s="26">
        <v>838189</v>
      </c>
      <c r="O98" s="26">
        <v>22942</v>
      </c>
      <c r="P98" s="26">
        <v>35300</v>
      </c>
      <c r="Q98" s="26">
        <v>11384517</v>
      </c>
      <c r="R98" s="26">
        <v>69751</v>
      </c>
      <c r="S98" s="26">
        <v>20868</v>
      </c>
      <c r="T98" s="26">
        <v>267338</v>
      </c>
      <c r="U98" s="26">
        <v>33358</v>
      </c>
      <c r="V98" s="26">
        <v>71799</v>
      </c>
      <c r="W98" s="26">
        <v>193</v>
      </c>
      <c r="X98" s="26" t="s">
        <v>31</v>
      </c>
      <c r="Y98" s="26">
        <v>41547</v>
      </c>
      <c r="Z98" s="26">
        <v>36269</v>
      </c>
      <c r="AA98" s="26">
        <v>55</v>
      </c>
      <c r="AB98" s="26">
        <v>0</v>
      </c>
      <c r="AC98" s="26">
        <v>0</v>
      </c>
      <c r="AD98" s="26">
        <v>48.623902593369401</v>
      </c>
    </row>
    <row r="99" spans="1:30" x14ac:dyDescent="0.2">
      <c r="A99">
        <f>_xlfn.XLOOKUP(E99,Lookups!$E:$E,Lookups!$F:$F,0)</f>
        <v>0</v>
      </c>
      <c r="B99">
        <v>1</v>
      </c>
      <c r="C99" s="3" t="d">
        <v>2026-07-03</v>
      </c>
      <c r="D99" s="3"/>
      <c r="E99" s="26" t="s">
        <v>130</v>
      </c>
      <c r="F99" s="26" t="s">
        <v>27</v>
      </c>
      <c r="G99" s="26" t="s">
        <v>131</v>
      </c>
      <c r="H99" s="26" t="s">
        <v>132</v>
      </c>
      <c r="I99" s="26">
        <v>17068</v>
      </c>
      <c r="J99" s="26">
        <v>19773</v>
      </c>
      <c r="K99" s="26">
        <v>408405</v>
      </c>
      <c r="L99" s="26">
        <v>78523839</v>
      </c>
      <c r="M99" s="26">
        <v>435931</v>
      </c>
      <c r="N99" s="26">
        <v>1815607</v>
      </c>
      <c r="O99" s="26">
        <v>613359</v>
      </c>
      <c r="P99" s="26" t="s">
        <v>31</v>
      </c>
      <c r="Q99" s="26" t="s">
        <v>31</v>
      </c>
      <c r="R99" s="26" t="s">
        <v>31</v>
      </c>
      <c r="S99" s="26">
        <v>7495</v>
      </c>
      <c r="T99" s="26">
        <v>970010</v>
      </c>
      <c r="U99" s="26">
        <v>1307262</v>
      </c>
      <c r="V99" s="26">
        <v>10753</v>
      </c>
      <c r="W99" s="26" t="s">
        <v>31</v>
      </c>
      <c r="X99" s="26" t="s">
        <v>31</v>
      </c>
      <c r="Y99" s="26">
        <v>56495</v>
      </c>
      <c r="Z99" s="26" t="s">
        <v>31</v>
      </c>
      <c r="AA99" s="26" t="s">
        <v>31</v>
      </c>
      <c r="AB99" s="26" t="s">
        <v>31</v>
      </c>
      <c r="AC99" s="26" t="s">
        <v>31</v>
      </c>
      <c r="AD99" s="26" t="s">
        <v>31</v>
      </c>
    </row>
    <row r="100" spans="1:30" x14ac:dyDescent="0.2">
      <c r="A100">
        <f>_xlfn.XLOOKUP(E100,Lookups!$E:$E,Lookups!$F:$F,0)</f>
        <v>0</v>
      </c>
      <c r="B100">
        <v>1</v>
      </c>
      <c r="C100" s="3" t="d">
        <v>2026-07-03</v>
      </c>
      <c r="D100" s="3"/>
      <c r="E100" s="26" t="s">
        <v>148</v>
      </c>
      <c r="F100" s="26" t="s">
        <v>27</v>
      </c>
      <c r="G100" s="26" t="s">
        <v>28</v>
      </c>
      <c r="H100" s="26" t="s">
        <v>118</v>
      </c>
      <c r="I100" s="26">
        <v>17205</v>
      </c>
      <c r="J100" s="26">
        <v>16765</v>
      </c>
      <c r="K100" s="26">
        <v>324326</v>
      </c>
      <c r="L100" s="26">
        <v>186308185</v>
      </c>
      <c r="M100" s="26">
        <v>987924</v>
      </c>
      <c r="N100" s="26">
        <v>3576314</v>
      </c>
      <c r="O100" s="26">
        <v>559125</v>
      </c>
      <c r="P100" s="26">
        <v>55</v>
      </c>
      <c r="Q100" s="26" t="s">
        <v>31</v>
      </c>
      <c r="R100" s="26" t="s">
        <v>31</v>
      </c>
      <c r="S100" s="26">
        <v>19588</v>
      </c>
      <c r="T100" s="26">
        <v>226589</v>
      </c>
      <c r="U100" s="26">
        <v>131852</v>
      </c>
      <c r="V100" s="26">
        <v>100348</v>
      </c>
      <c r="W100" s="26">
        <v>1386</v>
      </c>
      <c r="X100" s="26" t="s">
        <v>31</v>
      </c>
      <c r="Y100" s="26">
        <v>93734</v>
      </c>
      <c r="Z100" s="26">
        <v>8495</v>
      </c>
      <c r="AA100" s="26">
        <v>164</v>
      </c>
      <c r="AB100" s="26">
        <v>0</v>
      </c>
      <c r="AC100" s="26">
        <v>0</v>
      </c>
      <c r="AD100" s="26">
        <v>272.16094973895599</v>
      </c>
    </row>
    <row r="101" spans="1:30" x14ac:dyDescent="0.2">
      <c r="A101">
        <f>_xlfn.XLOOKUP(E101,Lookups!$E:$E,Lookups!$F:$F,0)</f>
        <v>0</v>
      </c>
      <c r="B101">
        <v>1</v>
      </c>
      <c r="C101" s="3" t="d">
        <v>2026-07-03</v>
      </c>
      <c r="D101" s="3"/>
      <c r="E101" s="26" t="s">
        <v>558</v>
      </c>
      <c r="F101" s="26" t="s">
        <v>27</v>
      </c>
      <c r="G101" s="26" t="s">
        <v>28</v>
      </c>
      <c r="H101" s="26" t="s">
        <v>95</v>
      </c>
      <c r="I101" s="26">
        <v>17256</v>
      </c>
      <c r="J101" s="26">
        <v>265606</v>
      </c>
      <c r="K101" s="26">
        <v>5882</v>
      </c>
      <c r="L101" s="26">
        <v>386261</v>
      </c>
      <c r="M101" s="26">
        <v>7119</v>
      </c>
      <c r="N101" s="26">
        <v>1448</v>
      </c>
      <c r="O101" s="26">
        <v>15171</v>
      </c>
      <c r="P101" s="26">
        <v>1240000</v>
      </c>
      <c r="Q101" s="26">
        <v>200783705</v>
      </c>
      <c r="R101" s="26">
        <v>2292473</v>
      </c>
      <c r="S101" s="26">
        <v>6217</v>
      </c>
      <c r="T101" s="26">
        <v>12800</v>
      </c>
      <c r="U101" s="26">
        <v>886030</v>
      </c>
      <c r="V101" s="26">
        <v>3363539</v>
      </c>
      <c r="W101" s="26">
        <v>135</v>
      </c>
      <c r="X101" s="26">
        <v>1010</v>
      </c>
      <c r="Y101" s="26">
        <v>466238</v>
      </c>
      <c r="Z101" s="26" t="s">
        <v>31</v>
      </c>
      <c r="AA101" s="26" t="s">
        <v>31</v>
      </c>
      <c r="AB101" s="26" t="s">
        <v>31</v>
      </c>
      <c r="AC101" s="26" t="s">
        <v>31</v>
      </c>
      <c r="AD101" s="26" t="s">
        <v>31</v>
      </c>
    </row>
    <row r="102" spans="1:30" x14ac:dyDescent="0.2">
      <c r="A102">
        <f>_xlfn.XLOOKUP(E102,Lookups!$E:$E,Lookups!$F:$F,0)</f>
        <v>0</v>
      </c>
      <c r="B102">
        <v>1</v>
      </c>
      <c r="C102" s="3" t="d">
        <v>2026-07-03</v>
      </c>
      <c r="D102" s="3"/>
      <c r="E102" s="26" t="s">
        <v>104</v>
      </c>
      <c r="F102" s="26" t="s">
        <v>27</v>
      </c>
      <c r="G102" s="26" t="s">
        <v>28</v>
      </c>
      <c r="H102" s="26" t="s">
        <v>46</v>
      </c>
      <c r="I102" s="26">
        <v>17607</v>
      </c>
      <c r="J102" s="26">
        <v>14199</v>
      </c>
      <c r="K102" s="26">
        <v>692106</v>
      </c>
      <c r="L102" s="26">
        <v>177205388</v>
      </c>
      <c r="M102" s="26">
        <v>904792</v>
      </c>
      <c r="N102" s="26">
        <v>1633011</v>
      </c>
      <c r="O102" s="26">
        <v>59239</v>
      </c>
      <c r="P102" s="26">
        <v>28100</v>
      </c>
      <c r="Q102" s="26">
        <v>2735953</v>
      </c>
      <c r="R102" s="26">
        <v>27054</v>
      </c>
      <c r="S102" s="26">
        <v>62519</v>
      </c>
      <c r="T102" s="26">
        <v>444937</v>
      </c>
      <c r="U102" s="26">
        <v>2633</v>
      </c>
      <c r="V102" s="26">
        <v>53786</v>
      </c>
      <c r="W102" s="26">
        <v>1050</v>
      </c>
      <c r="X102" s="26">
        <v>279</v>
      </c>
      <c r="Y102" s="26">
        <v>50582</v>
      </c>
      <c r="Z102" s="26" t="s">
        <v>31</v>
      </c>
      <c r="AA102" s="26" t="s">
        <v>31</v>
      </c>
      <c r="AB102" s="26" t="s">
        <v>31</v>
      </c>
      <c r="AC102" s="26" t="s">
        <v>31</v>
      </c>
      <c r="AD102" s="26" t="s">
        <v>31</v>
      </c>
    </row>
    <row r="103" spans="1:30" x14ac:dyDescent="0.2">
      <c r="A103">
        <f>_xlfn.XLOOKUP(E103,Lookups!$E:$E,Lookups!$F:$F,0)</f>
        <v>0</v>
      </c>
      <c r="B103">
        <v>1</v>
      </c>
      <c r="C103" s="3" t="d">
        <v>2026-07-03</v>
      </c>
      <c r="D103" s="3"/>
      <c r="E103" s="26" t="s">
        <v>100</v>
      </c>
      <c r="F103" s="26" t="s">
        <v>27</v>
      </c>
      <c r="G103" s="26" t="s">
        <v>28</v>
      </c>
      <c r="H103" s="26" t="s">
        <v>101</v>
      </c>
      <c r="I103" s="26">
        <v>17686</v>
      </c>
      <c r="J103" s="26">
        <v>16518</v>
      </c>
      <c r="K103" s="26">
        <v>722634</v>
      </c>
      <c r="L103" s="26">
        <v>194547677</v>
      </c>
      <c r="M103" s="26">
        <v>550023</v>
      </c>
      <c r="N103" s="26">
        <v>2443680</v>
      </c>
      <c r="O103" s="26">
        <v>613359</v>
      </c>
      <c r="P103" s="26" t="s">
        <v>31</v>
      </c>
      <c r="Q103" s="26" t="s">
        <v>31</v>
      </c>
      <c r="R103" s="26" t="s">
        <v>31</v>
      </c>
      <c r="S103" s="26">
        <v>23763</v>
      </c>
      <c r="T103" s="26">
        <v>230400</v>
      </c>
      <c r="U103" s="26">
        <v>400627</v>
      </c>
      <c r="V103" s="26">
        <v>328102</v>
      </c>
      <c r="W103" s="26">
        <v>5774</v>
      </c>
      <c r="X103" s="26">
        <v>395</v>
      </c>
      <c r="Y103" s="26">
        <v>25310</v>
      </c>
      <c r="Z103" s="26">
        <v>12830</v>
      </c>
      <c r="AA103" s="26">
        <v>172</v>
      </c>
      <c r="AB103" s="26">
        <v>0</v>
      </c>
      <c r="AC103" s="26">
        <v>0</v>
      </c>
      <c r="AD103" s="26">
        <v>257.73518575177297</v>
      </c>
    </row>
    <row r="104" spans="1:30" x14ac:dyDescent="0.2">
      <c r="A104">
        <f>_xlfn.XLOOKUP(E104,Lookups!$E:$E,Lookups!$F:$F,0)</f>
        <v>0</v>
      </c>
      <c r="B104">
        <v>1</v>
      </c>
      <c r="C104" s="3" t="d">
        <v>2026-07-03</v>
      </c>
      <c r="D104" s="3"/>
      <c r="E104" s="26" t="s">
        <v>559</v>
      </c>
      <c r="F104" s="26" t="s">
        <v>439</v>
      </c>
      <c r="G104" s="26" t="s">
        <v>77</v>
      </c>
      <c r="H104" s="26" t="s">
        <v>46</v>
      </c>
      <c r="I104" s="26">
        <v>17902</v>
      </c>
      <c r="J104" s="26">
        <v>261384</v>
      </c>
      <c r="K104" s="26">
        <v>3500</v>
      </c>
      <c r="L104" s="26">
        <v>334714</v>
      </c>
      <c r="M104" s="26">
        <v>9473</v>
      </c>
      <c r="N104" s="26">
        <v>1658</v>
      </c>
      <c r="O104" s="26">
        <v>11922</v>
      </c>
      <c r="P104" s="26">
        <v>184000</v>
      </c>
      <c r="Q104" s="26">
        <v>9850206</v>
      </c>
      <c r="R104" s="26">
        <v>479314</v>
      </c>
      <c r="S104" s="26">
        <v>9345</v>
      </c>
      <c r="T104" s="26">
        <v>249300</v>
      </c>
      <c r="U104" s="26">
        <v>445908</v>
      </c>
      <c r="V104" s="26">
        <v>925223</v>
      </c>
      <c r="W104" s="26">
        <v>122</v>
      </c>
      <c r="X104" s="26" t="s">
        <v>31</v>
      </c>
      <c r="Y104" s="26">
        <v>256547</v>
      </c>
      <c r="Z104" s="26">
        <v>72966</v>
      </c>
      <c r="AA104" s="26">
        <v>26</v>
      </c>
      <c r="AB104" s="26">
        <v>0</v>
      </c>
      <c r="AC104" s="26">
        <v>0</v>
      </c>
      <c r="AD104" s="26">
        <v>12.7321561379438</v>
      </c>
    </row>
    <row r="105" spans="1:30" x14ac:dyDescent="0.2">
      <c r="A105">
        <f>_xlfn.XLOOKUP(E105,Lookups!$E:$E,Lookups!$F:$F,0)</f>
        <v>0</v>
      </c>
      <c r="B105">
        <v>1</v>
      </c>
      <c r="C105" s="3" t="d">
        <v>2026-07-03</v>
      </c>
      <c r="D105" s="3"/>
      <c r="E105" s="26" t="s">
        <v>146</v>
      </c>
      <c r="F105" s="26" t="s">
        <v>27</v>
      </c>
      <c r="G105" s="26" t="s">
        <v>28</v>
      </c>
      <c r="H105" s="26" t="s">
        <v>147</v>
      </c>
      <c r="I105" s="26">
        <v>17932</v>
      </c>
      <c r="J105" s="26">
        <v>37268</v>
      </c>
      <c r="K105" s="26">
        <v>334148</v>
      </c>
      <c r="L105" s="26">
        <v>50372706</v>
      </c>
      <c r="M105" s="26">
        <v>166983</v>
      </c>
      <c r="N105" s="26">
        <v>1081990</v>
      </c>
      <c r="O105" s="26">
        <v>35563</v>
      </c>
      <c r="P105" s="26">
        <v>162000</v>
      </c>
      <c r="Q105" s="26">
        <v>22664979</v>
      </c>
      <c r="R105" s="26">
        <v>300092</v>
      </c>
      <c r="S105" s="26">
        <v>6837</v>
      </c>
      <c r="T105" s="26">
        <v>3495985</v>
      </c>
      <c r="U105" s="26">
        <v>870087</v>
      </c>
      <c r="V105" s="26">
        <v>11425</v>
      </c>
      <c r="W105" s="26" t="s">
        <v>31</v>
      </c>
      <c r="X105" s="26" t="s">
        <v>31</v>
      </c>
      <c r="Y105" s="26">
        <v>112608</v>
      </c>
      <c r="Z105" s="26">
        <v>28481</v>
      </c>
      <c r="AA105" s="26">
        <v>99</v>
      </c>
      <c r="AB105" s="26">
        <v>0</v>
      </c>
      <c r="AC105" s="26">
        <v>0</v>
      </c>
      <c r="AD105" s="26">
        <v>94.069701518713998</v>
      </c>
    </row>
    <row r="106" spans="1:30" x14ac:dyDescent="0.2">
      <c r="A106">
        <f>_xlfn.XLOOKUP(E106,Lookups!$E:$E,Lookups!$F:$F,0)</f>
        <v>0</v>
      </c>
      <c r="B106">
        <v>1</v>
      </c>
      <c r="C106" s="3" t="d">
        <v>2026-07-03</v>
      </c>
      <c r="D106" s="3"/>
      <c r="E106" s="26" t="s">
        <v>459</v>
      </c>
      <c r="F106" s="26" t="s">
        <v>439</v>
      </c>
      <c r="G106" s="26" t="s">
        <v>36</v>
      </c>
      <c r="H106" s="26" t="s">
        <v>46</v>
      </c>
      <c r="I106" s="26">
        <v>18250</v>
      </c>
      <c r="J106" s="26">
        <v>52376</v>
      </c>
      <c r="K106" s="26">
        <v>18122</v>
      </c>
      <c r="L106" s="26">
        <v>13290554</v>
      </c>
      <c r="M106" s="26">
        <v>491676</v>
      </c>
      <c r="N106" s="26">
        <v>646078</v>
      </c>
      <c r="O106" s="26">
        <v>24696</v>
      </c>
      <c r="P106" s="26">
        <v>21400</v>
      </c>
      <c r="Q106" s="26">
        <v>6826521</v>
      </c>
      <c r="R106" s="26">
        <v>75333</v>
      </c>
      <c r="S106" s="26">
        <v>7257</v>
      </c>
      <c r="T106" s="26">
        <v>90781</v>
      </c>
      <c r="U106" s="26">
        <v>82755</v>
      </c>
      <c r="V106" s="26">
        <v>15</v>
      </c>
      <c r="W106" s="26">
        <v>174</v>
      </c>
      <c r="X106" s="26">
        <v>339</v>
      </c>
      <c r="Y106" s="26">
        <v>71017</v>
      </c>
      <c r="Z106" s="26" t="s">
        <v>31</v>
      </c>
      <c r="AA106" s="26" t="s">
        <v>31</v>
      </c>
      <c r="AB106" s="26" t="s">
        <v>31</v>
      </c>
      <c r="AC106" s="26" t="s">
        <v>31</v>
      </c>
      <c r="AD106" s="26" t="s">
        <v>31</v>
      </c>
    </row>
    <row r="107" spans="1:30" x14ac:dyDescent="0.2">
      <c r="A107">
        <f>_xlfn.XLOOKUP(E107,Lookups!$E:$E,Lookups!$F:$F,0)</f>
        <v>0</v>
      </c>
      <c r="B107">
        <v>1</v>
      </c>
      <c r="C107" s="3" t="d">
        <v>2026-07-03</v>
      </c>
      <c r="D107" s="3"/>
      <c r="E107" s="26" t="s">
        <v>206</v>
      </c>
      <c r="F107" s="26" t="s">
        <v>35</v>
      </c>
      <c r="G107" s="26" t="s">
        <v>36</v>
      </c>
      <c r="H107" s="26" t="s">
        <v>95</v>
      </c>
      <c r="I107" s="26">
        <v>18667</v>
      </c>
      <c r="J107" s="26">
        <v>15049</v>
      </c>
      <c r="K107" s="26">
        <v>155577</v>
      </c>
      <c r="L107" s="26">
        <v>8392777</v>
      </c>
      <c r="M107" s="26">
        <v>146942</v>
      </c>
      <c r="N107" s="26">
        <v>6777</v>
      </c>
      <c r="O107" s="26">
        <v>613359</v>
      </c>
      <c r="P107" s="26" t="s">
        <v>31</v>
      </c>
      <c r="Q107" s="26" t="s">
        <v>31</v>
      </c>
      <c r="R107" s="26" t="s">
        <v>31</v>
      </c>
      <c r="S107" s="26">
        <v>834709</v>
      </c>
      <c r="T107" s="26" t="s">
        <v>31</v>
      </c>
      <c r="U107" s="26" t="s">
        <v>31</v>
      </c>
      <c r="V107" s="26" t="s">
        <v>31</v>
      </c>
      <c r="W107" s="26">
        <v>3</v>
      </c>
      <c r="X107" s="26" t="s">
        <v>31</v>
      </c>
      <c r="Y107" s="26">
        <v>466238</v>
      </c>
      <c r="Z107" s="26" t="s">
        <v>31</v>
      </c>
      <c r="AA107" s="26" t="s">
        <v>31</v>
      </c>
      <c r="AB107" s="26" t="s">
        <v>31</v>
      </c>
      <c r="AC107" s="26" t="s">
        <v>31</v>
      </c>
      <c r="AD107" s="26" t="s">
        <v>31</v>
      </c>
    </row>
    <row r="108" spans="1:30" x14ac:dyDescent="0.2">
      <c r="A108">
        <f>_xlfn.XLOOKUP(E108,Lookups!$E:$E,Lookups!$F:$F,0)</f>
        <v>0</v>
      </c>
      <c r="B108">
        <v>1</v>
      </c>
      <c r="C108" s="3" t="d">
        <v>2026-07-03</v>
      </c>
      <c r="D108" s="3"/>
      <c r="E108" s="26" t="s">
        <v>191</v>
      </c>
      <c r="F108" s="26" t="s">
        <v>27</v>
      </c>
      <c r="G108" s="26" t="s">
        <v>28</v>
      </c>
      <c r="H108" s="26" t="s">
        <v>138</v>
      </c>
      <c r="I108" s="26">
        <v>18859</v>
      </c>
      <c r="J108" s="26">
        <v>23915</v>
      </c>
      <c r="K108" s="26">
        <v>184461</v>
      </c>
      <c r="L108" s="26">
        <v>62250666</v>
      </c>
      <c r="M108" s="26">
        <v>554092</v>
      </c>
      <c r="N108" s="26">
        <v>940596</v>
      </c>
      <c r="O108" s="26">
        <v>31649</v>
      </c>
      <c r="P108" s="26">
        <v>34300</v>
      </c>
      <c r="Q108" s="26">
        <v>10693792</v>
      </c>
      <c r="R108" s="26">
        <v>115242</v>
      </c>
      <c r="S108" s="26">
        <v>16774</v>
      </c>
      <c r="T108" s="26">
        <v>141552</v>
      </c>
      <c r="U108" s="26">
        <v>105324</v>
      </c>
      <c r="V108" s="26">
        <v>78166</v>
      </c>
      <c r="W108" s="26">
        <v>431</v>
      </c>
      <c r="X108" s="26" t="s">
        <v>31</v>
      </c>
      <c r="Y108" s="26">
        <v>58607</v>
      </c>
      <c r="Z108" s="26">
        <v>23088</v>
      </c>
      <c r="AA108" s="26">
        <v>89</v>
      </c>
      <c r="AB108" s="26">
        <v>0</v>
      </c>
      <c r="AC108" s="26">
        <v>0</v>
      </c>
      <c r="AD108" s="26">
        <v>73.922970008400597</v>
      </c>
    </row>
    <row r="109" spans="1:30" x14ac:dyDescent="0.2">
      <c r="A109">
        <f>_xlfn.XLOOKUP(E109,Lookups!$E:$E,Lookups!$F:$F,0)</f>
        <v>0</v>
      </c>
      <c r="B109">
        <v>1</v>
      </c>
      <c r="C109" s="3" t="d">
        <v>2026-07-03</v>
      </c>
      <c r="D109" s="3"/>
      <c r="E109" s="26" t="s">
        <v>560</v>
      </c>
      <c r="F109" s="26" t="s">
        <v>445</v>
      </c>
      <c r="G109" s="26" t="s">
        <v>28</v>
      </c>
      <c r="H109" s="26" t="s">
        <v>44</v>
      </c>
      <c r="I109" s="26">
        <v>19105</v>
      </c>
      <c r="J109" s="26">
        <v>3253</v>
      </c>
      <c r="K109" s="26">
        <v>11250</v>
      </c>
      <c r="L109" s="26">
        <v>392670228</v>
      </c>
      <c r="M109" s="26">
        <v>6296417</v>
      </c>
      <c r="N109" s="26">
        <v>18793556</v>
      </c>
      <c r="O109" s="26">
        <v>613359</v>
      </c>
      <c r="P109" s="26" t="s">
        <v>31</v>
      </c>
      <c r="Q109" s="26" t="s">
        <v>31</v>
      </c>
      <c r="R109" s="26" t="s">
        <v>31</v>
      </c>
      <c r="S109" s="26">
        <v>105667</v>
      </c>
      <c r="T109" s="26" t="s">
        <v>31</v>
      </c>
      <c r="U109" s="26">
        <v>14508</v>
      </c>
      <c r="V109" s="26" t="s">
        <v>31</v>
      </c>
      <c r="W109" s="26">
        <v>100</v>
      </c>
      <c r="X109" s="26" t="s">
        <v>31</v>
      </c>
      <c r="Y109" s="26">
        <v>466238</v>
      </c>
      <c r="Z109" s="26">
        <v>195</v>
      </c>
      <c r="AA109" s="26">
        <v>20</v>
      </c>
      <c r="AB109" s="26">
        <v>13</v>
      </c>
      <c r="AC109" s="26">
        <v>1531</v>
      </c>
      <c r="AD109" s="26">
        <v>23162.986851797799</v>
      </c>
    </row>
    <row r="110" spans="1:30" x14ac:dyDescent="0.2">
      <c r="A110">
        <f>_xlfn.XLOOKUP(E110,Lookups!$E:$E,Lookups!$F:$F,0)</f>
        <v>0</v>
      </c>
      <c r="B110">
        <v>1</v>
      </c>
      <c r="C110" s="3" t="d">
        <v>2026-07-03</v>
      </c>
      <c r="D110" s="3"/>
      <c r="E110" s="26" t="s">
        <v>114</v>
      </c>
      <c r="F110" s="26" t="s">
        <v>27</v>
      </c>
      <c r="G110" s="26" t="s">
        <v>28</v>
      </c>
      <c r="H110" s="26" t="s">
        <v>50</v>
      </c>
      <c r="I110" s="26">
        <v>19106</v>
      </c>
      <c r="J110" s="26">
        <v>18064</v>
      </c>
      <c r="K110" s="26">
        <v>537808</v>
      </c>
      <c r="L110" s="26">
        <v>78274768</v>
      </c>
      <c r="M110" s="26">
        <v>533083</v>
      </c>
      <c r="N110" s="26">
        <v>1638710</v>
      </c>
      <c r="O110" s="26">
        <v>613359</v>
      </c>
      <c r="P110" s="26" t="s">
        <v>31</v>
      </c>
      <c r="Q110" s="26" t="s">
        <v>31</v>
      </c>
      <c r="R110" s="26" t="s">
        <v>31</v>
      </c>
      <c r="S110" s="26">
        <v>17374</v>
      </c>
      <c r="T110" s="26" t="s">
        <v>31</v>
      </c>
      <c r="U110" s="26">
        <v>419625</v>
      </c>
      <c r="V110" s="26">
        <v>143912</v>
      </c>
      <c r="W110" s="26">
        <v>9152</v>
      </c>
      <c r="X110" s="26" t="s">
        <v>31</v>
      </c>
      <c r="Y110" s="26">
        <v>60209</v>
      </c>
      <c r="Z110" s="26">
        <v>9987</v>
      </c>
      <c r="AA110" s="26">
        <v>163</v>
      </c>
      <c r="AB110" s="26">
        <v>0</v>
      </c>
      <c r="AC110" s="26">
        <v>0</v>
      </c>
      <c r="AD110" s="26">
        <v>224.07552383886099</v>
      </c>
    </row>
    <row r="111" spans="1:30" x14ac:dyDescent="0.2">
      <c r="A111">
        <f>_xlfn.XLOOKUP(E111,Lookups!$E:$E,Lookups!$F:$F,0)</f>
        <v>0</v>
      </c>
      <c r="B111">
        <v>1</v>
      </c>
      <c r="C111" s="3" t="d">
        <v>2026-07-03</v>
      </c>
      <c r="D111" s="3"/>
      <c r="E111" s="26" t="s">
        <v>183</v>
      </c>
      <c r="F111" s="26" t="s">
        <v>27</v>
      </c>
      <c r="G111" s="26" t="s">
        <v>28</v>
      </c>
      <c r="H111" s="26" t="s">
        <v>132</v>
      </c>
      <c r="I111" s="26">
        <v>19376</v>
      </c>
      <c r="J111" s="26">
        <v>43935</v>
      </c>
      <c r="K111" s="26">
        <v>200162</v>
      </c>
      <c r="L111" s="26">
        <v>60333528</v>
      </c>
      <c r="M111" s="26">
        <v>167122</v>
      </c>
      <c r="N111" s="26">
        <v>277950</v>
      </c>
      <c r="O111" s="26">
        <v>22421</v>
      </c>
      <c r="P111" s="26">
        <v>136000</v>
      </c>
      <c r="Q111" s="26">
        <v>25329430</v>
      </c>
      <c r="R111" s="26">
        <v>249760</v>
      </c>
      <c r="S111" s="26">
        <v>10329</v>
      </c>
      <c r="T111" s="26">
        <v>276275</v>
      </c>
      <c r="U111" s="26">
        <v>210469</v>
      </c>
      <c r="V111" s="26">
        <v>760830</v>
      </c>
      <c r="W111" s="26">
        <v>2132</v>
      </c>
      <c r="X111" s="26" t="s">
        <v>31</v>
      </c>
      <c r="Y111" s="26">
        <v>39988</v>
      </c>
      <c r="Z111" s="26">
        <v>85067</v>
      </c>
      <c r="AA111" s="26">
        <v>13</v>
      </c>
      <c r="AB111" s="26">
        <v>0</v>
      </c>
      <c r="AC111" s="26">
        <v>0</v>
      </c>
      <c r="AD111" s="26">
        <v>13.700924756999299</v>
      </c>
    </row>
    <row r="112" spans="1:30" x14ac:dyDescent="0.2">
      <c r="A112">
        <f>_xlfn.XLOOKUP(E112,Lookups!$E:$E,Lookups!$F:$F,0)</f>
        <v>0</v>
      </c>
      <c r="B112">
        <v>1</v>
      </c>
      <c r="C112" s="3" t="d">
        <v>2026-07-03</v>
      </c>
      <c r="D112" s="3"/>
      <c r="E112" s="26" t="s">
        <v>283</v>
      </c>
      <c r="F112" s="26" t="s">
        <v>27</v>
      </c>
      <c r="G112" s="26" t="s">
        <v>28</v>
      </c>
      <c r="H112" s="26" t="s">
        <v>46</v>
      </c>
      <c r="I112" s="26">
        <v>19648</v>
      </c>
      <c r="J112" s="26">
        <v>32730</v>
      </c>
      <c r="K112" s="26">
        <v>82171</v>
      </c>
      <c r="L112" s="26">
        <v>24386387</v>
      </c>
      <c r="M112" s="26">
        <v>306006</v>
      </c>
      <c r="N112" s="26">
        <v>527703</v>
      </c>
      <c r="O112" s="26">
        <v>10042</v>
      </c>
      <c r="P112" s="26">
        <v>555000</v>
      </c>
      <c r="Q112" s="26">
        <v>110538161</v>
      </c>
      <c r="R112" s="26">
        <v>1091577</v>
      </c>
      <c r="S112" s="26">
        <v>46598</v>
      </c>
      <c r="T112" s="26">
        <v>318488</v>
      </c>
      <c r="U112" s="26">
        <v>46182</v>
      </c>
      <c r="V112" s="26">
        <v>149599</v>
      </c>
      <c r="W112" s="26">
        <v>251</v>
      </c>
      <c r="X112" s="26">
        <v>3783</v>
      </c>
      <c r="Y112" s="26">
        <v>193045</v>
      </c>
      <c r="Z112" s="26" t="s">
        <v>31</v>
      </c>
      <c r="AA112" s="26" t="s">
        <v>31</v>
      </c>
      <c r="AB112" s="26" t="s">
        <v>31</v>
      </c>
      <c r="AC112" s="26" t="s">
        <v>31</v>
      </c>
      <c r="AD112" s="26" t="s">
        <v>31</v>
      </c>
    </row>
    <row r="113" spans="1:30" x14ac:dyDescent="0.2">
      <c r="A113">
        <f>_xlfn.XLOOKUP(E113,Lookups!$E:$E,Lookups!$F:$F,0)</f>
        <v>0</v>
      </c>
      <c r="B113">
        <v>1</v>
      </c>
      <c r="C113" s="3" t="d">
        <v>2026-07-03</v>
      </c>
      <c r="D113" s="3"/>
      <c r="E113" s="26" t="s">
        <v>216</v>
      </c>
      <c r="F113" s="26" t="s">
        <v>27</v>
      </c>
      <c r="G113" s="26" t="s">
        <v>28</v>
      </c>
      <c r="H113" s="26" t="s">
        <v>138</v>
      </c>
      <c r="I113" s="26">
        <v>20179</v>
      </c>
      <c r="J113" s="26">
        <v>22097</v>
      </c>
      <c r="K113" s="26">
        <v>145197</v>
      </c>
      <c r="L113" s="26">
        <v>313728078</v>
      </c>
      <c r="M113" s="26">
        <v>381587</v>
      </c>
      <c r="N113" s="26">
        <v>3955683</v>
      </c>
      <c r="O113" s="26">
        <v>613359</v>
      </c>
      <c r="P113" s="26" t="s">
        <v>31</v>
      </c>
      <c r="Q113" s="26" t="s">
        <v>31</v>
      </c>
      <c r="R113" s="26" t="s">
        <v>31</v>
      </c>
      <c r="S113" s="26">
        <v>83206</v>
      </c>
      <c r="T113" s="26">
        <v>71045</v>
      </c>
      <c r="U113" s="26">
        <v>38027</v>
      </c>
      <c r="V113" s="26" t="s">
        <v>31</v>
      </c>
      <c r="W113" s="26">
        <v>1340</v>
      </c>
      <c r="X113" s="26" t="s">
        <v>31</v>
      </c>
      <c r="Y113" s="26">
        <v>71500</v>
      </c>
      <c r="Z113" s="26">
        <v>2775</v>
      </c>
      <c r="AA113" s="26">
        <v>171</v>
      </c>
      <c r="AB113" s="26">
        <v>1</v>
      </c>
      <c r="AC113" s="26">
        <v>65</v>
      </c>
      <c r="AD113" s="26">
        <v>1220.14358734951</v>
      </c>
    </row>
    <row r="114" spans="1:30" x14ac:dyDescent="0.2">
      <c r="A114">
        <f>_xlfn.XLOOKUP(E114,Lookups!$E:$E,Lookups!$F:$F,0)</f>
        <v>0</v>
      </c>
      <c r="B114">
        <v>1</v>
      </c>
      <c r="C114" s="3" t="d">
        <v>2026-07-03</v>
      </c>
      <c r="D114" s="3"/>
      <c r="E114" s="26" t="s">
        <v>561</v>
      </c>
      <c r="F114" s="26" t="s">
        <v>562</v>
      </c>
      <c r="G114" s="26" t="s">
        <v>28</v>
      </c>
      <c r="H114" s="26" t="s">
        <v>563</v>
      </c>
      <c r="I114" s="26">
        <v>20629</v>
      </c>
      <c r="J114" s="26">
        <v>187923</v>
      </c>
      <c r="K114" s="26">
        <v>5519</v>
      </c>
      <c r="L114" s="26">
        <v>6301037</v>
      </c>
      <c r="M114" s="26">
        <v>13864</v>
      </c>
      <c r="N114" s="26">
        <v>202238</v>
      </c>
      <c r="O114" s="26">
        <v>35037</v>
      </c>
      <c r="P114" s="26">
        <v>120000</v>
      </c>
      <c r="Q114" s="26">
        <v>72478908</v>
      </c>
      <c r="R114" s="26">
        <v>621653</v>
      </c>
      <c r="S114" s="26">
        <v>5629</v>
      </c>
      <c r="T114" s="26">
        <v>386844</v>
      </c>
      <c r="U114" s="26">
        <v>71758</v>
      </c>
      <c r="V114" s="26">
        <v>8815</v>
      </c>
      <c r="W114" s="26">
        <v>138</v>
      </c>
      <c r="X114" s="26">
        <v>48157</v>
      </c>
      <c r="Y114" s="26">
        <v>317695</v>
      </c>
      <c r="Z114" s="26" t="s">
        <v>31</v>
      </c>
      <c r="AA114" s="26" t="s">
        <v>31</v>
      </c>
      <c r="AB114" s="26" t="s">
        <v>31</v>
      </c>
      <c r="AC114" s="26" t="s">
        <v>31</v>
      </c>
      <c r="AD114" s="26" t="s">
        <v>31</v>
      </c>
    </row>
    <row r="115" spans="1:30" x14ac:dyDescent="0.2">
      <c r="A115">
        <f>_xlfn.XLOOKUP(E115,Lookups!$E:$E,Lookups!$F:$F,0)</f>
        <v>0</v>
      </c>
      <c r="B115">
        <v>1</v>
      </c>
      <c r="C115" s="3" t="d">
        <v>2026-07-03</v>
      </c>
      <c r="D115" s="3"/>
      <c r="E115" s="26" t="s">
        <v>472</v>
      </c>
      <c r="F115" s="26" t="s">
        <v>35</v>
      </c>
      <c r="G115" s="26" t="s">
        <v>36</v>
      </c>
      <c r="H115" s="26" t="s">
        <v>46</v>
      </c>
      <c r="I115" s="26">
        <v>20719</v>
      </c>
      <c r="J115" s="26">
        <v>163139</v>
      </c>
      <c r="K115" s="26">
        <v>16780</v>
      </c>
      <c r="L115" s="26">
        <v>2172778</v>
      </c>
      <c r="M115" s="26">
        <v>25082</v>
      </c>
      <c r="N115" s="26">
        <v>10686</v>
      </c>
      <c r="O115" s="26">
        <v>35505</v>
      </c>
      <c r="P115" s="26">
        <v>34100</v>
      </c>
      <c r="Q115" s="26">
        <v>6686930</v>
      </c>
      <c r="R115" s="26">
        <v>231459</v>
      </c>
      <c r="S115" s="26">
        <v>4462</v>
      </c>
      <c r="T115" s="26">
        <v>334690</v>
      </c>
      <c r="U115" s="26">
        <v>38227</v>
      </c>
      <c r="V115" s="26">
        <v>1417602</v>
      </c>
      <c r="W115" s="26">
        <v>16</v>
      </c>
      <c r="X115" s="26" t="s">
        <v>31</v>
      </c>
      <c r="Y115" s="26">
        <v>353732</v>
      </c>
      <c r="Z115" s="26" t="s">
        <v>31</v>
      </c>
      <c r="AA115" s="26" t="s">
        <v>31</v>
      </c>
      <c r="AB115" s="26" t="s">
        <v>31</v>
      </c>
      <c r="AC115" s="26" t="s">
        <v>31</v>
      </c>
      <c r="AD115" s="26" t="s">
        <v>31</v>
      </c>
    </row>
    <row r="116" spans="1:30" x14ac:dyDescent="0.2">
      <c r="A116">
        <f>_xlfn.XLOOKUP(E116,Lookups!$E:$E,Lookups!$F:$F,0)</f>
        <v>0</v>
      </c>
      <c r="B116">
        <v>1</v>
      </c>
      <c r="C116" s="3" t="d">
        <v>2026-07-03</v>
      </c>
      <c r="D116" s="3"/>
      <c r="E116" s="26" t="s">
        <v>290</v>
      </c>
      <c r="F116" s="26" t="s">
        <v>27</v>
      </c>
      <c r="G116" s="26" t="s">
        <v>28</v>
      </c>
      <c r="H116" s="26" t="s">
        <v>37</v>
      </c>
      <c r="I116" s="26">
        <v>20736</v>
      </c>
      <c r="J116" s="26">
        <v>41859</v>
      </c>
      <c r="K116" s="26">
        <v>74558</v>
      </c>
      <c r="L116" s="26">
        <v>52160865</v>
      </c>
      <c r="M116" s="26">
        <v>500060</v>
      </c>
      <c r="N116" s="26">
        <v>1723452</v>
      </c>
      <c r="O116" s="26">
        <v>223260</v>
      </c>
      <c r="P116" s="26">
        <v>1900</v>
      </c>
      <c r="Q116" s="26">
        <v>210992</v>
      </c>
      <c r="R116" s="26">
        <v>2478</v>
      </c>
      <c r="S116" s="26">
        <v>6324</v>
      </c>
      <c r="T116" s="26">
        <v>295062</v>
      </c>
      <c r="U116" s="26">
        <v>362714</v>
      </c>
      <c r="V116" s="26">
        <v>734012</v>
      </c>
      <c r="W116" s="26">
        <v>225</v>
      </c>
      <c r="X116" s="26" t="s">
        <v>31</v>
      </c>
      <c r="Y116" s="26">
        <v>171434</v>
      </c>
      <c r="Z116" s="26">
        <v>45177</v>
      </c>
      <c r="AA116" s="26">
        <v>37</v>
      </c>
      <c r="AB116" s="26">
        <v>0</v>
      </c>
      <c r="AC116" s="26">
        <v>0</v>
      </c>
      <c r="AD116" s="26">
        <v>64.773479371572193</v>
      </c>
    </row>
    <row r="117" spans="1:30" x14ac:dyDescent="0.2">
      <c r="A117">
        <f>_xlfn.XLOOKUP(E117,Lookups!$E:$E,Lookups!$F:$F,0)</f>
        <v>0</v>
      </c>
      <c r="B117">
        <v>1</v>
      </c>
      <c r="C117" s="3" t="d">
        <v>2026-07-03</v>
      </c>
      <c r="D117" s="3"/>
      <c r="E117" s="26" t="s">
        <v>116</v>
      </c>
      <c r="F117" s="26" t="s">
        <v>27</v>
      </c>
      <c r="G117" s="26" t="s">
        <v>28</v>
      </c>
      <c r="H117" s="26" t="s">
        <v>29</v>
      </c>
      <c r="I117" s="26">
        <v>20894</v>
      </c>
      <c r="J117" s="26">
        <v>14702</v>
      </c>
      <c r="K117" s="26">
        <v>530688</v>
      </c>
      <c r="L117" s="26">
        <v>199033669</v>
      </c>
      <c r="M117" s="26">
        <v>869148</v>
      </c>
      <c r="N117" s="26">
        <v>2414594</v>
      </c>
      <c r="O117" s="26">
        <v>613359</v>
      </c>
      <c r="P117" s="26" t="s">
        <v>31</v>
      </c>
      <c r="Q117" s="26" t="s">
        <v>31</v>
      </c>
      <c r="R117" s="26" t="s">
        <v>31</v>
      </c>
      <c r="S117" s="26">
        <v>41028</v>
      </c>
      <c r="T117" s="26">
        <v>18600</v>
      </c>
      <c r="U117" s="26">
        <v>125406</v>
      </c>
      <c r="V117" s="26">
        <v>63553</v>
      </c>
      <c r="W117" s="26">
        <v>23124</v>
      </c>
      <c r="X117" s="26" t="s">
        <v>31</v>
      </c>
      <c r="Y117" s="26">
        <v>55570</v>
      </c>
      <c r="Z117" s="26">
        <v>11600</v>
      </c>
      <c r="AA117" s="26">
        <v>169</v>
      </c>
      <c r="AB117" s="26">
        <v>0</v>
      </c>
      <c r="AC117" s="26">
        <v>0</v>
      </c>
      <c r="AD117" s="26">
        <v>255.91121656005501</v>
      </c>
    </row>
    <row r="118" spans="1:30" x14ac:dyDescent="0.2">
      <c r="A118">
        <f>_xlfn.XLOOKUP(E118,Lookups!$E:$E,Lookups!$F:$F,0)</f>
        <v>0</v>
      </c>
      <c r="B118">
        <v>1</v>
      </c>
      <c r="C118" s="3" t="d">
        <v>2026-07-03</v>
      </c>
      <c r="D118" s="3"/>
      <c r="E118" s="26" t="s">
        <v>238</v>
      </c>
      <c r="F118" s="26" t="s">
        <v>27</v>
      </c>
      <c r="G118" s="26" t="s">
        <v>28</v>
      </c>
      <c r="H118" s="26" t="s">
        <v>109</v>
      </c>
      <c r="I118" s="26">
        <v>20974</v>
      </c>
      <c r="J118" s="26">
        <v>12819</v>
      </c>
      <c r="K118" s="26">
        <v>119290</v>
      </c>
      <c r="L118" s="26">
        <v>162716515</v>
      </c>
      <c r="M118" s="26">
        <v>1477224</v>
      </c>
      <c r="N118" s="26">
        <v>3729678</v>
      </c>
      <c r="O118" s="26">
        <v>25515</v>
      </c>
      <c r="P118" s="26">
        <v>40500</v>
      </c>
      <c r="Q118" s="26">
        <v>10896992</v>
      </c>
      <c r="R118" s="26">
        <v>84073</v>
      </c>
      <c r="S118" s="26">
        <v>32978</v>
      </c>
      <c r="T118" s="26">
        <v>57628</v>
      </c>
      <c r="U118" s="26">
        <v>69478</v>
      </c>
      <c r="V118" s="26">
        <v>30736</v>
      </c>
      <c r="W118" s="26">
        <v>3131</v>
      </c>
      <c r="X118" s="26">
        <v>9</v>
      </c>
      <c r="Y118" s="26">
        <v>46414</v>
      </c>
      <c r="Z118" s="26">
        <v>2829</v>
      </c>
      <c r="AA118" s="26">
        <v>132</v>
      </c>
      <c r="AB118" s="26">
        <v>1</v>
      </c>
      <c r="AC118" s="26">
        <v>65</v>
      </c>
      <c r="AD118" s="26">
        <v>1167.3257002165601</v>
      </c>
    </row>
    <row r="119" spans="1:30" x14ac:dyDescent="0.2">
      <c r="A119">
        <f>_xlfn.XLOOKUP(E119,Lookups!$E:$E,Lookups!$F:$F,0)</f>
        <v>0</v>
      </c>
      <c r="B119">
        <v>1</v>
      </c>
      <c r="C119" s="3" t="d">
        <v>2026-07-03</v>
      </c>
      <c r="D119" s="3"/>
      <c r="E119" s="26" t="s">
        <v>151</v>
      </c>
      <c r="F119" s="26" t="s">
        <v>27</v>
      </c>
      <c r="G119" s="26" t="s">
        <v>28</v>
      </c>
      <c r="H119" s="26" t="s">
        <v>53</v>
      </c>
      <c r="I119" s="26">
        <v>21220</v>
      </c>
      <c r="J119" s="26">
        <v>26964</v>
      </c>
      <c r="K119" s="26">
        <v>290697</v>
      </c>
      <c r="L119" s="26">
        <v>83268889</v>
      </c>
      <c r="M119" s="26">
        <v>592154</v>
      </c>
      <c r="N119" s="26">
        <v>2792642</v>
      </c>
      <c r="O119" s="26">
        <v>613359</v>
      </c>
      <c r="P119" s="26" t="s">
        <v>31</v>
      </c>
      <c r="Q119" s="26" t="s">
        <v>31</v>
      </c>
      <c r="R119" s="26" t="s">
        <v>31</v>
      </c>
      <c r="S119" s="26">
        <v>20668</v>
      </c>
      <c r="T119" s="26">
        <v>1290</v>
      </c>
      <c r="U119" s="26">
        <v>1044407</v>
      </c>
      <c r="V119" s="26">
        <v>75041</v>
      </c>
      <c r="W119" s="26" t="s">
        <v>31</v>
      </c>
      <c r="X119" s="26" t="s">
        <v>31</v>
      </c>
      <c r="Y119" s="26">
        <v>370858</v>
      </c>
      <c r="Z119" s="26">
        <v>26689</v>
      </c>
      <c r="AA119" s="26">
        <v>105</v>
      </c>
      <c r="AB119" s="26">
        <v>0</v>
      </c>
      <c r="AC119" s="26">
        <v>0</v>
      </c>
      <c r="AD119" s="26">
        <v>95.783746312736895</v>
      </c>
    </row>
    <row r="120" spans="1:30" x14ac:dyDescent="0.2">
      <c r="A120">
        <f>_xlfn.XLOOKUP(E120,Lookups!$E:$E,Lookups!$F:$F,0)</f>
        <v>0</v>
      </c>
      <c r="B120">
        <v>1</v>
      </c>
      <c r="C120" s="3" t="d">
        <v>2026-07-03</v>
      </c>
      <c r="D120" s="3"/>
      <c r="E120" s="26" t="s">
        <v>157</v>
      </c>
      <c r="F120" s="26" t="s">
        <v>27</v>
      </c>
      <c r="G120" s="26" t="s">
        <v>77</v>
      </c>
      <c r="H120" s="26" t="s">
        <v>72</v>
      </c>
      <c r="I120" s="26">
        <v>21250</v>
      </c>
      <c r="J120" s="26">
        <v>26902</v>
      </c>
      <c r="K120" s="26">
        <v>271540</v>
      </c>
      <c r="L120" s="26">
        <v>67704580</v>
      </c>
      <c r="M120" s="26">
        <v>322665</v>
      </c>
      <c r="N120" s="26">
        <v>522847</v>
      </c>
      <c r="O120" s="26">
        <v>18784</v>
      </c>
      <c r="P120" s="26">
        <v>110000</v>
      </c>
      <c r="Q120" s="26">
        <v>24742653</v>
      </c>
      <c r="R120" s="26">
        <v>368739</v>
      </c>
      <c r="S120" s="26">
        <v>39106</v>
      </c>
      <c r="T120" s="26">
        <v>289588</v>
      </c>
      <c r="U120" s="26">
        <v>20334</v>
      </c>
      <c r="V120" s="26" t="s">
        <v>31</v>
      </c>
      <c r="W120" s="26">
        <v>724</v>
      </c>
      <c r="X120" s="26">
        <v>1579</v>
      </c>
      <c r="Y120" s="26">
        <v>125342</v>
      </c>
      <c r="Z120" s="26" t="s">
        <v>31</v>
      </c>
      <c r="AA120" s="26" t="s">
        <v>31</v>
      </c>
      <c r="AB120" s="26" t="s">
        <v>31</v>
      </c>
      <c r="AC120" s="26" t="s">
        <v>31</v>
      </c>
      <c r="AD120" s="26" t="s">
        <v>31</v>
      </c>
    </row>
    <row r="121" spans="1:30" x14ac:dyDescent="0.2">
      <c r="A121">
        <f>_xlfn.XLOOKUP(E121,Lookups!$E:$E,Lookups!$F:$F,0)</f>
        <v>0</v>
      </c>
      <c r="B121">
        <v>1</v>
      </c>
      <c r="C121" s="3" t="d">
        <v>2026-07-03</v>
      </c>
      <c r="D121" s="3"/>
      <c r="E121" s="26" t="s">
        <v>564</v>
      </c>
      <c r="F121" s="26" t="s">
        <v>27</v>
      </c>
      <c r="G121" s="26" t="s">
        <v>28</v>
      </c>
      <c r="H121" s="26" t="s">
        <v>337</v>
      </c>
      <c r="I121" s="26">
        <v>21406</v>
      </c>
      <c r="J121" s="26">
        <v>147950</v>
      </c>
      <c r="K121" s="26">
        <v>7715</v>
      </c>
      <c r="L121" s="26">
        <v>5475182</v>
      </c>
      <c r="M121" s="26">
        <v>94962</v>
      </c>
      <c r="N121" s="26">
        <v>87087</v>
      </c>
      <c r="O121" s="26">
        <v>613359</v>
      </c>
      <c r="P121" s="26" t="s">
        <v>31</v>
      </c>
      <c r="Q121" s="26" t="s">
        <v>31</v>
      </c>
      <c r="R121" s="26" t="s">
        <v>31</v>
      </c>
      <c r="S121" s="26">
        <v>5140</v>
      </c>
      <c r="T121" s="26">
        <v>763500</v>
      </c>
      <c r="U121" s="26">
        <v>2255578</v>
      </c>
      <c r="V121" s="26">
        <v>675129</v>
      </c>
      <c r="W121" s="26">
        <v>118</v>
      </c>
      <c r="X121" s="26" t="s">
        <v>31</v>
      </c>
      <c r="Y121" s="26">
        <v>111956</v>
      </c>
      <c r="Z121" s="26">
        <v>56193</v>
      </c>
      <c r="AA121" s="26">
        <v>17</v>
      </c>
      <c r="AB121" s="26">
        <v>0</v>
      </c>
      <c r="AC121" s="26">
        <v>0</v>
      </c>
      <c r="AD121" s="26">
        <v>25.2619726863214</v>
      </c>
    </row>
    <row r="122" spans="1:30" x14ac:dyDescent="0.2">
      <c r="A122">
        <f>_xlfn.XLOOKUP(E122,Lookups!$E:$E,Lookups!$F:$F,0)</f>
        <v>0</v>
      </c>
      <c r="B122">
        <v>1</v>
      </c>
      <c r="C122" s="3" t="d">
        <v>2026-07-03</v>
      </c>
      <c r="D122" s="3"/>
      <c r="E122" s="26" t="s">
        <v>336</v>
      </c>
      <c r="F122" s="26" t="s">
        <v>27</v>
      </c>
      <c r="G122" s="26" t="s">
        <v>28</v>
      </c>
      <c r="H122" s="26" t="s">
        <v>337</v>
      </c>
      <c r="I122" s="26">
        <v>21863</v>
      </c>
      <c r="J122" s="26">
        <v>46831</v>
      </c>
      <c r="K122" s="26">
        <v>52521</v>
      </c>
      <c r="L122" s="26">
        <v>18066140</v>
      </c>
      <c r="M122" s="26">
        <v>310316</v>
      </c>
      <c r="N122" s="26">
        <v>694769</v>
      </c>
      <c r="O122" s="26">
        <v>28032</v>
      </c>
      <c r="P122" s="26">
        <v>26300</v>
      </c>
      <c r="Q122" s="26">
        <v>7065533</v>
      </c>
      <c r="R122" s="26">
        <v>74347</v>
      </c>
      <c r="S122" s="26">
        <v>12310</v>
      </c>
      <c r="T122" s="26">
        <v>1010755</v>
      </c>
      <c r="U122" s="26">
        <v>596150</v>
      </c>
      <c r="V122" s="26">
        <v>3196</v>
      </c>
      <c r="W122" s="26">
        <v>78</v>
      </c>
      <c r="X122" s="26" t="s">
        <v>31</v>
      </c>
      <c r="Y122" s="26">
        <v>191083</v>
      </c>
      <c r="Z122" s="26">
        <v>32149</v>
      </c>
      <c r="AA122" s="26">
        <v>34</v>
      </c>
      <c r="AB122" s="26">
        <v>0</v>
      </c>
      <c r="AC122" s="26">
        <v>0</v>
      </c>
      <c r="AD122" s="26">
        <v>35.608665828338403</v>
      </c>
    </row>
    <row r="123" spans="1:30" x14ac:dyDescent="0.2">
      <c r="A123">
        <f>_xlfn.XLOOKUP(E123,Lookups!$E:$E,Lookups!$F:$F,0)</f>
        <v>0</v>
      </c>
      <c r="B123">
        <v>1</v>
      </c>
      <c r="C123" s="3" t="d">
        <v>2026-07-03</v>
      </c>
      <c r="D123" s="3"/>
      <c r="E123" s="26" t="s">
        <v>217</v>
      </c>
      <c r="F123" s="26" t="s">
        <v>27</v>
      </c>
      <c r="G123" s="26" t="s">
        <v>36</v>
      </c>
      <c r="H123" s="26" t="s">
        <v>147</v>
      </c>
      <c r="I123" s="26">
        <v>21984</v>
      </c>
      <c r="J123" s="26">
        <v>23558</v>
      </c>
      <c r="K123" s="26">
        <v>139953</v>
      </c>
      <c r="L123" s="26">
        <v>90437069</v>
      </c>
      <c r="M123" s="26">
        <v>591505</v>
      </c>
      <c r="N123" s="26">
        <v>2359564</v>
      </c>
      <c r="O123" s="26">
        <v>16641</v>
      </c>
      <c r="P123" s="26">
        <v>53100</v>
      </c>
      <c r="Q123" s="26">
        <v>32557981</v>
      </c>
      <c r="R123" s="26">
        <v>222291</v>
      </c>
      <c r="S123" s="26">
        <v>34200</v>
      </c>
      <c r="T123" s="26">
        <v>87800</v>
      </c>
      <c r="U123" s="26">
        <v>91811</v>
      </c>
      <c r="V123" s="26">
        <v>4669</v>
      </c>
      <c r="W123" s="26">
        <v>8073</v>
      </c>
      <c r="X123" s="26" t="s">
        <v>31</v>
      </c>
      <c r="Y123" s="26">
        <v>70485</v>
      </c>
      <c r="Z123" s="26">
        <v>9405</v>
      </c>
      <c r="AA123" s="26">
        <v>206</v>
      </c>
      <c r="AB123" s="26">
        <v>1</v>
      </c>
      <c r="AC123" s="26">
        <v>11</v>
      </c>
      <c r="AD123" s="26">
        <v>274.28109749073701</v>
      </c>
    </row>
    <row r="124" spans="1:30" x14ac:dyDescent="0.2">
      <c r="A124">
        <f>_xlfn.XLOOKUP(E124,Lookups!$E:$E,Lookups!$F:$F,0)</f>
        <v>0</v>
      </c>
      <c r="B124">
        <v>1</v>
      </c>
      <c r="C124" s="3" t="d">
        <v>2026-07-03</v>
      </c>
      <c r="D124" s="3"/>
      <c r="E124" s="26" t="s">
        <v>565</v>
      </c>
      <c r="F124" s="26" t="s">
        <v>27</v>
      </c>
      <c r="G124" s="26" t="s">
        <v>28</v>
      </c>
      <c r="H124" s="26" t="s">
        <v>95</v>
      </c>
      <c r="I124" s="26">
        <v>22029</v>
      </c>
      <c r="J124" s="26">
        <v>214190</v>
      </c>
      <c r="K124" s="26">
        <v>6255</v>
      </c>
      <c r="L124" s="26">
        <v>2191091</v>
      </c>
      <c r="M124" s="26">
        <v>17403</v>
      </c>
      <c r="N124" s="26">
        <v>17440</v>
      </c>
      <c r="O124" s="26">
        <v>202110</v>
      </c>
      <c r="P124" s="26">
        <v>1730</v>
      </c>
      <c r="Q124" s="26">
        <v>344571</v>
      </c>
      <c r="R124" s="26">
        <v>3978</v>
      </c>
      <c r="S124" s="26">
        <v>4753</v>
      </c>
      <c r="T124" s="26">
        <v>542972</v>
      </c>
      <c r="U124" s="26">
        <v>3481402</v>
      </c>
      <c r="V124" s="26">
        <v>1365420</v>
      </c>
      <c r="W124" s="26">
        <v>64</v>
      </c>
      <c r="X124" s="26" t="s">
        <v>31</v>
      </c>
      <c r="Y124" s="26">
        <v>162540</v>
      </c>
      <c r="Z124" s="26">
        <v>140143</v>
      </c>
      <c r="AA124" s="26">
        <v>4</v>
      </c>
      <c r="AB124" s="26">
        <v>0</v>
      </c>
      <c r="AC124" s="26">
        <v>0</v>
      </c>
      <c r="AD124" s="26">
        <v>6.062046652097</v>
      </c>
    </row>
    <row r="125" spans="1:30" x14ac:dyDescent="0.2">
      <c r="A125">
        <f>_xlfn.XLOOKUP(E125,Lookups!$E:$E,Lookups!$F:$F,0)</f>
        <v>0</v>
      </c>
      <c r="B125">
        <v>1</v>
      </c>
      <c r="C125" s="3" t="d">
        <v>2026-07-03</v>
      </c>
      <c r="D125" s="3"/>
      <c r="E125" s="26" t="s">
        <v>155</v>
      </c>
      <c r="F125" s="26" t="s">
        <v>27</v>
      </c>
      <c r="G125" s="26" t="s">
        <v>28</v>
      </c>
      <c r="H125" s="26" t="s">
        <v>29</v>
      </c>
      <c r="I125" s="26">
        <v>22196</v>
      </c>
      <c r="J125" s="26">
        <v>20291</v>
      </c>
      <c r="K125" s="26">
        <v>272638</v>
      </c>
      <c r="L125" s="26">
        <v>113538458</v>
      </c>
      <c r="M125" s="26">
        <v>581775</v>
      </c>
      <c r="N125" s="26">
        <v>2479308</v>
      </c>
      <c r="O125" s="26">
        <v>613359</v>
      </c>
      <c r="P125" s="26" t="s">
        <v>31</v>
      </c>
      <c r="Q125" s="26" t="s">
        <v>31</v>
      </c>
      <c r="R125" s="26" t="s">
        <v>31</v>
      </c>
      <c r="S125" s="26">
        <v>26484</v>
      </c>
      <c r="T125" s="26">
        <v>188891</v>
      </c>
      <c r="U125" s="26">
        <v>155650</v>
      </c>
      <c r="V125" s="26">
        <v>48288</v>
      </c>
      <c r="W125" s="26">
        <v>1330</v>
      </c>
      <c r="X125" s="26" t="s">
        <v>31</v>
      </c>
      <c r="Y125" s="26">
        <v>112219</v>
      </c>
      <c r="Z125" s="26">
        <v>8678</v>
      </c>
      <c r="AA125" s="26">
        <v>156</v>
      </c>
      <c r="AB125" s="26">
        <v>1</v>
      </c>
      <c r="AC125" s="26">
        <v>16</v>
      </c>
      <c r="AD125" s="26">
        <v>346.16057131713302</v>
      </c>
    </row>
    <row r="126" spans="1:30" x14ac:dyDescent="0.2">
      <c r="A126">
        <f>_xlfn.XLOOKUP(E126,Lookups!$E:$E,Lookups!$F:$F,0)</f>
        <v>0</v>
      </c>
      <c r="B126">
        <v>1</v>
      </c>
      <c r="C126" s="3" t="d">
        <v>2026-07-03</v>
      </c>
      <c r="D126" s="3"/>
      <c r="E126" s="26" t="s">
        <v>440</v>
      </c>
      <c r="F126" s="26" t="s">
        <v>27</v>
      </c>
      <c r="G126" s="26" t="s">
        <v>36</v>
      </c>
      <c r="H126" s="26" t="s">
        <v>72</v>
      </c>
      <c r="I126" s="26">
        <v>22377</v>
      </c>
      <c r="J126" s="26">
        <v>25796</v>
      </c>
      <c r="K126" s="26">
        <v>22294</v>
      </c>
      <c r="L126" s="26">
        <v>61655683</v>
      </c>
      <c r="M126" s="26">
        <v>1032242</v>
      </c>
      <c r="N126" s="26">
        <v>5093528</v>
      </c>
      <c r="O126" s="26">
        <v>80571</v>
      </c>
      <c r="P126" s="26">
        <v>4400</v>
      </c>
      <c r="Q126" s="26">
        <v>9858</v>
      </c>
      <c r="R126" s="26">
        <v>155</v>
      </c>
      <c r="S126" s="26">
        <v>64443</v>
      </c>
      <c r="T126" s="26">
        <v>1668</v>
      </c>
      <c r="U126" s="26">
        <v>14855</v>
      </c>
      <c r="V126" s="26">
        <v>29121</v>
      </c>
      <c r="W126" s="26">
        <v>69</v>
      </c>
      <c r="X126" s="26" t="s">
        <v>31</v>
      </c>
      <c r="Y126" s="26">
        <v>126802</v>
      </c>
      <c r="Z126" s="26">
        <v>16536</v>
      </c>
      <c r="AA126" s="26">
        <v>96</v>
      </c>
      <c r="AB126" s="26">
        <v>1</v>
      </c>
      <c r="AC126" s="26">
        <v>8</v>
      </c>
      <c r="AD126" s="26">
        <v>115.43146847316901</v>
      </c>
    </row>
    <row r="127" spans="1:30" x14ac:dyDescent="0.2">
      <c r="A127">
        <f>_xlfn.XLOOKUP(E127,Lookups!$E:$E,Lookups!$F:$F,0)</f>
        <v>0</v>
      </c>
      <c r="B127">
        <v>1</v>
      </c>
      <c r="C127" s="3" t="d">
        <v>2026-07-03</v>
      </c>
      <c r="D127" s="3"/>
      <c r="E127" s="26" t="s">
        <v>142</v>
      </c>
      <c r="F127" s="26" t="s">
        <v>27</v>
      </c>
      <c r="G127" s="26" t="s">
        <v>77</v>
      </c>
      <c r="H127" s="26" t="s">
        <v>37</v>
      </c>
      <c r="I127" s="26">
        <v>22401</v>
      </c>
      <c r="J127" s="26">
        <v>30468</v>
      </c>
      <c r="K127" s="26">
        <v>352590</v>
      </c>
      <c r="L127" s="26">
        <v>88420544</v>
      </c>
      <c r="M127" s="26">
        <v>201032</v>
      </c>
      <c r="N127" s="26">
        <v>409348</v>
      </c>
      <c r="O127" s="26">
        <v>278615</v>
      </c>
      <c r="P127" s="26">
        <v>5</v>
      </c>
      <c r="Q127" s="26">
        <v>81443</v>
      </c>
      <c r="R127" s="26">
        <v>465</v>
      </c>
      <c r="S127" s="26">
        <v>11273</v>
      </c>
      <c r="T127" s="26">
        <v>578792</v>
      </c>
      <c r="U127" s="26">
        <v>120527</v>
      </c>
      <c r="V127" s="26">
        <v>1250095</v>
      </c>
      <c r="W127" s="26">
        <v>3408</v>
      </c>
      <c r="X127" s="26" t="s">
        <v>31</v>
      </c>
      <c r="Y127" s="26">
        <v>30177</v>
      </c>
      <c r="Z127" s="26">
        <v>34032</v>
      </c>
      <c r="AA127" s="26">
        <v>58</v>
      </c>
      <c r="AB127" s="26">
        <v>0</v>
      </c>
      <c r="AC127" s="26">
        <v>0</v>
      </c>
      <c r="AD127" s="26">
        <v>39.227928306320798</v>
      </c>
    </row>
    <row r="128" spans="1:30" x14ac:dyDescent="0.2">
      <c r="A128">
        <f>_xlfn.XLOOKUP(E128,Lookups!$E:$E,Lookups!$F:$F,0)</f>
        <v>0</v>
      </c>
      <c r="B128">
        <v>1</v>
      </c>
      <c r="C128" s="3" t="d">
        <v>2026-07-03</v>
      </c>
      <c r="D128" s="3"/>
      <c r="E128" s="26" t="s">
        <v>205</v>
      </c>
      <c r="F128" s="26" t="s">
        <v>27</v>
      </c>
      <c r="G128" s="26" t="s">
        <v>28</v>
      </c>
      <c r="H128" s="26" t="s">
        <v>57</v>
      </c>
      <c r="I128" s="26">
        <v>22691</v>
      </c>
      <c r="J128" s="26">
        <v>66311</v>
      </c>
      <c r="K128" s="26">
        <v>155848</v>
      </c>
      <c r="L128" s="26">
        <v>16106651</v>
      </c>
      <c r="M128" s="26">
        <v>111596</v>
      </c>
      <c r="N128" s="26">
        <v>537444</v>
      </c>
      <c r="O128" s="26">
        <v>613359</v>
      </c>
      <c r="P128" s="26" t="s">
        <v>31</v>
      </c>
      <c r="Q128" s="26" t="s">
        <v>31</v>
      </c>
      <c r="R128" s="26" t="s">
        <v>31</v>
      </c>
      <c r="S128" s="26">
        <v>6460</v>
      </c>
      <c r="T128" s="26">
        <v>287078</v>
      </c>
      <c r="U128" s="26">
        <v>2199809</v>
      </c>
      <c r="V128" s="26">
        <v>439317</v>
      </c>
      <c r="W128" s="26">
        <v>5645</v>
      </c>
      <c r="X128" s="26" t="s">
        <v>31</v>
      </c>
      <c r="Y128" s="26">
        <v>41625</v>
      </c>
      <c r="Z128" s="26">
        <v>53087</v>
      </c>
      <c r="AA128" s="26">
        <v>84</v>
      </c>
      <c r="AB128" s="26">
        <v>1</v>
      </c>
      <c r="AC128" s="26">
        <v>8</v>
      </c>
      <c r="AD128" s="26">
        <v>90.126754752937998</v>
      </c>
    </row>
    <row r="129" spans="1:30" x14ac:dyDescent="0.2">
      <c r="A129">
        <f>_xlfn.XLOOKUP(E129,Lookups!$E:$E,Lookups!$F:$F,0)</f>
        <v>0</v>
      </c>
      <c r="B129">
        <v>1</v>
      </c>
      <c r="C129" s="3" t="d">
        <v>2026-07-03</v>
      </c>
      <c r="D129" s="3"/>
      <c r="E129" s="26" t="s">
        <v>566</v>
      </c>
      <c r="F129" s="26" t="s">
        <v>27</v>
      </c>
      <c r="G129" s="26" t="s">
        <v>77</v>
      </c>
      <c r="H129" s="26" t="s">
        <v>37</v>
      </c>
      <c r="I129" s="26">
        <v>22749</v>
      </c>
      <c r="J129" s="26">
        <v>191706</v>
      </c>
      <c r="K129" s="26">
        <v>15284</v>
      </c>
      <c r="L129" s="26">
        <v>6742896</v>
      </c>
      <c r="M129" s="26">
        <v>10723</v>
      </c>
      <c r="N129" s="26">
        <v>171890</v>
      </c>
      <c r="O129" s="26">
        <v>8410</v>
      </c>
      <c r="P129" s="26">
        <v>138000</v>
      </c>
      <c r="Q129" s="26">
        <v>65134204</v>
      </c>
      <c r="R129" s="26">
        <v>506383</v>
      </c>
      <c r="S129" s="26">
        <v>30538</v>
      </c>
      <c r="T129" s="26">
        <v>248842</v>
      </c>
      <c r="U129" s="26">
        <v>47254</v>
      </c>
      <c r="V129" s="26">
        <v>234950</v>
      </c>
      <c r="W129" s="26">
        <v>48</v>
      </c>
      <c r="X129" s="26">
        <v>92</v>
      </c>
      <c r="Y129" s="26">
        <v>242447</v>
      </c>
      <c r="Z129" s="26" t="s">
        <v>31</v>
      </c>
      <c r="AA129" s="26" t="s">
        <v>31</v>
      </c>
      <c r="AB129" s="26" t="s">
        <v>31</v>
      </c>
      <c r="AC129" s="26" t="s">
        <v>31</v>
      </c>
      <c r="AD129" s="26" t="s">
        <v>31</v>
      </c>
    </row>
    <row r="130" spans="1:30" x14ac:dyDescent="0.2">
      <c r="A130">
        <f>_xlfn.XLOOKUP(E130,Lookups!$E:$E,Lookups!$F:$F,0)</f>
        <v>0</v>
      </c>
      <c r="B130">
        <v>1</v>
      </c>
      <c r="C130" s="3" t="d">
        <v>2026-07-03</v>
      </c>
      <c r="D130" s="3"/>
      <c r="E130" s="26" t="s">
        <v>123</v>
      </c>
      <c r="F130" s="26" t="s">
        <v>27</v>
      </c>
      <c r="G130" s="26" t="s">
        <v>28</v>
      </c>
      <c r="H130" s="26" t="s">
        <v>55</v>
      </c>
      <c r="I130" s="26">
        <v>22865</v>
      </c>
      <c r="J130" s="26">
        <v>14660</v>
      </c>
      <c r="K130" s="26">
        <v>449219</v>
      </c>
      <c r="L130" s="26">
        <v>193205737</v>
      </c>
      <c r="M130" s="26">
        <v>582750</v>
      </c>
      <c r="N130" s="26">
        <v>3606199</v>
      </c>
      <c r="O130" s="26">
        <v>38387</v>
      </c>
      <c r="P130" s="26">
        <v>5780</v>
      </c>
      <c r="Q130" s="26">
        <v>16370029</v>
      </c>
      <c r="R130" s="26">
        <v>175931</v>
      </c>
      <c r="S130" s="26">
        <v>27552</v>
      </c>
      <c r="T130" s="26">
        <v>51551</v>
      </c>
      <c r="U130" s="26">
        <v>124210</v>
      </c>
      <c r="V130" s="26" t="s">
        <v>31</v>
      </c>
      <c r="W130" s="26" t="s">
        <v>31</v>
      </c>
      <c r="X130" s="26">
        <v>117</v>
      </c>
      <c r="Y130" s="26">
        <v>466238</v>
      </c>
      <c r="Z130" s="26" t="s">
        <v>31</v>
      </c>
      <c r="AA130" s="26" t="s">
        <v>31</v>
      </c>
      <c r="AB130" s="26" t="s">
        <v>31</v>
      </c>
      <c r="AC130" s="26" t="s">
        <v>31</v>
      </c>
      <c r="AD130" s="26" t="s">
        <v>31</v>
      </c>
    </row>
    <row r="131" spans="1:30" x14ac:dyDescent="0.2">
      <c r="A131">
        <f>_xlfn.XLOOKUP(E131,Lookups!$E:$E,Lookups!$F:$F,0)</f>
        <v>0</v>
      </c>
      <c r="B131">
        <v>1</v>
      </c>
      <c r="C131" s="3" t="d">
        <v>2026-07-03</v>
      </c>
      <c r="D131" s="3"/>
      <c r="E131" s="26" t="s">
        <v>180</v>
      </c>
      <c r="F131" s="26" t="s">
        <v>35</v>
      </c>
      <c r="G131" s="26" t="s">
        <v>36</v>
      </c>
      <c r="H131" s="26" t="s">
        <v>40</v>
      </c>
      <c r="I131" s="26">
        <v>22997</v>
      </c>
      <c r="J131" s="26">
        <v>28972</v>
      </c>
      <c r="K131" s="26">
        <v>207477</v>
      </c>
      <c r="L131" s="26">
        <v>42620414</v>
      </c>
      <c r="M131" s="26">
        <v>583072</v>
      </c>
      <c r="N131" s="26">
        <v>354762</v>
      </c>
      <c r="O131" s="26">
        <v>613359</v>
      </c>
      <c r="P131" s="26" t="s">
        <v>31</v>
      </c>
      <c r="Q131" s="26" t="s">
        <v>31</v>
      </c>
      <c r="R131" s="26" t="s">
        <v>31</v>
      </c>
      <c r="S131" s="26">
        <v>13165</v>
      </c>
      <c r="T131" s="26">
        <v>1594687</v>
      </c>
      <c r="U131" s="26">
        <v>449</v>
      </c>
      <c r="V131" s="26" t="s">
        <v>31</v>
      </c>
      <c r="W131" s="26">
        <v>854</v>
      </c>
      <c r="X131" s="26" t="s">
        <v>31</v>
      </c>
      <c r="Y131" s="26">
        <v>81829</v>
      </c>
      <c r="Z131" s="26" t="s">
        <v>31</v>
      </c>
      <c r="AA131" s="26" t="s">
        <v>31</v>
      </c>
      <c r="AB131" s="26" t="s">
        <v>31</v>
      </c>
      <c r="AC131" s="26" t="s">
        <v>31</v>
      </c>
      <c r="AD131" s="26" t="s">
        <v>31</v>
      </c>
    </row>
    <row r="132" spans="1:30" x14ac:dyDescent="0.2">
      <c r="A132">
        <f>_xlfn.XLOOKUP(E132,Lookups!$E:$E,Lookups!$F:$F,0)</f>
        <v>0</v>
      </c>
      <c r="B132">
        <v>1</v>
      </c>
      <c r="C132" s="3" t="d">
        <v>2026-07-03</v>
      </c>
      <c r="D132" s="3"/>
      <c r="E132" s="26" t="s">
        <v>567</v>
      </c>
      <c r="F132" s="26" t="s">
        <v>27</v>
      </c>
      <c r="G132" s="26" t="s">
        <v>28</v>
      </c>
      <c r="H132" s="26" t="s">
        <v>46</v>
      </c>
      <c r="I132" s="26">
        <v>23286</v>
      </c>
      <c r="J132" s="26">
        <v>253391</v>
      </c>
      <c r="K132" s="26">
        <v>8258</v>
      </c>
      <c r="L132" s="26">
        <v>3749290</v>
      </c>
      <c r="M132" s="26">
        <v>2888</v>
      </c>
      <c r="N132" s="26">
        <v>39204</v>
      </c>
      <c r="O132" s="26">
        <v>13351</v>
      </c>
      <c r="P132" s="26">
        <v>178000</v>
      </c>
      <c r="Q132" s="26">
        <v>60753854</v>
      </c>
      <c r="R132" s="26">
        <v>655436</v>
      </c>
      <c r="S132" s="26">
        <v>11443</v>
      </c>
      <c r="T132" s="26">
        <v>94756</v>
      </c>
      <c r="U132" s="26">
        <v>813553</v>
      </c>
      <c r="V132" s="26">
        <v>981687</v>
      </c>
      <c r="W132" s="26">
        <v>2707</v>
      </c>
      <c r="X132" s="26" t="s">
        <v>31</v>
      </c>
      <c r="Y132" s="26">
        <v>466238</v>
      </c>
      <c r="Z132" s="26" t="s">
        <v>31</v>
      </c>
      <c r="AA132" s="26" t="s">
        <v>31</v>
      </c>
      <c r="AB132" s="26" t="s">
        <v>31</v>
      </c>
      <c r="AC132" s="26" t="s">
        <v>31</v>
      </c>
      <c r="AD132" s="26" t="s">
        <v>31</v>
      </c>
    </row>
    <row r="133" spans="1:30" x14ac:dyDescent="0.2">
      <c r="A133">
        <f>_xlfn.XLOOKUP(E133,Lookups!$E:$E,Lookups!$F:$F,0)</f>
        <v>0</v>
      </c>
      <c r="B133">
        <v>1</v>
      </c>
      <c r="C133" s="3" t="d">
        <v>2026-07-03</v>
      </c>
      <c r="D133" s="3"/>
      <c r="E133" s="26" t="s">
        <v>568</v>
      </c>
      <c r="F133" s="26" t="s">
        <v>569</v>
      </c>
      <c r="G133" s="26" t="s">
        <v>36</v>
      </c>
      <c r="H133" s="26" t="s">
        <v>31</v>
      </c>
      <c r="I133" s="26">
        <v>23477</v>
      </c>
      <c r="J133" s="26">
        <v>229568</v>
      </c>
      <c r="K133" s="26">
        <v>8078</v>
      </c>
      <c r="L133" s="26">
        <v>2744977</v>
      </c>
      <c r="M133" s="26">
        <v>12766</v>
      </c>
      <c r="N133" s="26">
        <v>29887</v>
      </c>
      <c r="O133" s="26">
        <v>5013</v>
      </c>
      <c r="P133" s="26">
        <v>442000</v>
      </c>
      <c r="Q133" s="26">
        <v>24993550</v>
      </c>
      <c r="R133" s="26">
        <v>548304</v>
      </c>
      <c r="S133" s="26">
        <v>11605</v>
      </c>
      <c r="T133" s="26">
        <v>282356</v>
      </c>
      <c r="U133" s="26">
        <v>145744</v>
      </c>
      <c r="V133" s="26">
        <v>336882</v>
      </c>
      <c r="W133" s="26">
        <v>83</v>
      </c>
      <c r="X133" s="26" t="s">
        <v>31</v>
      </c>
      <c r="Y133" s="26">
        <v>185910</v>
      </c>
      <c r="Z133" s="26" t="s">
        <v>31</v>
      </c>
      <c r="AA133" s="26" t="s">
        <v>31</v>
      </c>
      <c r="AB133" s="26" t="s">
        <v>31</v>
      </c>
      <c r="AC133" s="26" t="s">
        <v>31</v>
      </c>
      <c r="AD133" s="26" t="s">
        <v>31</v>
      </c>
    </row>
    <row r="134" spans="1:30" x14ac:dyDescent="0.2">
      <c r="A134">
        <f>_xlfn.XLOOKUP(E134,Lookups!$E:$E,Lookups!$F:$F,0)</f>
        <v>0</v>
      </c>
      <c r="B134">
        <v>1</v>
      </c>
      <c r="C134" s="3" t="d">
        <v>2026-07-03</v>
      </c>
      <c r="D134" s="3"/>
      <c r="E134" s="26" t="s">
        <v>169</v>
      </c>
      <c r="F134" s="26" t="s">
        <v>27</v>
      </c>
      <c r="G134" s="26" t="s">
        <v>28</v>
      </c>
      <c r="H134" s="26" t="s">
        <v>46</v>
      </c>
      <c r="I134" s="26">
        <v>23518</v>
      </c>
      <c r="J134" s="26">
        <v>47596</v>
      </c>
      <c r="K134" s="26">
        <v>226791</v>
      </c>
      <c r="L134" s="26">
        <v>16602273</v>
      </c>
      <c r="M134" s="26">
        <v>155288</v>
      </c>
      <c r="N134" s="26">
        <v>218037</v>
      </c>
      <c r="O134" s="26">
        <v>24484</v>
      </c>
      <c r="P134" s="26">
        <v>126000</v>
      </c>
      <c r="Q134" s="26">
        <v>69185912</v>
      </c>
      <c r="R134" s="26">
        <v>361868</v>
      </c>
      <c r="S134" s="26">
        <v>21580</v>
      </c>
      <c r="T134" s="26">
        <v>310383</v>
      </c>
      <c r="U134" s="26">
        <v>221598</v>
      </c>
      <c r="V134" s="26">
        <v>224874</v>
      </c>
      <c r="W134" s="26">
        <v>6215</v>
      </c>
      <c r="X134" s="26" t="s">
        <v>31</v>
      </c>
      <c r="Y134" s="26">
        <v>31404</v>
      </c>
      <c r="Z134" s="26">
        <v>97788</v>
      </c>
      <c r="AA134" s="26">
        <v>31</v>
      </c>
      <c r="AB134" s="26">
        <v>0</v>
      </c>
      <c r="AC134" s="26">
        <v>0</v>
      </c>
      <c r="AD134" s="26">
        <v>22.786750081536098</v>
      </c>
    </row>
    <row r="135" spans="1:30" x14ac:dyDescent="0.2">
      <c r="A135">
        <f>_xlfn.XLOOKUP(E135,Lookups!$E:$E,Lookups!$F:$F,0)</f>
        <v>0</v>
      </c>
      <c r="B135">
        <v>1</v>
      </c>
      <c r="C135" s="3" t="d">
        <v>2026-07-03</v>
      </c>
      <c r="D135" s="3"/>
      <c r="E135" s="26" t="s">
        <v>229</v>
      </c>
      <c r="F135" s="26" t="s">
        <v>27</v>
      </c>
      <c r="G135" s="26" t="s">
        <v>28</v>
      </c>
      <c r="H135" s="26" t="s">
        <v>37</v>
      </c>
      <c r="I135" s="26">
        <v>23714</v>
      </c>
      <c r="J135" s="26">
        <v>89891</v>
      </c>
      <c r="K135" s="26">
        <v>130142</v>
      </c>
      <c r="L135" s="26">
        <v>10950259</v>
      </c>
      <c r="M135" s="26">
        <v>29345</v>
      </c>
      <c r="N135" s="26">
        <v>355745</v>
      </c>
      <c r="O135" s="26">
        <v>65457</v>
      </c>
      <c r="P135" s="26">
        <v>84600</v>
      </c>
      <c r="Q135" s="26">
        <v>8443914</v>
      </c>
      <c r="R135" s="26">
        <v>260737</v>
      </c>
      <c r="S135" s="26">
        <v>4752</v>
      </c>
      <c r="T135" s="26">
        <v>1568158</v>
      </c>
      <c r="U135" s="26">
        <v>1099762</v>
      </c>
      <c r="V135" s="26">
        <v>988316</v>
      </c>
      <c r="W135" s="26">
        <v>430</v>
      </c>
      <c r="X135" s="26">
        <v>36</v>
      </c>
      <c r="Y135" s="26">
        <v>113589</v>
      </c>
      <c r="Z135" s="26">
        <v>30424</v>
      </c>
      <c r="AA135" s="26">
        <v>63</v>
      </c>
      <c r="AB135" s="26">
        <v>0</v>
      </c>
      <c r="AC135" s="26">
        <v>0</v>
      </c>
      <c r="AD135" s="26">
        <v>68.280150417221606</v>
      </c>
    </row>
    <row r="136" spans="1:30" x14ac:dyDescent="0.2">
      <c r="A136">
        <f>_xlfn.XLOOKUP(E136,Lookups!$E:$E,Lookups!$F:$F,0)</f>
        <v>1</v>
      </c>
      <c r="B136">
        <v>1</v>
      </c>
      <c r="C136" s="3" t="d">
        <v>2026-07-03</v>
      </c>
      <c r="D136" s="3"/>
      <c r="E136" s="26" t="s">
        <v>159</v>
      </c>
      <c r="F136" s="26" t="s">
        <v>27</v>
      </c>
      <c r="G136" s="26" t="s">
        <v>36</v>
      </c>
      <c r="H136" s="26" t="s">
        <v>37</v>
      </c>
      <c r="I136" s="26">
        <v>23719</v>
      </c>
      <c r="J136" s="26">
        <v>10177</v>
      </c>
      <c r="K136" s="26">
        <v>257831</v>
      </c>
      <c r="L136" s="26">
        <v>127394961</v>
      </c>
      <c r="M136" s="26">
        <v>1603306</v>
      </c>
      <c r="N136" s="26">
        <v>6485936</v>
      </c>
      <c r="O136" s="26">
        <v>613359</v>
      </c>
      <c r="P136" s="26" t="s">
        <v>31</v>
      </c>
      <c r="Q136" s="26" t="s">
        <v>31</v>
      </c>
      <c r="R136" s="26" t="s">
        <v>31</v>
      </c>
      <c r="S136" s="26">
        <v>219345</v>
      </c>
      <c r="T136" s="26">
        <v>34</v>
      </c>
      <c r="U136" s="26">
        <v>19522</v>
      </c>
      <c r="V136" s="26" t="s">
        <v>31</v>
      </c>
      <c r="W136" s="26">
        <v>1547</v>
      </c>
      <c r="X136" s="26" t="s">
        <v>31</v>
      </c>
      <c r="Y136" s="26">
        <v>93068</v>
      </c>
      <c r="Z136" s="26">
        <v>17547</v>
      </c>
      <c r="AA136" s="26">
        <v>51</v>
      </c>
      <c r="AB136" s="26">
        <v>1</v>
      </c>
      <c r="AC136" s="26">
        <v>36</v>
      </c>
      <c r="AD136" s="26">
        <v>78.9103983311891</v>
      </c>
    </row>
    <row r="137" spans="1:30" x14ac:dyDescent="0.2">
      <c r="A137">
        <f>_xlfn.XLOOKUP(E137,Lookups!$E:$E,Lookups!$F:$F,0)</f>
        <v>0</v>
      </c>
      <c r="B137">
        <v>1</v>
      </c>
      <c r="C137" s="3" t="d">
        <v>2026-07-03</v>
      </c>
      <c r="D137" s="3"/>
      <c r="E137" s="26" t="s">
        <v>382</v>
      </c>
      <c r="F137" s="26" t="s">
        <v>383</v>
      </c>
      <c r="G137" s="26" t="s">
        <v>28</v>
      </c>
      <c r="H137" s="26" t="s">
        <v>46</v>
      </c>
      <c r="I137" s="26">
        <v>23736</v>
      </c>
      <c r="J137" s="26">
        <v>5998</v>
      </c>
      <c r="K137" s="26">
        <v>36950</v>
      </c>
      <c r="L137" s="26">
        <v>211006446</v>
      </c>
      <c r="M137" s="26">
        <v>2249661</v>
      </c>
      <c r="N137" s="26">
        <v>12940687</v>
      </c>
      <c r="O137" s="26">
        <v>613359</v>
      </c>
      <c r="P137" s="26" t="s">
        <v>31</v>
      </c>
      <c r="Q137" s="26" t="s">
        <v>31</v>
      </c>
      <c r="R137" s="26" t="s">
        <v>31</v>
      </c>
      <c r="S137" s="26">
        <v>63896</v>
      </c>
      <c r="T137" s="26">
        <v>1685</v>
      </c>
      <c r="U137" s="26">
        <v>17858</v>
      </c>
      <c r="V137" s="26" t="s">
        <v>31</v>
      </c>
      <c r="W137" s="26">
        <v>1508</v>
      </c>
      <c r="X137" s="26">
        <v>2153</v>
      </c>
      <c r="Y137" s="26">
        <v>9022</v>
      </c>
      <c r="Z137" s="26">
        <v>187</v>
      </c>
      <c r="AA137" s="26">
        <v>7</v>
      </c>
      <c r="AB137" s="26">
        <v>6</v>
      </c>
      <c r="AC137" s="26">
        <v>1658</v>
      </c>
      <c r="AD137" s="26">
        <v>27041.257427204298</v>
      </c>
    </row>
    <row r="138" spans="1:30" x14ac:dyDescent="0.2">
      <c r="A138">
        <f>_xlfn.XLOOKUP(E138,Lookups!$E:$E,Lookups!$F:$F,0)</f>
        <v>0</v>
      </c>
      <c r="B138">
        <v>1</v>
      </c>
      <c r="C138" s="3" t="d">
        <v>2026-07-03</v>
      </c>
      <c r="D138" s="3"/>
      <c r="E138" s="26" t="s">
        <v>108</v>
      </c>
      <c r="F138" s="26" t="s">
        <v>27</v>
      </c>
      <c r="G138" s="26" t="s">
        <v>28</v>
      </c>
      <c r="H138" s="26" t="s">
        <v>109</v>
      </c>
      <c r="I138" s="26">
        <v>23782</v>
      </c>
      <c r="J138" s="26">
        <v>13523</v>
      </c>
      <c r="K138" s="26">
        <v>593242</v>
      </c>
      <c r="L138" s="26">
        <v>99480534</v>
      </c>
      <c r="M138" s="26">
        <v>1057717</v>
      </c>
      <c r="N138" s="26">
        <v>3562763</v>
      </c>
      <c r="O138" s="26">
        <v>613359</v>
      </c>
      <c r="P138" s="26" t="s">
        <v>31</v>
      </c>
      <c r="Q138" s="26" t="s">
        <v>31</v>
      </c>
      <c r="R138" s="26" t="s">
        <v>31</v>
      </c>
      <c r="S138" s="26">
        <v>834709</v>
      </c>
      <c r="T138" s="26" t="s">
        <v>31</v>
      </c>
      <c r="U138" s="26" t="s">
        <v>31</v>
      </c>
      <c r="V138" s="26" t="s">
        <v>31</v>
      </c>
      <c r="W138" s="26">
        <v>2000</v>
      </c>
      <c r="X138" s="26">
        <v>149</v>
      </c>
      <c r="Y138" s="26">
        <v>77636</v>
      </c>
      <c r="Z138" s="26">
        <v>10960</v>
      </c>
      <c r="AA138" s="26">
        <v>134</v>
      </c>
      <c r="AB138" s="26">
        <v>0</v>
      </c>
      <c r="AC138" s="26">
        <v>0</v>
      </c>
      <c r="AD138" s="26">
        <v>171.36742737877199</v>
      </c>
    </row>
    <row r="139" spans="1:30" x14ac:dyDescent="0.2">
      <c r="A139">
        <f>_xlfn.XLOOKUP(E139,Lookups!$E:$E,Lookups!$F:$F,0)</f>
        <v>0</v>
      </c>
      <c r="B139">
        <v>1</v>
      </c>
      <c r="C139" s="3" t="d">
        <v>2026-07-03</v>
      </c>
      <c r="D139" s="3"/>
      <c r="E139" s="26" t="s">
        <v>446</v>
      </c>
      <c r="F139" s="26" t="s">
        <v>27</v>
      </c>
      <c r="G139" s="26" t="s">
        <v>28</v>
      </c>
      <c r="H139" s="26" t="s">
        <v>37</v>
      </c>
      <c r="I139" s="26">
        <v>23944</v>
      </c>
      <c r="J139" s="26">
        <v>29471</v>
      </c>
      <c r="K139" s="26">
        <v>20672</v>
      </c>
      <c r="L139" s="26">
        <v>24102467</v>
      </c>
      <c r="M139" s="26">
        <v>1058611</v>
      </c>
      <c r="N139" s="26">
        <v>3565189</v>
      </c>
      <c r="O139" s="26">
        <v>54165</v>
      </c>
      <c r="P139" s="26">
        <v>12300</v>
      </c>
      <c r="Q139" s="26">
        <v>1010200</v>
      </c>
      <c r="R139" s="26">
        <v>15253</v>
      </c>
      <c r="S139" s="26">
        <v>21215</v>
      </c>
      <c r="T139" s="26">
        <v>49164</v>
      </c>
      <c r="U139" s="26">
        <v>68728</v>
      </c>
      <c r="V139" s="26" t="s">
        <v>31</v>
      </c>
      <c r="W139" s="26">
        <v>84</v>
      </c>
      <c r="X139" s="26">
        <v>33</v>
      </c>
      <c r="Y139" s="26">
        <v>334562</v>
      </c>
      <c r="Z139" s="26" t="s">
        <v>31</v>
      </c>
      <c r="AA139" s="26" t="s">
        <v>31</v>
      </c>
      <c r="AB139" s="26" t="s">
        <v>31</v>
      </c>
      <c r="AC139" s="26" t="s">
        <v>31</v>
      </c>
      <c r="AD139" s="26" t="s">
        <v>31</v>
      </c>
    </row>
    <row r="140" spans="1:30" x14ac:dyDescent="0.2">
      <c r="A140">
        <f>_xlfn.XLOOKUP(E140,Lookups!$E:$E,Lookups!$F:$F,0)</f>
        <v>0</v>
      </c>
      <c r="B140">
        <v>1</v>
      </c>
      <c r="C140" s="3" t="d">
        <v>2026-07-03</v>
      </c>
      <c r="D140" s="3"/>
      <c r="E140" s="26" t="s">
        <v>231</v>
      </c>
      <c r="F140" s="26" t="s">
        <v>27</v>
      </c>
      <c r="G140" s="26" t="s">
        <v>36</v>
      </c>
      <c r="H140" s="26" t="s">
        <v>53</v>
      </c>
      <c r="I140" s="26">
        <v>24020</v>
      </c>
      <c r="J140" s="26">
        <v>32900</v>
      </c>
      <c r="K140" s="26">
        <v>127143</v>
      </c>
      <c r="L140" s="26">
        <v>79875926</v>
      </c>
      <c r="M140" s="26">
        <v>555825</v>
      </c>
      <c r="N140" s="26">
        <v>2233278</v>
      </c>
      <c r="O140" s="26">
        <v>30068</v>
      </c>
      <c r="P140" s="26">
        <v>52000</v>
      </c>
      <c r="Q140" s="26">
        <v>4181244</v>
      </c>
      <c r="R140" s="26">
        <v>61579</v>
      </c>
      <c r="S140" s="26">
        <v>31185</v>
      </c>
      <c r="T140" s="26">
        <v>66052</v>
      </c>
      <c r="U140" s="26">
        <v>310624</v>
      </c>
      <c r="V140" s="26">
        <v>189246</v>
      </c>
      <c r="W140" s="26">
        <v>477</v>
      </c>
      <c r="X140" s="26">
        <v>272</v>
      </c>
      <c r="Y140" s="26">
        <v>231262</v>
      </c>
      <c r="Z140" s="26">
        <v>24551</v>
      </c>
      <c r="AA140" s="26">
        <v>82</v>
      </c>
      <c r="AB140" s="26">
        <v>0</v>
      </c>
      <c r="AC140" s="26">
        <v>0</v>
      </c>
      <c r="AD140" s="26">
        <v>86.0464725469879</v>
      </c>
    </row>
    <row r="141" spans="1:30" x14ac:dyDescent="0.2">
      <c r="A141">
        <f>_xlfn.XLOOKUP(E141,Lookups!$E:$E,Lookups!$F:$F,0)</f>
        <v>0</v>
      </c>
      <c r="B141">
        <v>1</v>
      </c>
      <c r="C141" s="3" t="d">
        <v>2026-07-03</v>
      </c>
      <c r="D141" s="3"/>
      <c r="E141" s="26" t="s">
        <v>318</v>
      </c>
      <c r="F141" s="26" t="s">
        <v>27</v>
      </c>
      <c r="G141" s="26" t="s">
        <v>28</v>
      </c>
      <c r="H141" s="26" t="s">
        <v>62</v>
      </c>
      <c r="I141" s="26">
        <v>24390</v>
      </c>
      <c r="J141" s="26">
        <v>32263</v>
      </c>
      <c r="K141" s="26">
        <v>58539</v>
      </c>
      <c r="L141" s="26">
        <v>97743670</v>
      </c>
      <c r="M141" s="26">
        <v>427418</v>
      </c>
      <c r="N141" s="26">
        <v>1945647</v>
      </c>
      <c r="O141" s="26">
        <v>613359</v>
      </c>
      <c r="P141" s="26" t="s">
        <v>31</v>
      </c>
      <c r="Q141" s="26" t="s">
        <v>31</v>
      </c>
      <c r="R141" s="26" t="s">
        <v>31</v>
      </c>
      <c r="S141" s="26">
        <v>834709</v>
      </c>
      <c r="T141" s="26" t="s">
        <v>31</v>
      </c>
      <c r="U141" s="26" t="s">
        <v>31</v>
      </c>
      <c r="V141" s="26" t="s">
        <v>31</v>
      </c>
      <c r="W141" s="26" t="s">
        <v>31</v>
      </c>
      <c r="X141" s="26" t="s">
        <v>31</v>
      </c>
      <c r="Y141" s="26">
        <v>19702</v>
      </c>
      <c r="Z141" s="26" t="s">
        <v>31</v>
      </c>
      <c r="AA141" s="26" t="s">
        <v>31</v>
      </c>
      <c r="AB141" s="26" t="s">
        <v>31</v>
      </c>
      <c r="AC141" s="26" t="s">
        <v>31</v>
      </c>
      <c r="AD141" s="26" t="s">
        <v>31</v>
      </c>
    </row>
    <row r="142" spans="1:30" x14ac:dyDescent="0.2">
      <c r="A142">
        <f>_xlfn.XLOOKUP(E142,Lookups!$E:$E,Lookups!$F:$F,0)</f>
        <v>0</v>
      </c>
      <c r="B142">
        <v>1</v>
      </c>
      <c r="C142" s="3" t="d">
        <v>2026-07-03</v>
      </c>
      <c r="D142" s="3"/>
      <c r="E142" s="26" t="s">
        <v>127</v>
      </c>
      <c r="F142" s="26" t="s">
        <v>27</v>
      </c>
      <c r="G142" s="26" t="s">
        <v>28</v>
      </c>
      <c r="H142" s="26" t="s">
        <v>44</v>
      </c>
      <c r="I142" s="26">
        <v>24432</v>
      </c>
      <c r="J142" s="26">
        <v>38878</v>
      </c>
      <c r="K142" s="26">
        <v>421743</v>
      </c>
      <c r="L142" s="26">
        <v>14556323</v>
      </c>
      <c r="M142" s="26">
        <v>209075</v>
      </c>
      <c r="N142" s="26">
        <v>178689</v>
      </c>
      <c r="O142" s="26">
        <v>613359</v>
      </c>
      <c r="P142" s="26" t="s">
        <v>31</v>
      </c>
      <c r="Q142" s="26" t="s">
        <v>31</v>
      </c>
      <c r="R142" s="26" t="s">
        <v>31</v>
      </c>
      <c r="S142" s="26">
        <v>20695</v>
      </c>
      <c r="T142" s="26">
        <v>257696</v>
      </c>
      <c r="U142" s="26">
        <v>794174</v>
      </c>
      <c r="V142" s="26">
        <v>165113</v>
      </c>
      <c r="W142" s="26">
        <v>4804</v>
      </c>
      <c r="X142" s="26">
        <v>342</v>
      </c>
      <c r="Y142" s="26">
        <v>55565</v>
      </c>
      <c r="Z142" s="26">
        <v>43630</v>
      </c>
      <c r="AA142" s="26">
        <v>55</v>
      </c>
      <c r="AB142" s="26">
        <v>0</v>
      </c>
      <c r="AC142" s="26">
        <v>0</v>
      </c>
      <c r="AD142" s="26">
        <v>89.776983077638505</v>
      </c>
    </row>
    <row r="143" spans="1:30" x14ac:dyDescent="0.2">
      <c r="A143">
        <f>_xlfn.XLOOKUP(E143,Lookups!$E:$E,Lookups!$F:$F,0)</f>
        <v>0</v>
      </c>
      <c r="B143">
        <v>1</v>
      </c>
      <c r="C143" s="3" t="d">
        <v>2026-07-03</v>
      </c>
      <c r="D143" s="3"/>
      <c r="E143" s="26" t="s">
        <v>181</v>
      </c>
      <c r="F143" s="26" t="s">
        <v>27</v>
      </c>
      <c r="G143" s="26" t="s">
        <v>83</v>
      </c>
      <c r="H143" s="26" t="s">
        <v>72</v>
      </c>
      <c r="I143" s="26">
        <v>24475</v>
      </c>
      <c r="J143" s="26">
        <v>39275</v>
      </c>
      <c r="K143" s="26">
        <v>205053</v>
      </c>
      <c r="L143" s="26">
        <v>45207749</v>
      </c>
      <c r="M143" s="26">
        <v>192117</v>
      </c>
      <c r="N143" s="26">
        <v>187458</v>
      </c>
      <c r="O143" s="26">
        <v>161915</v>
      </c>
      <c r="P143" s="26">
        <v>2920</v>
      </c>
      <c r="Q143" s="26">
        <v>247120</v>
      </c>
      <c r="R143" s="26">
        <v>4574</v>
      </c>
      <c r="S143" s="26">
        <v>16760</v>
      </c>
      <c r="T143" s="26">
        <v>97655</v>
      </c>
      <c r="U143" s="26">
        <v>144887</v>
      </c>
      <c r="V143" s="26">
        <v>197254</v>
      </c>
      <c r="W143" s="26">
        <v>667</v>
      </c>
      <c r="X143" s="26">
        <v>1691</v>
      </c>
      <c r="Y143" s="26">
        <v>255505</v>
      </c>
      <c r="Z143" s="26" t="s">
        <v>31</v>
      </c>
      <c r="AA143" s="26" t="s">
        <v>31</v>
      </c>
      <c r="AB143" s="26" t="s">
        <v>31</v>
      </c>
      <c r="AC143" s="26" t="s">
        <v>31</v>
      </c>
      <c r="AD143" s="26" t="s">
        <v>31</v>
      </c>
    </row>
    <row r="144" spans="1:30" x14ac:dyDescent="0.2">
      <c r="A144">
        <f>_xlfn.XLOOKUP(E144,Lookups!$E:$E,Lookups!$F:$F,0)</f>
        <v>0</v>
      </c>
      <c r="B144">
        <v>1</v>
      </c>
      <c r="C144" s="3" t="d">
        <v>2026-07-03</v>
      </c>
      <c r="D144" s="3"/>
      <c r="E144" s="26" t="s">
        <v>396</v>
      </c>
      <c r="F144" s="26" t="s">
        <v>27</v>
      </c>
      <c r="G144" s="26" t="s">
        <v>28</v>
      </c>
      <c r="H144" s="26" t="s">
        <v>46</v>
      </c>
      <c r="I144" s="26">
        <v>24487</v>
      </c>
      <c r="J144" s="26">
        <v>31504</v>
      </c>
      <c r="K144" s="26">
        <v>33633</v>
      </c>
      <c r="L144" s="26">
        <v>26594620</v>
      </c>
      <c r="M144" s="26">
        <v>751835</v>
      </c>
      <c r="N144" s="26">
        <v>1909636</v>
      </c>
      <c r="O144" s="26">
        <v>613359</v>
      </c>
      <c r="P144" s="26" t="s">
        <v>31</v>
      </c>
      <c r="Q144" s="26" t="s">
        <v>31</v>
      </c>
      <c r="R144" s="26" t="s">
        <v>31</v>
      </c>
      <c r="S144" s="26">
        <v>834709</v>
      </c>
      <c r="T144" s="26" t="s">
        <v>31</v>
      </c>
      <c r="U144" s="26" t="s">
        <v>31</v>
      </c>
      <c r="V144" s="26" t="s">
        <v>31</v>
      </c>
      <c r="W144" s="26">
        <v>54</v>
      </c>
      <c r="X144" s="26" t="s">
        <v>31</v>
      </c>
      <c r="Y144" s="26">
        <v>101079</v>
      </c>
      <c r="Z144" s="26" t="s">
        <v>31</v>
      </c>
      <c r="AA144" s="26" t="s">
        <v>31</v>
      </c>
      <c r="AB144" s="26" t="s">
        <v>31</v>
      </c>
      <c r="AC144" s="26" t="s">
        <v>31</v>
      </c>
      <c r="AD144" s="26" t="s">
        <v>31</v>
      </c>
    </row>
    <row r="145" spans="1:30" x14ac:dyDescent="0.2">
      <c r="A145">
        <f>_xlfn.XLOOKUP(E145,Lookups!$E:$E,Lookups!$F:$F,0)</f>
        <v>0</v>
      </c>
      <c r="B145">
        <v>1</v>
      </c>
      <c r="C145" s="3" t="d">
        <v>2026-07-03</v>
      </c>
      <c r="D145" s="3"/>
      <c r="E145" s="26" t="s">
        <v>214</v>
      </c>
      <c r="F145" s="26" t="s">
        <v>27</v>
      </c>
      <c r="G145" s="26" t="s">
        <v>28</v>
      </c>
      <c r="H145" s="26" t="s">
        <v>138</v>
      </c>
      <c r="I145" s="26">
        <v>24859</v>
      </c>
      <c r="J145" s="26">
        <v>33200</v>
      </c>
      <c r="K145" s="26">
        <v>148871</v>
      </c>
      <c r="L145" s="26">
        <v>55955184</v>
      </c>
      <c r="M145" s="26">
        <v>368117</v>
      </c>
      <c r="N145" s="26">
        <v>2308891</v>
      </c>
      <c r="O145" s="26">
        <v>32891</v>
      </c>
      <c r="P145" s="26">
        <v>52900</v>
      </c>
      <c r="Q145" s="26">
        <v>37117960</v>
      </c>
      <c r="R145" s="26">
        <v>308159</v>
      </c>
      <c r="S145" s="26">
        <v>29318</v>
      </c>
      <c r="T145" s="26" t="s">
        <v>31</v>
      </c>
      <c r="U145" s="26">
        <v>226229</v>
      </c>
      <c r="V145" s="26">
        <v>681481</v>
      </c>
      <c r="W145" s="26">
        <v>21985</v>
      </c>
      <c r="X145" s="26">
        <v>34216</v>
      </c>
      <c r="Y145" s="26">
        <v>56287</v>
      </c>
      <c r="Z145" s="26">
        <v>1443</v>
      </c>
      <c r="AA145" s="26">
        <v>249</v>
      </c>
      <c r="AB145" s="26">
        <v>18</v>
      </c>
      <c r="AC145" s="26">
        <v>709</v>
      </c>
      <c r="AD145" s="26">
        <v>5941.4831916925896</v>
      </c>
    </row>
    <row r="146" spans="1:30" x14ac:dyDescent="0.2">
      <c r="A146">
        <f>_xlfn.XLOOKUP(E146,Lookups!$E:$E,Lookups!$F:$F,0)</f>
        <v>0</v>
      </c>
      <c r="B146">
        <v>1</v>
      </c>
      <c r="C146" s="3" t="d">
        <v>2026-07-03</v>
      </c>
      <c r="D146" s="3"/>
      <c r="E146" s="26" t="s">
        <v>474</v>
      </c>
      <c r="F146" s="26" t="s">
        <v>475</v>
      </c>
      <c r="G146" s="26" t="s">
        <v>36</v>
      </c>
      <c r="H146" s="26" t="s">
        <v>46</v>
      </c>
      <c r="I146" s="26">
        <v>24975</v>
      </c>
      <c r="J146" s="26">
        <v>41735</v>
      </c>
      <c r="K146" s="26">
        <v>16411</v>
      </c>
      <c r="L146" s="26">
        <v>63786908</v>
      </c>
      <c r="M146" s="26">
        <v>207005</v>
      </c>
      <c r="N146" s="26">
        <v>1303361</v>
      </c>
      <c r="O146" s="26">
        <v>30110</v>
      </c>
      <c r="P146" s="26">
        <v>193000</v>
      </c>
      <c r="Q146" s="26">
        <v>43012549</v>
      </c>
      <c r="R146" s="26">
        <v>335029</v>
      </c>
      <c r="S146" s="26">
        <v>82690</v>
      </c>
      <c r="T146" s="26">
        <v>16647</v>
      </c>
      <c r="U146" s="26">
        <v>60188</v>
      </c>
      <c r="V146" s="26">
        <v>47367</v>
      </c>
      <c r="W146" s="26">
        <v>1674</v>
      </c>
      <c r="X146" s="26">
        <v>5633</v>
      </c>
      <c r="Y146" s="26">
        <v>112265</v>
      </c>
      <c r="Z146" s="26" t="s">
        <v>31</v>
      </c>
      <c r="AA146" s="26" t="s">
        <v>31</v>
      </c>
      <c r="AB146" s="26" t="s">
        <v>31</v>
      </c>
      <c r="AC146" s="26" t="s">
        <v>31</v>
      </c>
      <c r="AD146" s="26" t="s">
        <v>31</v>
      </c>
    </row>
    <row r="147" spans="1:30" x14ac:dyDescent="0.2">
      <c r="A147">
        <f>_xlfn.XLOOKUP(E147,Lookups!$E:$E,Lookups!$F:$F,0)</f>
        <v>0</v>
      </c>
      <c r="B147">
        <v>1</v>
      </c>
      <c r="C147" s="3" t="d">
        <v>2026-07-03</v>
      </c>
      <c r="D147" s="3"/>
      <c r="E147" s="26" t="s">
        <v>182</v>
      </c>
      <c r="F147" s="26" t="s">
        <v>27</v>
      </c>
      <c r="G147" s="26" t="s">
        <v>28</v>
      </c>
      <c r="H147" s="26" t="s">
        <v>44</v>
      </c>
      <c r="I147" s="26">
        <v>25161</v>
      </c>
      <c r="J147" s="26">
        <v>40612</v>
      </c>
      <c r="K147" s="26">
        <v>204158</v>
      </c>
      <c r="L147" s="26">
        <v>92704891</v>
      </c>
      <c r="M147" s="26">
        <v>163195</v>
      </c>
      <c r="N147" s="26">
        <v>822655</v>
      </c>
      <c r="O147" s="26">
        <v>25206</v>
      </c>
      <c r="P147" s="26" t="s">
        <v>31</v>
      </c>
      <c r="Q147" s="26">
        <v>74921898</v>
      </c>
      <c r="R147" s="26">
        <v>441587</v>
      </c>
      <c r="S147" s="26">
        <v>47627</v>
      </c>
      <c r="T147" s="26">
        <v>1099</v>
      </c>
      <c r="U147" s="26">
        <v>409055</v>
      </c>
      <c r="V147" s="26">
        <v>24393</v>
      </c>
      <c r="W147" s="26">
        <v>19962</v>
      </c>
      <c r="X147" s="26" t="s">
        <v>31</v>
      </c>
      <c r="Y147" s="26">
        <v>389873</v>
      </c>
      <c r="Z147" s="26">
        <v>53273</v>
      </c>
      <c r="AA147" s="26">
        <v>45</v>
      </c>
      <c r="AB147" s="26">
        <v>0</v>
      </c>
      <c r="AC147" s="26">
        <v>0</v>
      </c>
      <c r="AD147" s="26">
        <v>66.405190771740607</v>
      </c>
    </row>
    <row r="148" spans="1:30" x14ac:dyDescent="0.2">
      <c r="A148">
        <f>_xlfn.XLOOKUP(E148,Lookups!$E:$E,Lookups!$F:$F,0)</f>
        <v>0</v>
      </c>
      <c r="B148">
        <v>1</v>
      </c>
      <c r="C148" s="3" t="d">
        <v>2026-07-03</v>
      </c>
      <c r="D148" s="3"/>
      <c r="E148" s="26" t="s">
        <v>407</v>
      </c>
      <c r="F148" s="26" t="s">
        <v>408</v>
      </c>
      <c r="G148" s="26" t="s">
        <v>28</v>
      </c>
      <c r="H148" s="26" t="s">
        <v>37</v>
      </c>
      <c r="I148" s="26">
        <v>25206</v>
      </c>
      <c r="J148" s="26">
        <v>14197</v>
      </c>
      <c r="K148" s="26">
        <v>29912</v>
      </c>
      <c r="L148" s="26">
        <v>87659786</v>
      </c>
      <c r="M148" s="26">
        <v>1354887</v>
      </c>
      <c r="N148" s="26">
        <v>2939871</v>
      </c>
      <c r="O148" s="26">
        <v>60021</v>
      </c>
      <c r="P148" s="26">
        <v>11600</v>
      </c>
      <c r="Q148" s="26">
        <v>2698612</v>
      </c>
      <c r="R148" s="26">
        <v>48071</v>
      </c>
      <c r="S148" s="26">
        <v>43007</v>
      </c>
      <c r="T148" s="26">
        <v>66073</v>
      </c>
      <c r="U148" s="26">
        <v>114305</v>
      </c>
      <c r="V148" s="26" t="s">
        <v>31</v>
      </c>
      <c r="W148" s="26">
        <v>916</v>
      </c>
      <c r="X148" s="26">
        <v>16979</v>
      </c>
      <c r="Y148" s="26">
        <v>35593</v>
      </c>
      <c r="Z148" s="26">
        <v>171</v>
      </c>
      <c r="AA148" s="26">
        <v>29</v>
      </c>
      <c r="AB148" s="26">
        <v>18</v>
      </c>
      <c r="AC148" s="26">
        <v>1885</v>
      </c>
      <c r="AD148" s="26">
        <v>27461.340434848898</v>
      </c>
    </row>
    <row r="149" spans="1:30" x14ac:dyDescent="0.2">
      <c r="A149">
        <f>_xlfn.XLOOKUP(E149,Lookups!$E:$E,Lookups!$F:$F,0)</f>
        <v>0</v>
      </c>
      <c r="B149">
        <v>1</v>
      </c>
      <c r="C149" s="3" t="d">
        <v>2026-07-03</v>
      </c>
      <c r="D149" s="3"/>
      <c r="E149" s="26" t="s">
        <v>145</v>
      </c>
      <c r="F149" s="26" t="s">
        <v>27</v>
      </c>
      <c r="G149" s="26" t="s">
        <v>28</v>
      </c>
      <c r="H149" s="26" t="s">
        <v>53</v>
      </c>
      <c r="I149" s="26">
        <v>25326</v>
      </c>
      <c r="J149" s="26">
        <v>23110</v>
      </c>
      <c r="K149" s="26">
        <v>344059</v>
      </c>
      <c r="L149" s="26">
        <v>166285352</v>
      </c>
      <c r="M149" s="26">
        <v>456255</v>
      </c>
      <c r="N149" s="26">
        <v>3311936</v>
      </c>
      <c r="O149" s="26">
        <v>613359</v>
      </c>
      <c r="P149" s="26" t="s">
        <v>31</v>
      </c>
      <c r="Q149" s="26" t="s">
        <v>31</v>
      </c>
      <c r="R149" s="26" t="s">
        <v>31</v>
      </c>
      <c r="S149" s="26">
        <v>34494</v>
      </c>
      <c r="T149" s="26">
        <v>217857</v>
      </c>
      <c r="U149" s="26" t="s">
        <v>31</v>
      </c>
      <c r="V149" s="26" t="s">
        <v>31</v>
      </c>
      <c r="W149" s="26">
        <v>1460</v>
      </c>
      <c r="X149" s="26" t="s">
        <v>31</v>
      </c>
      <c r="Y149" s="26">
        <v>102921</v>
      </c>
      <c r="Z149" s="26">
        <v>7113</v>
      </c>
      <c r="AA149" s="26">
        <v>240</v>
      </c>
      <c r="AB149" s="26">
        <v>0</v>
      </c>
      <c r="AC149" s="26">
        <v>0</v>
      </c>
      <c r="AD149" s="26">
        <v>318.07409108292399</v>
      </c>
    </row>
    <row r="150" spans="1:30" x14ac:dyDescent="0.2">
      <c r="A150">
        <f>_xlfn.XLOOKUP(E150,Lookups!$E:$E,Lookups!$F:$F,0)</f>
        <v>0</v>
      </c>
      <c r="B150">
        <v>1</v>
      </c>
      <c r="C150" s="3" t="d">
        <v>2026-07-03</v>
      </c>
      <c r="D150" s="3"/>
      <c r="E150" s="26" t="s">
        <v>393</v>
      </c>
      <c r="F150" s="26" t="s">
        <v>27</v>
      </c>
      <c r="G150" s="26" t="s">
        <v>28</v>
      </c>
      <c r="H150" s="26" t="s">
        <v>37</v>
      </c>
      <c r="I150" s="26">
        <v>25361</v>
      </c>
      <c r="J150" s="26">
        <v>31679</v>
      </c>
      <c r="K150" s="26">
        <v>33804</v>
      </c>
      <c r="L150" s="26">
        <v>29732434</v>
      </c>
      <c r="M150" s="26">
        <v>875573</v>
      </c>
      <c r="N150" s="26">
        <v>2316151</v>
      </c>
      <c r="O150" s="26">
        <v>613359</v>
      </c>
      <c r="P150" s="26" t="s">
        <v>31</v>
      </c>
      <c r="Q150" s="26" t="s">
        <v>31</v>
      </c>
      <c r="R150" s="26" t="s">
        <v>31</v>
      </c>
      <c r="S150" s="26">
        <v>8223</v>
      </c>
      <c r="T150" s="26">
        <v>260244</v>
      </c>
      <c r="U150" s="26">
        <v>610508</v>
      </c>
      <c r="V150" s="26" t="s">
        <v>31</v>
      </c>
      <c r="W150" s="26">
        <v>1949</v>
      </c>
      <c r="X150" s="26" t="s">
        <v>31</v>
      </c>
      <c r="Y150" s="26">
        <v>244085</v>
      </c>
      <c r="Z150" s="26">
        <v>30927</v>
      </c>
      <c r="AA150" s="26">
        <v>82</v>
      </c>
      <c r="AB150" s="26">
        <v>0</v>
      </c>
      <c r="AC150" s="26">
        <v>0</v>
      </c>
      <c r="AD150" s="26">
        <v>96.3563582231114</v>
      </c>
    </row>
    <row r="151" spans="1:30" x14ac:dyDescent="0.2">
      <c r="A151">
        <f>_xlfn.XLOOKUP(E151,Lookups!$E:$E,Lookups!$F:$F,0)</f>
        <v>0</v>
      </c>
      <c r="B151">
        <v>1</v>
      </c>
      <c r="C151" s="3" t="d">
        <v>2026-07-03</v>
      </c>
      <c r="D151" s="3"/>
      <c r="E151" s="26" t="s">
        <v>170</v>
      </c>
      <c r="F151" s="26" t="s">
        <v>27</v>
      </c>
      <c r="G151" s="26" t="s">
        <v>77</v>
      </c>
      <c r="H151" s="26" t="s">
        <v>37</v>
      </c>
      <c r="I151" s="26">
        <v>25596</v>
      </c>
      <c r="J151" s="26">
        <v>34751</v>
      </c>
      <c r="K151" s="26">
        <v>225289</v>
      </c>
      <c r="L151" s="26">
        <v>49268421</v>
      </c>
      <c r="M151" s="26">
        <v>253474</v>
      </c>
      <c r="N151" s="26">
        <v>651227</v>
      </c>
      <c r="O151" s="26">
        <v>28402</v>
      </c>
      <c r="P151" s="26">
        <v>62100</v>
      </c>
      <c r="Q151" s="26">
        <v>43726709</v>
      </c>
      <c r="R151" s="26">
        <v>344242</v>
      </c>
      <c r="S151" s="26">
        <v>36013</v>
      </c>
      <c r="T151" s="26" t="s">
        <v>31</v>
      </c>
      <c r="U151" s="26">
        <v>245808</v>
      </c>
      <c r="V151" s="26">
        <v>411236</v>
      </c>
      <c r="W151" s="26">
        <v>34069</v>
      </c>
      <c r="X151" s="26">
        <v>8147</v>
      </c>
      <c r="Y151" s="26">
        <v>40902</v>
      </c>
      <c r="Z151" s="26">
        <v>62418</v>
      </c>
      <c r="AA151" s="26">
        <v>62</v>
      </c>
      <c r="AB151" s="26">
        <v>0</v>
      </c>
      <c r="AC151" s="26">
        <v>0</v>
      </c>
      <c r="AD151" s="26">
        <v>34.641415193921901</v>
      </c>
    </row>
    <row r="152" spans="1:30" x14ac:dyDescent="0.2">
      <c r="A152">
        <f>_xlfn.XLOOKUP(E152,Lookups!$E:$E,Lookups!$F:$F,0)</f>
        <v>0</v>
      </c>
      <c r="B152">
        <v>1</v>
      </c>
      <c r="C152" s="3" t="d">
        <v>2026-07-03</v>
      </c>
      <c r="D152" s="3"/>
      <c r="E152" s="26" t="s">
        <v>268</v>
      </c>
      <c r="F152" s="26" t="s">
        <v>27</v>
      </c>
      <c r="G152" s="26" t="s">
        <v>28</v>
      </c>
      <c r="H152" s="26" t="s">
        <v>31</v>
      </c>
      <c r="I152" s="26">
        <v>25616</v>
      </c>
      <c r="J152" s="26">
        <v>29748</v>
      </c>
      <c r="K152" s="26">
        <v>92451</v>
      </c>
      <c r="L152" s="26">
        <v>21174793</v>
      </c>
      <c r="M152" s="26">
        <v>747530</v>
      </c>
      <c r="N152" s="26">
        <v>3489135</v>
      </c>
      <c r="O152" s="26">
        <v>32115</v>
      </c>
      <c r="P152" s="26">
        <v>33500</v>
      </c>
      <c r="Q152" s="26">
        <v>15604866</v>
      </c>
      <c r="R152" s="26">
        <v>71184</v>
      </c>
      <c r="S152" s="26">
        <v>21467</v>
      </c>
      <c r="T152" s="26" t="s">
        <v>31</v>
      </c>
      <c r="U152" s="26">
        <v>153721</v>
      </c>
      <c r="V152" s="26">
        <v>261804</v>
      </c>
      <c r="W152" s="26">
        <v>106</v>
      </c>
      <c r="X152" s="26">
        <v>435</v>
      </c>
      <c r="Y152" s="26">
        <v>204797</v>
      </c>
      <c r="Z152" s="26">
        <v>26512</v>
      </c>
      <c r="AA152" s="26">
        <v>53</v>
      </c>
      <c r="AB152" s="26">
        <v>0</v>
      </c>
      <c r="AC152" s="26">
        <v>0</v>
      </c>
      <c r="AD152" s="26">
        <v>43.9716238509506</v>
      </c>
    </row>
    <row r="153" spans="1:30" x14ac:dyDescent="0.2">
      <c r="A153">
        <f>_xlfn.XLOOKUP(E153,Lookups!$E:$E,Lookups!$F:$F,0)</f>
        <v>0</v>
      </c>
      <c r="B153">
        <v>1</v>
      </c>
      <c r="C153" s="3" t="d">
        <v>2026-07-03</v>
      </c>
      <c r="D153" s="3"/>
      <c r="E153" s="26" t="s">
        <v>172</v>
      </c>
      <c r="F153" s="26" t="s">
        <v>27</v>
      </c>
      <c r="G153" s="26" t="s">
        <v>28</v>
      </c>
      <c r="H153" s="26" t="s">
        <v>46</v>
      </c>
      <c r="I153" s="26">
        <v>25624</v>
      </c>
      <c r="J153" s="26">
        <v>34193</v>
      </c>
      <c r="K153" s="26">
        <v>220799</v>
      </c>
      <c r="L153" s="26">
        <v>65234975</v>
      </c>
      <c r="M153" s="26">
        <v>286565</v>
      </c>
      <c r="N153" s="26">
        <v>516291</v>
      </c>
      <c r="O153" s="26">
        <v>15715</v>
      </c>
      <c r="P153" s="26">
        <v>144000</v>
      </c>
      <c r="Q153" s="26">
        <v>63681516</v>
      </c>
      <c r="R153" s="26">
        <v>35377</v>
      </c>
      <c r="S153" s="26">
        <v>67134</v>
      </c>
      <c r="T153" s="26">
        <v>43536</v>
      </c>
      <c r="U153" s="26">
        <v>7357</v>
      </c>
      <c r="V153" s="26">
        <v>262633</v>
      </c>
      <c r="W153" s="26">
        <v>608</v>
      </c>
      <c r="X153" s="26" t="s">
        <v>31</v>
      </c>
      <c r="Y153" s="26">
        <v>31672</v>
      </c>
      <c r="Z153" s="26">
        <v>47471</v>
      </c>
      <c r="AA153" s="26">
        <v>61</v>
      </c>
      <c r="AB153" s="26">
        <v>0</v>
      </c>
      <c r="AC153" s="26">
        <v>0</v>
      </c>
      <c r="AD153" s="26">
        <v>44.198688806417401</v>
      </c>
    </row>
    <row r="154" spans="1:30" x14ac:dyDescent="0.2">
      <c r="A154">
        <f>_xlfn.XLOOKUP(E154,Lookups!$E:$E,Lookups!$F:$F,0)</f>
        <v>0</v>
      </c>
      <c r="B154">
        <v>1</v>
      </c>
      <c r="C154" s="3" t="d">
        <v>2026-07-03</v>
      </c>
      <c r="D154" s="3"/>
      <c r="E154" s="26" t="s">
        <v>201</v>
      </c>
      <c r="F154" s="26" t="s">
        <v>27</v>
      </c>
      <c r="G154" s="26" t="s">
        <v>28</v>
      </c>
      <c r="H154" s="26" t="s">
        <v>31</v>
      </c>
      <c r="I154" s="26">
        <v>25886</v>
      </c>
      <c r="J154" s="26">
        <v>53885</v>
      </c>
      <c r="K154" s="26">
        <v>163771</v>
      </c>
      <c r="L154" s="26">
        <v>37913173</v>
      </c>
      <c r="M154" s="26">
        <v>202006</v>
      </c>
      <c r="N154" s="26">
        <v>154417</v>
      </c>
      <c r="O154" s="26">
        <v>19993</v>
      </c>
      <c r="P154" s="26">
        <v>171000</v>
      </c>
      <c r="Q154" s="26">
        <v>43825371</v>
      </c>
      <c r="R154" s="26">
        <v>239738</v>
      </c>
      <c r="S154" s="26">
        <v>21906</v>
      </c>
      <c r="T154" s="26">
        <v>719229</v>
      </c>
      <c r="U154" s="26">
        <v>219074</v>
      </c>
      <c r="V154" s="26">
        <v>1087314</v>
      </c>
      <c r="W154" s="26">
        <v>4483</v>
      </c>
      <c r="X154" s="26" t="s">
        <v>31</v>
      </c>
      <c r="Y154" s="26">
        <v>92410</v>
      </c>
      <c r="Z154" s="26" t="s">
        <v>31</v>
      </c>
      <c r="AA154" s="26" t="s">
        <v>31</v>
      </c>
      <c r="AB154" s="26" t="s">
        <v>31</v>
      </c>
      <c r="AC154" s="26" t="s">
        <v>31</v>
      </c>
      <c r="AD154" s="26" t="s">
        <v>31</v>
      </c>
    </row>
    <row r="155" spans="1:30" x14ac:dyDescent="0.2">
      <c r="A155">
        <f>_xlfn.XLOOKUP(E155,Lookups!$E:$E,Lookups!$F:$F,0)</f>
        <v>0</v>
      </c>
      <c r="B155">
        <v>1</v>
      </c>
      <c r="C155" s="3" t="d">
        <v>2026-07-03</v>
      </c>
      <c r="D155" s="3"/>
      <c r="E155" s="26" t="s">
        <v>421</v>
      </c>
      <c r="F155" s="26" t="s">
        <v>35</v>
      </c>
      <c r="G155" s="26" t="s">
        <v>28</v>
      </c>
      <c r="H155" s="26" t="s">
        <v>422</v>
      </c>
      <c r="I155" s="26">
        <v>25956</v>
      </c>
      <c r="J155" s="26">
        <v>45512</v>
      </c>
      <c r="K155" s="26">
        <v>25961</v>
      </c>
      <c r="L155" s="26">
        <v>91145019</v>
      </c>
      <c r="M155" s="26">
        <v>271323</v>
      </c>
      <c r="N155" s="26">
        <v>1226798</v>
      </c>
      <c r="O155" s="26">
        <v>18031</v>
      </c>
      <c r="P155" s="26">
        <v>303000</v>
      </c>
      <c r="Q155" s="26">
        <v>149278465</v>
      </c>
      <c r="R155" s="26">
        <v>1462758</v>
      </c>
      <c r="S155" s="26">
        <v>19602</v>
      </c>
      <c r="T155" s="26">
        <v>241281</v>
      </c>
      <c r="U155" s="26">
        <v>1657084</v>
      </c>
      <c r="V155" s="26">
        <v>1662</v>
      </c>
      <c r="W155" s="26">
        <v>2145</v>
      </c>
      <c r="X155" s="26" t="s">
        <v>31</v>
      </c>
      <c r="Y155" s="26">
        <v>35741</v>
      </c>
      <c r="Z155" s="26" t="s">
        <v>31</v>
      </c>
      <c r="AA155" s="26" t="s">
        <v>31</v>
      </c>
      <c r="AB155" s="26" t="s">
        <v>31</v>
      </c>
      <c r="AC155" s="26" t="s">
        <v>31</v>
      </c>
      <c r="AD155" s="26" t="s">
        <v>31</v>
      </c>
    </row>
    <row r="156" spans="1:30" x14ac:dyDescent="0.2">
      <c r="A156">
        <f>_xlfn.XLOOKUP(E156,Lookups!$E:$E,Lookups!$F:$F,0)</f>
        <v>0</v>
      </c>
      <c r="B156">
        <v>1</v>
      </c>
      <c r="C156" s="3" t="d">
        <v>2026-07-03</v>
      </c>
      <c r="D156" s="3"/>
      <c r="E156" s="26" t="s">
        <v>135</v>
      </c>
      <c r="F156" s="26" t="s">
        <v>35</v>
      </c>
      <c r="G156" s="26" t="s">
        <v>36</v>
      </c>
      <c r="H156" s="26" t="s">
        <v>31</v>
      </c>
      <c r="I156" s="26">
        <v>26138</v>
      </c>
      <c r="J156" s="26">
        <v>10699</v>
      </c>
      <c r="K156" s="26">
        <v>395899</v>
      </c>
      <c r="L156" s="26">
        <v>157029128</v>
      </c>
      <c r="M156" s="26">
        <v>950001</v>
      </c>
      <c r="N156" s="26">
        <v>931686</v>
      </c>
      <c r="O156" s="26">
        <v>613359</v>
      </c>
      <c r="P156" s="26" t="s">
        <v>31</v>
      </c>
      <c r="Q156" s="26" t="s">
        <v>31</v>
      </c>
      <c r="R156" s="26" t="s">
        <v>31</v>
      </c>
      <c r="S156" s="26">
        <v>748228</v>
      </c>
      <c r="T156" s="26" t="s">
        <v>31</v>
      </c>
      <c r="U156" s="26">
        <v>312</v>
      </c>
      <c r="V156" s="26" t="s">
        <v>31</v>
      </c>
      <c r="W156" s="26">
        <v>179</v>
      </c>
      <c r="X156" s="26">
        <v>52</v>
      </c>
      <c r="Y156" s="26">
        <v>62896</v>
      </c>
      <c r="Z156" s="26" t="s">
        <v>31</v>
      </c>
      <c r="AA156" s="26" t="s">
        <v>31</v>
      </c>
      <c r="AB156" s="26" t="s">
        <v>31</v>
      </c>
      <c r="AC156" s="26" t="s">
        <v>31</v>
      </c>
      <c r="AD156" s="26" t="s">
        <v>31</v>
      </c>
    </row>
    <row r="157" spans="1:30" x14ac:dyDescent="0.2">
      <c r="A157">
        <f>_xlfn.XLOOKUP(E157,Lookups!$E:$E,Lookups!$F:$F,0)</f>
        <v>0</v>
      </c>
      <c r="B157">
        <v>1</v>
      </c>
      <c r="C157" s="3" t="d">
        <v>2026-07-03</v>
      </c>
      <c r="D157" s="3"/>
      <c r="E157" s="26" t="s">
        <v>570</v>
      </c>
      <c r="F157" s="26" t="s">
        <v>27</v>
      </c>
      <c r="G157" s="26" t="s">
        <v>28</v>
      </c>
      <c r="H157" s="26" t="s">
        <v>31</v>
      </c>
      <c r="I157" s="26">
        <v>26495</v>
      </c>
      <c r="J157" s="26">
        <v>183626</v>
      </c>
      <c r="K157" s="26">
        <v>5639</v>
      </c>
      <c r="L157" s="26">
        <v>7689219</v>
      </c>
      <c r="M157" s="26">
        <v>49944</v>
      </c>
      <c r="N157" s="26">
        <v>149727</v>
      </c>
      <c r="O157" s="26">
        <v>57952</v>
      </c>
      <c r="P157" s="26">
        <v>87200</v>
      </c>
      <c r="Q157" s="26">
        <v>6200759</v>
      </c>
      <c r="R157" s="26">
        <v>77837</v>
      </c>
      <c r="S157" s="26">
        <v>6443</v>
      </c>
      <c r="T157" s="26">
        <v>883093</v>
      </c>
      <c r="U157" s="26">
        <v>519651</v>
      </c>
      <c r="V157" s="26">
        <v>1868768</v>
      </c>
      <c r="W157" s="26">
        <v>183</v>
      </c>
      <c r="X157" s="26" t="s">
        <v>31</v>
      </c>
      <c r="Y157" s="26">
        <v>441348</v>
      </c>
      <c r="Z157" s="26">
        <v>82355</v>
      </c>
      <c r="AA157" s="26">
        <v>18</v>
      </c>
      <c r="AB157" s="26">
        <v>0</v>
      </c>
      <c r="AC157" s="26">
        <v>0</v>
      </c>
      <c r="AD157" s="26">
        <v>14.775246807322899</v>
      </c>
    </row>
    <row r="158" spans="1:30" x14ac:dyDescent="0.2">
      <c r="A158">
        <f>_xlfn.XLOOKUP(E158,Lookups!$E:$E,Lookups!$F:$F,0)</f>
        <v>0</v>
      </c>
      <c r="B158">
        <v>1</v>
      </c>
      <c r="C158" s="3" t="d">
        <v>2026-07-03</v>
      </c>
      <c r="D158" s="3"/>
      <c r="E158" s="26" t="s">
        <v>189</v>
      </c>
      <c r="F158" s="26" t="s">
        <v>27</v>
      </c>
      <c r="G158" s="26" t="s">
        <v>36</v>
      </c>
      <c r="H158" s="26" t="s">
        <v>62</v>
      </c>
      <c r="I158" s="26">
        <v>26683</v>
      </c>
      <c r="J158" s="26">
        <v>26242</v>
      </c>
      <c r="K158" s="26">
        <v>189019</v>
      </c>
      <c r="L158" s="26">
        <v>69641483</v>
      </c>
      <c r="M158" s="26">
        <v>464586</v>
      </c>
      <c r="N158" s="26">
        <v>1864575</v>
      </c>
      <c r="O158" s="26">
        <v>102990</v>
      </c>
      <c r="P158" s="26">
        <v>5910</v>
      </c>
      <c r="Q158" s="26">
        <v>35929</v>
      </c>
      <c r="R158" s="26">
        <v>461</v>
      </c>
      <c r="S158" s="26">
        <v>22739</v>
      </c>
      <c r="T158" s="26">
        <v>268757</v>
      </c>
      <c r="U158" s="26">
        <v>60864</v>
      </c>
      <c r="V158" s="26">
        <v>361482</v>
      </c>
      <c r="W158" s="26">
        <v>3634</v>
      </c>
      <c r="X158" s="26" t="s">
        <v>31</v>
      </c>
      <c r="Y158" s="26">
        <v>61027</v>
      </c>
      <c r="Z158" s="26">
        <v>25874</v>
      </c>
      <c r="AA158" s="26">
        <v>78</v>
      </c>
      <c r="AB158" s="26">
        <v>2</v>
      </c>
      <c r="AC158" s="26">
        <v>9</v>
      </c>
      <c r="AD158" s="26">
        <v>109.904572264175</v>
      </c>
    </row>
    <row r="159" spans="1:30" x14ac:dyDescent="0.2">
      <c r="A159">
        <f>_xlfn.XLOOKUP(E159,Lookups!$E:$E,Lookups!$F:$F,0)</f>
        <v>0</v>
      </c>
      <c r="B159">
        <v>1</v>
      </c>
      <c r="C159" s="3" t="d">
        <v>2026-07-03</v>
      </c>
      <c r="D159" s="3"/>
      <c r="E159" s="26" t="s">
        <v>173</v>
      </c>
      <c r="F159" s="26" t="s">
        <v>27</v>
      </c>
      <c r="G159" s="26" t="s">
        <v>28</v>
      </c>
      <c r="H159" s="26" t="s">
        <v>138</v>
      </c>
      <c r="I159" s="26">
        <v>26808</v>
      </c>
      <c r="J159" s="26">
        <v>30972</v>
      </c>
      <c r="K159" s="26">
        <v>218975</v>
      </c>
      <c r="L159" s="26">
        <v>59213838</v>
      </c>
      <c r="M159" s="26">
        <v>370679</v>
      </c>
      <c r="N159" s="26">
        <v>1842384</v>
      </c>
      <c r="O159" s="26">
        <v>31399</v>
      </c>
      <c r="P159" s="26">
        <v>67700</v>
      </c>
      <c r="Q159" s="26">
        <v>36638915</v>
      </c>
      <c r="R159" s="26">
        <v>272611</v>
      </c>
      <c r="S159" s="26">
        <v>61326</v>
      </c>
      <c r="T159" s="26" t="s">
        <v>31</v>
      </c>
      <c r="U159" s="26">
        <v>103390</v>
      </c>
      <c r="V159" s="26">
        <v>71003</v>
      </c>
      <c r="W159" s="26">
        <v>26087</v>
      </c>
      <c r="X159" s="26">
        <v>25116</v>
      </c>
      <c r="Y159" s="26">
        <v>29100</v>
      </c>
      <c r="Z159" s="26">
        <v>3493</v>
      </c>
      <c r="AA159" s="26">
        <v>94</v>
      </c>
      <c r="AB159" s="26">
        <v>2</v>
      </c>
      <c r="AC159" s="26">
        <v>56</v>
      </c>
      <c r="AD159" s="26">
        <v>873.55801458274595</v>
      </c>
    </row>
    <row r="160" spans="1:30" x14ac:dyDescent="0.2">
      <c r="A160">
        <f>_xlfn.XLOOKUP(E160,Lookups!$E:$E,Lookups!$F:$F,0)</f>
        <v>0</v>
      </c>
      <c r="B160">
        <v>1</v>
      </c>
      <c r="C160" s="3" t="d">
        <v>2026-07-03</v>
      </c>
      <c r="D160" s="3"/>
      <c r="E160" s="26" t="s">
        <v>239</v>
      </c>
      <c r="F160" s="26" t="s">
        <v>27</v>
      </c>
      <c r="G160" s="26" t="s">
        <v>28</v>
      </c>
      <c r="H160" s="26" t="s">
        <v>50</v>
      </c>
      <c r="I160" s="26">
        <v>27369</v>
      </c>
      <c r="J160" s="26">
        <v>21432</v>
      </c>
      <c r="K160" s="26">
        <v>119067</v>
      </c>
      <c r="L160" s="26">
        <v>204536895</v>
      </c>
      <c r="M160" s="26">
        <v>628305</v>
      </c>
      <c r="N160" s="26">
        <v>5284351</v>
      </c>
      <c r="O160" s="26">
        <v>613359</v>
      </c>
      <c r="P160" s="26" t="s">
        <v>31</v>
      </c>
      <c r="Q160" s="26" t="s">
        <v>31</v>
      </c>
      <c r="R160" s="26" t="s">
        <v>31</v>
      </c>
      <c r="S160" s="26">
        <v>61274</v>
      </c>
      <c r="T160" s="26">
        <v>4364</v>
      </c>
      <c r="U160" s="26">
        <v>284030</v>
      </c>
      <c r="V160" s="26">
        <v>493</v>
      </c>
      <c r="W160" s="26">
        <v>2156</v>
      </c>
      <c r="X160" s="26" t="s">
        <v>31</v>
      </c>
      <c r="Y160" s="26">
        <v>92788</v>
      </c>
      <c r="Z160" s="26">
        <v>16016</v>
      </c>
      <c r="AA160" s="26">
        <v>123</v>
      </c>
      <c r="AB160" s="26">
        <v>0</v>
      </c>
      <c r="AC160" s="26">
        <v>0</v>
      </c>
      <c r="AD160" s="26">
        <v>144.28249138809301</v>
      </c>
    </row>
    <row r="161" spans="1:30" x14ac:dyDescent="0.2">
      <c r="A161">
        <f>_xlfn.XLOOKUP(E161,Lookups!$E:$E,Lookups!$F:$F,0)</f>
        <v>0</v>
      </c>
      <c r="B161">
        <v>1</v>
      </c>
      <c r="C161" s="3" t="d">
        <v>2026-07-03</v>
      </c>
      <c r="D161" s="3"/>
      <c r="E161" s="26" t="s">
        <v>128</v>
      </c>
      <c r="F161" s="26" t="s">
        <v>27</v>
      </c>
      <c r="G161" s="26" t="s">
        <v>28</v>
      </c>
      <c r="H161" s="26" t="s">
        <v>33</v>
      </c>
      <c r="I161" s="26">
        <v>27519</v>
      </c>
      <c r="J161" s="26">
        <v>30190</v>
      </c>
      <c r="K161" s="26">
        <v>419475</v>
      </c>
      <c r="L161" s="26">
        <v>68801048</v>
      </c>
      <c r="M161" s="26">
        <v>242644</v>
      </c>
      <c r="N161" s="26">
        <v>766107</v>
      </c>
      <c r="O161" s="26">
        <v>34507</v>
      </c>
      <c r="P161" s="26">
        <v>53600</v>
      </c>
      <c r="Q161" s="26">
        <v>12046369</v>
      </c>
      <c r="R161" s="26">
        <v>74032</v>
      </c>
      <c r="S161" s="26">
        <v>58372</v>
      </c>
      <c r="T161" s="26">
        <v>10837</v>
      </c>
      <c r="U161" s="26">
        <v>193599</v>
      </c>
      <c r="V161" s="26">
        <v>96406</v>
      </c>
      <c r="W161" s="26">
        <v>1586</v>
      </c>
      <c r="X161" s="26" t="s">
        <v>31</v>
      </c>
      <c r="Y161" s="26">
        <v>123158</v>
      </c>
      <c r="Z161" s="26">
        <v>11459</v>
      </c>
      <c r="AA161" s="26">
        <v>174</v>
      </c>
      <c r="AB161" s="26">
        <v>0</v>
      </c>
      <c r="AC161" s="26">
        <v>0</v>
      </c>
      <c r="AD161" s="26">
        <v>207.15720954779999</v>
      </c>
    </row>
    <row r="162" spans="1:30" x14ac:dyDescent="0.2">
      <c r="A162">
        <f>_xlfn.XLOOKUP(E162,Lookups!$E:$E,Lookups!$F:$F,0)</f>
        <v>0</v>
      </c>
      <c r="B162">
        <v>1</v>
      </c>
      <c r="C162" s="3" t="d">
        <v>2026-07-03</v>
      </c>
      <c r="D162" s="3"/>
      <c r="E162" s="26" t="s">
        <v>162</v>
      </c>
      <c r="F162" s="26" t="s">
        <v>27</v>
      </c>
      <c r="G162" s="26" t="s">
        <v>36</v>
      </c>
      <c r="H162" s="26" t="s">
        <v>62</v>
      </c>
      <c r="I162" s="26">
        <v>27570</v>
      </c>
      <c r="J162" s="26">
        <v>23643</v>
      </c>
      <c r="K162" s="26">
        <v>242409</v>
      </c>
      <c r="L162" s="26">
        <v>108637427</v>
      </c>
      <c r="M162" s="26">
        <v>439368</v>
      </c>
      <c r="N162" s="26">
        <v>1487914</v>
      </c>
      <c r="O162" s="26">
        <v>424008</v>
      </c>
      <c r="P162" s="26">
        <v>203</v>
      </c>
      <c r="Q162" s="26">
        <v>32988</v>
      </c>
      <c r="R162" s="26">
        <v>228</v>
      </c>
      <c r="S162" s="26">
        <v>40566</v>
      </c>
      <c r="T162" s="26">
        <v>60616</v>
      </c>
      <c r="U162" s="26">
        <v>90075</v>
      </c>
      <c r="V162" s="26">
        <v>243071</v>
      </c>
      <c r="W162" s="26">
        <v>6548</v>
      </c>
      <c r="X162" s="26">
        <v>10</v>
      </c>
      <c r="Y162" s="26">
        <v>59345</v>
      </c>
      <c r="Z162" s="26">
        <v>15946</v>
      </c>
      <c r="AA162" s="26">
        <v>133</v>
      </c>
      <c r="AB162" s="26">
        <v>0</v>
      </c>
      <c r="AC162" s="26">
        <v>0</v>
      </c>
      <c r="AD162" s="26">
        <v>189.13413905265199</v>
      </c>
    </row>
    <row r="163" spans="1:30" x14ac:dyDescent="0.2">
      <c r="A163">
        <f>_xlfn.XLOOKUP(E163,Lookups!$E:$E,Lookups!$F:$F,0)</f>
        <v>0</v>
      </c>
      <c r="B163">
        <v>1</v>
      </c>
      <c r="C163" s="3" t="d">
        <v>2026-07-03</v>
      </c>
      <c r="D163" s="3"/>
      <c r="E163" s="26" t="s">
        <v>176</v>
      </c>
      <c r="F163" s="26" t="s">
        <v>27</v>
      </c>
      <c r="G163" s="26" t="s">
        <v>28</v>
      </c>
      <c r="H163" s="26" t="s">
        <v>31</v>
      </c>
      <c r="I163" s="26">
        <v>27785</v>
      </c>
      <c r="J163" s="26">
        <v>45709</v>
      </c>
      <c r="K163" s="26">
        <v>213133</v>
      </c>
      <c r="L163" s="26">
        <v>26522746</v>
      </c>
      <c r="M163" s="26">
        <v>210857</v>
      </c>
      <c r="N163" s="26">
        <v>419197</v>
      </c>
      <c r="O163" s="26">
        <v>32163</v>
      </c>
      <c r="P163" s="26">
        <v>50800</v>
      </c>
      <c r="Q163" s="26">
        <v>37631653</v>
      </c>
      <c r="R163" s="26">
        <v>227741</v>
      </c>
      <c r="S163" s="26">
        <v>36995</v>
      </c>
      <c r="T163" s="26">
        <v>31149</v>
      </c>
      <c r="U163" s="26">
        <v>81658</v>
      </c>
      <c r="V163" s="26">
        <v>950248</v>
      </c>
      <c r="W163" s="26">
        <v>23949</v>
      </c>
      <c r="X163" s="26">
        <v>6231</v>
      </c>
      <c r="Y163" s="26">
        <v>14413</v>
      </c>
      <c r="Z163" s="26">
        <v>92261</v>
      </c>
      <c r="AA163" s="26">
        <v>27</v>
      </c>
      <c r="AB163" s="26">
        <v>0</v>
      </c>
      <c r="AC163" s="26">
        <v>0</v>
      </c>
      <c r="AD163" s="26">
        <v>36.452385660130702</v>
      </c>
    </row>
    <row r="164" spans="1:30" x14ac:dyDescent="0.2">
      <c r="A164">
        <f>_xlfn.XLOOKUP(E164,Lookups!$E:$E,Lookups!$F:$F,0)</f>
        <v>0</v>
      </c>
      <c r="B164">
        <v>1</v>
      </c>
      <c r="C164" s="3" t="d">
        <v>2026-07-03</v>
      </c>
      <c r="D164" s="3"/>
      <c r="E164" s="26" t="s">
        <v>259</v>
      </c>
      <c r="F164" s="26" t="s">
        <v>27</v>
      </c>
      <c r="G164" s="26" t="s">
        <v>28</v>
      </c>
      <c r="H164" s="26" t="s">
        <v>31</v>
      </c>
      <c r="I164" s="26">
        <v>27866</v>
      </c>
      <c r="J164" s="26">
        <v>62465</v>
      </c>
      <c r="K164" s="26">
        <v>101640</v>
      </c>
      <c r="L164" s="26">
        <v>39701961</v>
      </c>
      <c r="M164" s="26">
        <v>200211</v>
      </c>
      <c r="N164" s="26">
        <v>455999</v>
      </c>
      <c r="O164" s="26">
        <v>37334</v>
      </c>
      <c r="P164" s="26">
        <v>78400</v>
      </c>
      <c r="Q164" s="26">
        <v>25258292</v>
      </c>
      <c r="R164" s="26">
        <v>165723</v>
      </c>
      <c r="S164" s="26">
        <v>19271</v>
      </c>
      <c r="T164" s="26" t="s">
        <v>31</v>
      </c>
      <c r="U164" s="26">
        <v>719562</v>
      </c>
      <c r="V164" s="26">
        <v>1597997</v>
      </c>
      <c r="W164" s="26">
        <v>21208</v>
      </c>
      <c r="X164" s="26" t="s">
        <v>31</v>
      </c>
      <c r="Y164" s="26">
        <v>29439</v>
      </c>
      <c r="Z164" s="26">
        <v>29708</v>
      </c>
      <c r="AA164" s="26">
        <v>153</v>
      </c>
      <c r="AB164" s="26">
        <v>0</v>
      </c>
      <c r="AC164" s="26">
        <v>0</v>
      </c>
      <c r="AD164" s="26">
        <v>152.62565817708699</v>
      </c>
    </row>
    <row r="165" spans="1:30" x14ac:dyDescent="0.2">
      <c r="A165">
        <f>_xlfn.XLOOKUP(E165,Lookups!$E:$E,Lookups!$F:$F,0)</f>
        <v>0</v>
      </c>
      <c r="B165">
        <v>1</v>
      </c>
      <c r="C165" s="3" t="d">
        <v>2026-07-03</v>
      </c>
      <c r="D165" s="3"/>
      <c r="E165" s="26" t="s">
        <v>202</v>
      </c>
      <c r="F165" s="26" t="s">
        <v>27</v>
      </c>
      <c r="G165" s="26" t="s">
        <v>83</v>
      </c>
      <c r="H165" s="26" t="s">
        <v>84</v>
      </c>
      <c r="I165" s="26">
        <v>27909</v>
      </c>
      <c r="J165" s="26">
        <v>22734</v>
      </c>
      <c r="K165" s="26">
        <v>163098</v>
      </c>
      <c r="L165" s="26">
        <v>95941568</v>
      </c>
      <c r="M165" s="26">
        <v>907706</v>
      </c>
      <c r="N165" s="26">
        <v>3921723</v>
      </c>
      <c r="O165" s="26">
        <v>406866</v>
      </c>
      <c r="P165" s="26">
        <v>292</v>
      </c>
      <c r="Q165" s="26">
        <v>20879</v>
      </c>
      <c r="R165" s="26">
        <v>269</v>
      </c>
      <c r="S165" s="26">
        <v>45206</v>
      </c>
      <c r="T165" s="26" t="s">
        <v>31</v>
      </c>
      <c r="U165" s="26">
        <v>131217</v>
      </c>
      <c r="V165" s="26">
        <v>29212</v>
      </c>
      <c r="W165" s="26">
        <v>1355</v>
      </c>
      <c r="X165" s="26" t="s">
        <v>31</v>
      </c>
      <c r="Y165" s="26">
        <v>49464</v>
      </c>
      <c r="Z165" s="26" t="s">
        <v>31</v>
      </c>
      <c r="AA165" s="26" t="s">
        <v>31</v>
      </c>
      <c r="AB165" s="26" t="s">
        <v>31</v>
      </c>
      <c r="AC165" s="26" t="s">
        <v>31</v>
      </c>
      <c r="AD165" s="26" t="s">
        <v>31</v>
      </c>
    </row>
    <row r="166" spans="1:30" x14ac:dyDescent="0.2">
      <c r="A166">
        <f>_xlfn.XLOOKUP(E166,Lookups!$E:$E,Lookups!$F:$F,0)</f>
        <v>0</v>
      </c>
      <c r="B166">
        <v>1</v>
      </c>
      <c r="C166" s="3" t="d">
        <v>2026-07-03</v>
      </c>
      <c r="D166" s="3"/>
      <c r="E166" s="26" t="s">
        <v>432</v>
      </c>
      <c r="F166" s="26" t="s">
        <v>433</v>
      </c>
      <c r="G166" s="26" t="s">
        <v>36</v>
      </c>
      <c r="H166" s="26" t="s">
        <v>434</v>
      </c>
      <c r="I166" s="26">
        <v>28139</v>
      </c>
      <c r="J166" s="26">
        <v>9108</v>
      </c>
      <c r="K166" s="26">
        <v>23325</v>
      </c>
      <c r="L166" s="26">
        <v>197158865</v>
      </c>
      <c r="M166" s="26">
        <v>1925030</v>
      </c>
      <c r="N166" s="26">
        <v>581505</v>
      </c>
      <c r="O166" s="26">
        <v>603471</v>
      </c>
      <c r="P166" s="26">
        <v>7</v>
      </c>
      <c r="Q166" s="26">
        <v>18</v>
      </c>
      <c r="R166" s="26">
        <v>2</v>
      </c>
      <c r="S166" s="26">
        <v>76658</v>
      </c>
      <c r="T166" s="26">
        <v>150936</v>
      </c>
      <c r="U166" s="26">
        <v>3262</v>
      </c>
      <c r="V166" s="26" t="s">
        <v>31</v>
      </c>
      <c r="W166" s="26">
        <v>371</v>
      </c>
      <c r="X166" s="26" t="s">
        <v>31</v>
      </c>
      <c r="Y166" s="26">
        <v>466238</v>
      </c>
      <c r="Z166" s="26" t="s">
        <v>31</v>
      </c>
      <c r="AA166" s="26" t="s">
        <v>31</v>
      </c>
      <c r="AB166" s="26" t="s">
        <v>31</v>
      </c>
      <c r="AC166" s="26" t="s">
        <v>31</v>
      </c>
      <c r="AD166" s="26" t="s">
        <v>31</v>
      </c>
    </row>
    <row r="167" spans="1:30" x14ac:dyDescent="0.2">
      <c r="A167">
        <f>_xlfn.XLOOKUP(E167,Lookups!$E:$E,Lookups!$F:$F,0)</f>
        <v>0</v>
      </c>
      <c r="B167">
        <v>1</v>
      </c>
      <c r="C167" s="3" t="d">
        <v>2026-07-03</v>
      </c>
      <c r="D167" s="3"/>
      <c r="E167" s="26" t="s">
        <v>150</v>
      </c>
      <c r="F167" s="26" t="s">
        <v>27</v>
      </c>
      <c r="G167" s="26" t="s">
        <v>28</v>
      </c>
      <c r="H167" s="26" t="s">
        <v>37</v>
      </c>
      <c r="I167" s="26">
        <v>28223</v>
      </c>
      <c r="J167" s="26">
        <v>34360</v>
      </c>
      <c r="K167" s="26">
        <v>296149</v>
      </c>
      <c r="L167" s="26">
        <v>31931672</v>
      </c>
      <c r="M167" s="26">
        <v>186856</v>
      </c>
      <c r="N167" s="26">
        <v>481789</v>
      </c>
      <c r="O167" s="26">
        <v>38593</v>
      </c>
      <c r="P167" s="26">
        <v>42000</v>
      </c>
      <c r="Q167" s="26">
        <v>18331964</v>
      </c>
      <c r="R167" s="26">
        <v>128593</v>
      </c>
      <c r="S167" s="26">
        <v>54695</v>
      </c>
      <c r="T167" s="26">
        <v>20</v>
      </c>
      <c r="U167" s="26">
        <v>90238</v>
      </c>
      <c r="V167" s="26">
        <v>147778</v>
      </c>
      <c r="W167" s="26">
        <v>11191</v>
      </c>
      <c r="X167" s="26" t="s">
        <v>31</v>
      </c>
      <c r="Y167" s="26">
        <v>33871</v>
      </c>
      <c r="Z167" s="26">
        <v>18324</v>
      </c>
      <c r="AA167" s="26">
        <v>196</v>
      </c>
      <c r="AB167" s="26">
        <v>1</v>
      </c>
      <c r="AC167" s="26">
        <v>1</v>
      </c>
      <c r="AD167" s="26">
        <v>279.40407001645701</v>
      </c>
    </row>
    <row r="168" spans="1:30" x14ac:dyDescent="0.2">
      <c r="A168">
        <f>_xlfn.XLOOKUP(E168,Lookups!$E:$E,Lookups!$F:$F,0)</f>
        <v>0</v>
      </c>
      <c r="B168">
        <v>1</v>
      </c>
      <c r="C168" s="3" t="d">
        <v>2026-07-03</v>
      </c>
      <c r="D168" s="3"/>
      <c r="E168" s="26" t="s">
        <v>247</v>
      </c>
      <c r="F168" s="26" t="s">
        <v>27</v>
      </c>
      <c r="G168" s="26" t="s">
        <v>28</v>
      </c>
      <c r="H168" s="26" t="s">
        <v>46</v>
      </c>
      <c r="I168" s="26">
        <v>28326</v>
      </c>
      <c r="J168" s="26">
        <v>75567</v>
      </c>
      <c r="K168" s="26">
        <v>112183</v>
      </c>
      <c r="L168" s="26">
        <v>13181751</v>
      </c>
      <c r="M168" s="26">
        <v>119702</v>
      </c>
      <c r="N168" s="26">
        <v>107548</v>
      </c>
      <c r="O168" s="26">
        <v>58619</v>
      </c>
      <c r="P168" s="26">
        <v>1790</v>
      </c>
      <c r="Q168" s="26">
        <v>23979350</v>
      </c>
      <c r="R168" s="26">
        <v>127240</v>
      </c>
      <c r="S168" s="26">
        <v>7702</v>
      </c>
      <c r="T168" s="26">
        <v>927341</v>
      </c>
      <c r="U168" s="26">
        <v>305804</v>
      </c>
      <c r="V168" s="26">
        <v>1570462</v>
      </c>
      <c r="W168" s="26">
        <v>6691</v>
      </c>
      <c r="X168" s="26" t="s">
        <v>31</v>
      </c>
      <c r="Y168" s="26">
        <v>49614</v>
      </c>
      <c r="Z168" s="26">
        <v>30551</v>
      </c>
      <c r="AA168" s="26">
        <v>158</v>
      </c>
      <c r="AB168" s="26">
        <v>0</v>
      </c>
      <c r="AC168" s="26">
        <v>0</v>
      </c>
      <c r="AD168" s="26">
        <v>161.19645886950599</v>
      </c>
    </row>
    <row r="169" spans="1:30" x14ac:dyDescent="0.2">
      <c r="A169">
        <f>_xlfn.XLOOKUP(E169,Lookups!$E:$E,Lookups!$F:$F,0)</f>
        <v>0</v>
      </c>
      <c r="B169">
        <v>1</v>
      </c>
      <c r="C169" s="3" t="d">
        <v>2026-07-03</v>
      </c>
      <c r="D169" s="3"/>
      <c r="E169" s="26" t="s">
        <v>177</v>
      </c>
      <c r="F169" s="26" t="s">
        <v>27</v>
      </c>
      <c r="G169" s="26" t="s">
        <v>28</v>
      </c>
      <c r="H169" s="26" t="s">
        <v>31</v>
      </c>
      <c r="I169" s="26">
        <v>28520</v>
      </c>
      <c r="J169" s="26">
        <v>33000</v>
      </c>
      <c r="K169" s="26">
        <v>212317</v>
      </c>
      <c r="L169" s="26">
        <v>47466118</v>
      </c>
      <c r="M169" s="26">
        <v>401859</v>
      </c>
      <c r="N169" s="26">
        <v>533852</v>
      </c>
      <c r="O169" s="26">
        <v>48256</v>
      </c>
      <c r="P169" s="26">
        <v>131</v>
      </c>
      <c r="Q169" s="26">
        <v>19672104</v>
      </c>
      <c r="R169" s="26">
        <v>140498</v>
      </c>
      <c r="S169" s="26">
        <v>84930</v>
      </c>
      <c r="T169" s="26" t="s">
        <v>31</v>
      </c>
      <c r="U169" s="26" t="s">
        <v>31</v>
      </c>
      <c r="V169" s="26">
        <v>292773</v>
      </c>
      <c r="W169" s="26">
        <v>26758</v>
      </c>
      <c r="X169" s="26">
        <v>647</v>
      </c>
      <c r="Y169" s="26">
        <v>29841</v>
      </c>
      <c r="Z169" s="26">
        <v>85775</v>
      </c>
      <c r="AA169" s="26">
        <v>58</v>
      </c>
      <c r="AB169" s="26">
        <v>0</v>
      </c>
      <c r="AC169" s="26">
        <v>0</v>
      </c>
      <c r="AD169" s="26">
        <v>49.127752536724401</v>
      </c>
    </row>
    <row r="170" spans="1:30" x14ac:dyDescent="0.2">
      <c r="A170">
        <f>_xlfn.XLOOKUP(E170,Lookups!$E:$E,Lookups!$F:$F,0)</f>
        <v>0</v>
      </c>
      <c r="B170">
        <v>1</v>
      </c>
      <c r="C170" s="3" t="d">
        <v>2026-07-03</v>
      </c>
      <c r="D170" s="3"/>
      <c r="E170" s="26" t="s">
        <v>129</v>
      </c>
      <c r="F170" s="26" t="s">
        <v>27</v>
      </c>
      <c r="G170" s="26" t="s">
        <v>28</v>
      </c>
      <c r="H170" s="26" t="s">
        <v>48</v>
      </c>
      <c r="I170" s="26">
        <v>29326</v>
      </c>
      <c r="J170" s="26">
        <v>39939</v>
      </c>
      <c r="K170" s="26">
        <v>412294</v>
      </c>
      <c r="L170" s="26">
        <v>33614962</v>
      </c>
      <c r="M170" s="26">
        <v>167281</v>
      </c>
      <c r="N170" s="26">
        <v>762569</v>
      </c>
      <c r="O170" s="26">
        <v>47434</v>
      </c>
      <c r="P170" s="26">
        <v>46600</v>
      </c>
      <c r="Q170" s="26">
        <v>9755947</v>
      </c>
      <c r="R170" s="26">
        <v>116260</v>
      </c>
      <c r="S170" s="26">
        <v>45447</v>
      </c>
      <c r="T170" s="26" t="s">
        <v>31</v>
      </c>
      <c r="U170" s="26">
        <v>156532</v>
      </c>
      <c r="V170" s="26">
        <v>508591</v>
      </c>
      <c r="W170" s="26">
        <v>24551</v>
      </c>
      <c r="X170" s="26">
        <v>1018</v>
      </c>
      <c r="Y170" s="26">
        <v>27228</v>
      </c>
      <c r="Z170" s="26">
        <v>15028</v>
      </c>
      <c r="AA170" s="26">
        <v>165</v>
      </c>
      <c r="AB170" s="26">
        <v>0</v>
      </c>
      <c r="AC170" s="26">
        <v>0</v>
      </c>
      <c r="AD170" s="26">
        <v>257.21177050793102</v>
      </c>
    </row>
    <row r="171" spans="1:30" x14ac:dyDescent="0.2">
      <c r="A171">
        <f>_xlfn.XLOOKUP(E171,Lookups!$E:$E,Lookups!$F:$F,0)</f>
        <v>0</v>
      </c>
      <c r="B171">
        <v>1</v>
      </c>
      <c r="C171" s="3" t="d">
        <v>2026-07-03</v>
      </c>
      <c r="D171" s="3"/>
      <c r="E171" s="26" t="s">
        <v>292</v>
      </c>
      <c r="F171" s="26" t="s">
        <v>27</v>
      </c>
      <c r="G171" s="26" t="s">
        <v>28</v>
      </c>
      <c r="H171" s="26" t="s">
        <v>31</v>
      </c>
      <c r="I171" s="26">
        <v>29642</v>
      </c>
      <c r="J171" s="26">
        <v>21103</v>
      </c>
      <c r="K171" s="26">
        <v>72859</v>
      </c>
      <c r="L171" s="26">
        <v>47406110</v>
      </c>
      <c r="M171" s="26">
        <v>1122826</v>
      </c>
      <c r="N171" s="26">
        <v>3322217</v>
      </c>
      <c r="O171" s="26">
        <v>613359</v>
      </c>
      <c r="P171" s="26" t="s">
        <v>31</v>
      </c>
      <c r="Q171" s="26" t="s">
        <v>31</v>
      </c>
      <c r="R171" s="26" t="s">
        <v>31</v>
      </c>
      <c r="S171" s="26">
        <v>834709</v>
      </c>
      <c r="T171" s="26" t="s">
        <v>31</v>
      </c>
      <c r="U171" s="26" t="s">
        <v>31</v>
      </c>
      <c r="V171" s="26" t="s">
        <v>31</v>
      </c>
      <c r="W171" s="26" t="s">
        <v>31</v>
      </c>
      <c r="X171" s="26" t="s">
        <v>31</v>
      </c>
      <c r="Y171" s="26">
        <v>466238</v>
      </c>
      <c r="Z171" s="26" t="s">
        <v>31</v>
      </c>
      <c r="AA171" s="26" t="s">
        <v>31</v>
      </c>
      <c r="AB171" s="26" t="s">
        <v>31</v>
      </c>
      <c r="AC171" s="26" t="s">
        <v>31</v>
      </c>
      <c r="AD171" s="26" t="s">
        <v>31</v>
      </c>
    </row>
    <row r="172" spans="1:30" x14ac:dyDescent="0.2">
      <c r="A172">
        <f>_xlfn.XLOOKUP(E172,Lookups!$E:$E,Lookups!$F:$F,0)</f>
        <v>0</v>
      </c>
      <c r="B172">
        <v>1</v>
      </c>
      <c r="C172" s="3" t="d">
        <v>2026-07-03</v>
      </c>
      <c r="D172" s="3"/>
      <c r="E172" s="26" t="s">
        <v>350</v>
      </c>
      <c r="F172" s="26" t="s">
        <v>27</v>
      </c>
      <c r="G172" s="26" t="s">
        <v>28</v>
      </c>
      <c r="H172" s="26" t="s">
        <v>46</v>
      </c>
      <c r="I172" s="26">
        <v>29811</v>
      </c>
      <c r="J172" s="26">
        <v>99695</v>
      </c>
      <c r="K172" s="26">
        <v>46145</v>
      </c>
      <c r="L172" s="26">
        <v>24640637</v>
      </c>
      <c r="M172" s="26">
        <v>40728</v>
      </c>
      <c r="N172" s="26">
        <v>342316</v>
      </c>
      <c r="O172" s="26">
        <v>68147</v>
      </c>
      <c r="P172" s="26">
        <v>57200</v>
      </c>
      <c r="Q172" s="26">
        <v>1967375</v>
      </c>
      <c r="R172" s="26">
        <v>71387</v>
      </c>
      <c r="S172" s="26">
        <v>6055</v>
      </c>
      <c r="T172" s="26">
        <v>2800000</v>
      </c>
      <c r="U172" s="26">
        <v>1610195</v>
      </c>
      <c r="V172" s="26" t="s">
        <v>31</v>
      </c>
      <c r="W172" s="26">
        <v>114</v>
      </c>
      <c r="X172" s="26">
        <v>4</v>
      </c>
      <c r="Y172" s="26">
        <v>466238</v>
      </c>
      <c r="Z172" s="26">
        <v>85331</v>
      </c>
      <c r="AA172" s="26">
        <v>7</v>
      </c>
      <c r="AB172" s="26">
        <v>0</v>
      </c>
      <c r="AC172" s="26">
        <v>0</v>
      </c>
      <c r="AD172" s="26">
        <v>7.88740918837241</v>
      </c>
    </row>
    <row r="173" spans="1:30" x14ac:dyDescent="0.2">
      <c r="A173">
        <f>_xlfn.XLOOKUP(E173,Lookups!$E:$E,Lookups!$F:$F,0)</f>
        <v>0</v>
      </c>
      <c r="B173">
        <v>1</v>
      </c>
      <c r="C173" s="3" t="d">
        <v>2026-07-03</v>
      </c>
      <c r="D173" s="3"/>
      <c r="E173" s="26" t="s">
        <v>267</v>
      </c>
      <c r="F173" s="26" t="s">
        <v>27</v>
      </c>
      <c r="G173" s="26" t="s">
        <v>28</v>
      </c>
      <c r="H173" s="26" t="s">
        <v>53</v>
      </c>
      <c r="I173" s="26">
        <v>30023</v>
      </c>
      <c r="J173" s="26">
        <v>32262</v>
      </c>
      <c r="K173" s="26">
        <v>93322</v>
      </c>
      <c r="L173" s="26">
        <v>48268577</v>
      </c>
      <c r="M173" s="26">
        <v>524292</v>
      </c>
      <c r="N173" s="26">
        <v>1164119</v>
      </c>
      <c r="O173" s="26">
        <v>48656</v>
      </c>
      <c r="P173" s="26">
        <v>44000</v>
      </c>
      <c r="Q173" s="26">
        <v>7207357</v>
      </c>
      <c r="R173" s="26">
        <v>123438</v>
      </c>
      <c r="S173" s="26">
        <v>26690</v>
      </c>
      <c r="T173" s="26">
        <v>115547</v>
      </c>
      <c r="U173" s="26">
        <v>37797</v>
      </c>
      <c r="V173" s="26">
        <v>109409</v>
      </c>
      <c r="W173" s="26">
        <v>745</v>
      </c>
      <c r="X173" s="26" t="s">
        <v>31</v>
      </c>
      <c r="Y173" s="26">
        <v>144409</v>
      </c>
      <c r="Z173" s="26">
        <v>14234</v>
      </c>
      <c r="AA173" s="26">
        <v>114</v>
      </c>
      <c r="AB173" s="26">
        <v>2</v>
      </c>
      <c r="AC173" s="26">
        <v>22</v>
      </c>
      <c r="AD173" s="26">
        <v>128.57424728703</v>
      </c>
    </row>
    <row r="174" spans="1:30" x14ac:dyDescent="0.2">
      <c r="A174">
        <f>_xlfn.XLOOKUP(E174,Lookups!$E:$E,Lookups!$F:$F,0)</f>
        <v>0</v>
      </c>
      <c r="B174">
        <v>1</v>
      </c>
      <c r="C174" s="3" t="d">
        <v>2026-07-03</v>
      </c>
      <c r="D174" s="3"/>
      <c r="E174" s="26" t="s">
        <v>352</v>
      </c>
      <c r="F174" s="26" t="s">
        <v>27</v>
      </c>
      <c r="G174" s="26" t="s">
        <v>28</v>
      </c>
      <c r="H174" s="26" t="s">
        <v>48</v>
      </c>
      <c r="I174" s="26">
        <v>30100</v>
      </c>
      <c r="J174" s="26">
        <v>40371</v>
      </c>
      <c r="K174" s="26">
        <v>44864</v>
      </c>
      <c r="L174" s="26">
        <v>27868267</v>
      </c>
      <c r="M174" s="26">
        <v>496026</v>
      </c>
      <c r="N174" s="26">
        <v>1002550</v>
      </c>
      <c r="O174" s="26">
        <v>21221</v>
      </c>
      <c r="P174" s="26">
        <v>30100</v>
      </c>
      <c r="Q174" s="26">
        <v>17824896</v>
      </c>
      <c r="R174" s="26">
        <v>114407</v>
      </c>
      <c r="S174" s="26">
        <v>16336</v>
      </c>
      <c r="T174" s="26">
        <v>50836</v>
      </c>
      <c r="U174" s="26">
        <v>26283</v>
      </c>
      <c r="V174" s="26">
        <v>23224</v>
      </c>
      <c r="W174" s="26">
        <v>180</v>
      </c>
      <c r="X174" s="26" t="s">
        <v>31</v>
      </c>
      <c r="Y174" s="26">
        <v>79772</v>
      </c>
      <c r="Z174" s="26">
        <v>5200</v>
      </c>
      <c r="AA174" s="26">
        <v>66</v>
      </c>
      <c r="AB174" s="26">
        <v>3</v>
      </c>
      <c r="AC174" s="26">
        <v>52</v>
      </c>
      <c r="AD174" s="26">
        <v>707.05087488031302</v>
      </c>
    </row>
    <row r="175" spans="1:30" x14ac:dyDescent="0.2">
      <c r="A175">
        <f>_xlfn.XLOOKUP(E175,Lookups!$E:$E,Lookups!$F:$F,0)</f>
        <v>0</v>
      </c>
      <c r="B175">
        <v>1</v>
      </c>
      <c r="C175" s="3" t="d">
        <v>2026-07-03</v>
      </c>
      <c r="D175" s="3"/>
      <c r="E175" s="26" t="s">
        <v>323</v>
      </c>
      <c r="F175" s="26" t="s">
        <v>27</v>
      </c>
      <c r="G175" s="26" t="s">
        <v>28</v>
      </c>
      <c r="H175" s="26" t="s">
        <v>37</v>
      </c>
      <c r="I175" s="26">
        <v>30514</v>
      </c>
      <c r="J175" s="26">
        <v>21869</v>
      </c>
      <c r="K175" s="26">
        <v>57644</v>
      </c>
      <c r="L175" s="26">
        <v>38438500</v>
      </c>
      <c r="M175" s="26">
        <v>1191467</v>
      </c>
      <c r="N175" s="26">
        <v>3699778</v>
      </c>
      <c r="O175" s="26">
        <v>613359</v>
      </c>
      <c r="P175" s="26" t="s">
        <v>31</v>
      </c>
      <c r="Q175" s="26" t="s">
        <v>31</v>
      </c>
      <c r="R175" s="26" t="s">
        <v>31</v>
      </c>
      <c r="S175" s="26">
        <v>834709</v>
      </c>
      <c r="T175" s="26" t="s">
        <v>31</v>
      </c>
      <c r="U175" s="26" t="s">
        <v>31</v>
      </c>
      <c r="V175" s="26" t="s">
        <v>31</v>
      </c>
      <c r="W175" s="26">
        <v>44</v>
      </c>
      <c r="X175" s="26" t="s">
        <v>31</v>
      </c>
      <c r="Y175" s="26">
        <v>126718</v>
      </c>
      <c r="Z175" s="26">
        <v>28262</v>
      </c>
      <c r="AA175" s="26">
        <v>44</v>
      </c>
      <c r="AB175" s="26">
        <v>0</v>
      </c>
      <c r="AC175" s="26">
        <v>0</v>
      </c>
      <c r="AD175" s="26">
        <v>45.667726984296401</v>
      </c>
    </row>
    <row r="176" spans="1:30" x14ac:dyDescent="0.2">
      <c r="A176">
        <f>_xlfn.XLOOKUP(E176,Lookups!$E:$E,Lookups!$F:$F,0)</f>
        <v>0</v>
      </c>
      <c r="B176">
        <v>1</v>
      </c>
      <c r="C176" s="3" t="d">
        <v>2026-07-03</v>
      </c>
      <c r="D176" s="3"/>
      <c r="E176" s="26" t="s">
        <v>196</v>
      </c>
      <c r="F176" s="26" t="s">
        <v>27</v>
      </c>
      <c r="G176" s="26" t="s">
        <v>28</v>
      </c>
      <c r="H176" s="26" t="s">
        <v>37</v>
      </c>
      <c r="I176" s="26">
        <v>30515</v>
      </c>
      <c r="J176" s="26">
        <v>38962</v>
      </c>
      <c r="K176" s="26">
        <v>178663</v>
      </c>
      <c r="L176" s="26">
        <v>29672825</v>
      </c>
      <c r="M176" s="26">
        <v>238794</v>
      </c>
      <c r="N176" s="26">
        <v>1703987</v>
      </c>
      <c r="O176" s="26">
        <v>20692</v>
      </c>
      <c r="P176" s="26">
        <v>94500</v>
      </c>
      <c r="Q176" s="26">
        <v>32125226</v>
      </c>
      <c r="R176" s="26">
        <v>217155</v>
      </c>
      <c r="S176" s="26">
        <v>57331</v>
      </c>
      <c r="T176" s="26">
        <v>30292</v>
      </c>
      <c r="U176" s="26">
        <v>101777</v>
      </c>
      <c r="V176" s="26">
        <v>32664</v>
      </c>
      <c r="W176" s="26">
        <v>631</v>
      </c>
      <c r="X176" s="26" t="s">
        <v>31</v>
      </c>
      <c r="Y176" s="26">
        <v>76732</v>
      </c>
      <c r="Z176" s="26">
        <v>29824</v>
      </c>
      <c r="AA176" s="26">
        <v>58</v>
      </c>
      <c r="AB176" s="26">
        <v>0</v>
      </c>
      <c r="AC176" s="26">
        <v>0</v>
      </c>
      <c r="AD176" s="26">
        <v>51.642700712658197</v>
      </c>
    </row>
    <row r="177" spans="1:30" x14ac:dyDescent="0.2">
      <c r="A177">
        <f>_xlfn.XLOOKUP(E177,Lookups!$E:$E,Lookups!$F:$F,0)</f>
        <v>0</v>
      </c>
      <c r="B177">
        <v>1</v>
      </c>
      <c r="C177" s="3" t="d">
        <v>2026-07-03</v>
      </c>
      <c r="D177" s="3"/>
      <c r="E177" s="26" t="s">
        <v>270</v>
      </c>
      <c r="F177" s="26" t="s">
        <v>27</v>
      </c>
      <c r="G177" s="26" t="s">
        <v>83</v>
      </c>
      <c r="H177" s="26" t="s">
        <v>46</v>
      </c>
      <c r="I177" s="26">
        <v>30895</v>
      </c>
      <c r="J177" s="26">
        <v>21556</v>
      </c>
      <c r="K177" s="26">
        <v>91476</v>
      </c>
      <c r="L177" s="26">
        <v>51800131</v>
      </c>
      <c r="M177" s="26">
        <v>514759</v>
      </c>
      <c r="N177" s="26">
        <v>3585241</v>
      </c>
      <c r="O177" s="26">
        <v>71353</v>
      </c>
      <c r="P177" s="26">
        <v>7970</v>
      </c>
      <c r="Q177" s="26">
        <v>274189</v>
      </c>
      <c r="R177" s="26">
        <v>8503</v>
      </c>
      <c r="S177" s="26">
        <v>28346</v>
      </c>
      <c r="T177" s="26">
        <v>324203</v>
      </c>
      <c r="U177" s="26">
        <v>127985</v>
      </c>
      <c r="V177" s="26">
        <v>172835</v>
      </c>
      <c r="W177" s="26" t="s">
        <v>31</v>
      </c>
      <c r="X177" s="26" t="s">
        <v>31</v>
      </c>
      <c r="Y177" s="26">
        <v>80184</v>
      </c>
      <c r="Z177" s="26" t="s">
        <v>31</v>
      </c>
      <c r="AA177" s="26" t="s">
        <v>31</v>
      </c>
      <c r="AB177" s="26" t="s">
        <v>31</v>
      </c>
      <c r="AC177" s="26" t="s">
        <v>31</v>
      </c>
      <c r="AD177" s="26" t="s">
        <v>31</v>
      </c>
    </row>
    <row r="178" spans="1:30" x14ac:dyDescent="0.2">
      <c r="A178">
        <f>_xlfn.XLOOKUP(E178,Lookups!$E:$E,Lookups!$F:$F,0)</f>
        <v>0</v>
      </c>
      <c r="B178">
        <v>1</v>
      </c>
      <c r="C178" s="3" t="d">
        <v>2026-07-03</v>
      </c>
      <c r="D178" s="3"/>
      <c r="E178" s="26" t="s">
        <v>136</v>
      </c>
      <c r="F178" s="26" t="s">
        <v>27</v>
      </c>
      <c r="G178" s="26" t="s">
        <v>28</v>
      </c>
      <c r="H178" s="26" t="s">
        <v>46</v>
      </c>
      <c r="I178" s="26">
        <v>31407</v>
      </c>
      <c r="J178" s="26">
        <v>37813</v>
      </c>
      <c r="K178" s="26">
        <v>381840</v>
      </c>
      <c r="L178" s="26">
        <v>33075763</v>
      </c>
      <c r="M178" s="26">
        <v>146887</v>
      </c>
      <c r="N178" s="26">
        <v>399632</v>
      </c>
      <c r="O178" s="26">
        <v>613359</v>
      </c>
      <c r="P178" s="26" t="s">
        <v>31</v>
      </c>
      <c r="Q178" s="26" t="s">
        <v>31</v>
      </c>
      <c r="R178" s="26" t="s">
        <v>31</v>
      </c>
      <c r="S178" s="26">
        <v>45775</v>
      </c>
      <c r="T178" s="26">
        <v>1527</v>
      </c>
      <c r="U178" s="26">
        <v>329016</v>
      </c>
      <c r="V178" s="26">
        <v>75638</v>
      </c>
      <c r="W178" s="26">
        <v>24416</v>
      </c>
      <c r="X178" s="26" t="s">
        <v>31</v>
      </c>
      <c r="Y178" s="26">
        <v>25844</v>
      </c>
      <c r="Z178" s="26">
        <v>30811</v>
      </c>
      <c r="AA178" s="26">
        <v>126</v>
      </c>
      <c r="AB178" s="26">
        <v>1</v>
      </c>
      <c r="AC178" s="26">
        <v>4</v>
      </c>
      <c r="AD178" s="26">
        <v>110.74916870407399</v>
      </c>
    </row>
    <row r="179" spans="1:30" x14ac:dyDescent="0.2">
      <c r="A179">
        <f>_xlfn.XLOOKUP(E179,Lookups!$E:$E,Lookups!$F:$F,0)</f>
        <v>0</v>
      </c>
      <c r="B179">
        <v>1</v>
      </c>
      <c r="C179" s="3" t="d">
        <v>2026-07-03</v>
      </c>
      <c r="D179" s="3"/>
      <c r="E179" s="26" t="s">
        <v>571</v>
      </c>
      <c r="F179" s="26" t="s">
        <v>35</v>
      </c>
      <c r="G179" s="26" t="s">
        <v>36</v>
      </c>
      <c r="H179" s="26" t="s">
        <v>46</v>
      </c>
      <c r="I179" s="26">
        <v>31731</v>
      </c>
      <c r="J179" s="26">
        <v>85864</v>
      </c>
      <c r="K179" s="26">
        <v>9455</v>
      </c>
      <c r="L179" s="26">
        <v>4740065</v>
      </c>
      <c r="M179" s="26">
        <v>266623</v>
      </c>
      <c r="N179" s="26">
        <v>40701</v>
      </c>
      <c r="O179" s="26">
        <v>33836</v>
      </c>
      <c r="P179" s="26">
        <v>18300</v>
      </c>
      <c r="Q179" s="26">
        <v>401879</v>
      </c>
      <c r="R179" s="26">
        <v>14835</v>
      </c>
      <c r="S179" s="26">
        <v>135009</v>
      </c>
      <c r="T179" s="26" t="s">
        <v>31</v>
      </c>
      <c r="U179" s="26">
        <v>47961</v>
      </c>
      <c r="V179" s="26">
        <v>2840</v>
      </c>
      <c r="W179" s="26" t="s">
        <v>31</v>
      </c>
      <c r="X179" s="26" t="s">
        <v>31</v>
      </c>
      <c r="Y179" s="26">
        <v>430163</v>
      </c>
      <c r="Z179" s="26" t="s">
        <v>31</v>
      </c>
      <c r="AA179" s="26" t="s">
        <v>31</v>
      </c>
      <c r="AB179" s="26" t="s">
        <v>31</v>
      </c>
      <c r="AC179" s="26" t="s">
        <v>31</v>
      </c>
      <c r="AD179" s="26" t="s">
        <v>31</v>
      </c>
    </row>
    <row r="180" spans="1:30" x14ac:dyDescent="0.2">
      <c r="A180">
        <f>_xlfn.XLOOKUP(E180,Lookups!$E:$E,Lookups!$F:$F,0)</f>
        <v>0</v>
      </c>
      <c r="B180">
        <v>1</v>
      </c>
      <c r="C180" s="3" t="d">
        <v>2026-07-03</v>
      </c>
      <c r="D180" s="3"/>
      <c r="E180" s="26" t="s">
        <v>164</v>
      </c>
      <c r="F180" s="26" t="s">
        <v>27</v>
      </c>
      <c r="G180" s="26" t="s">
        <v>28</v>
      </c>
      <c r="H180" s="26" t="s">
        <v>33</v>
      </c>
      <c r="I180" s="26">
        <v>32033</v>
      </c>
      <c r="J180" s="26">
        <v>26408</v>
      </c>
      <c r="K180" s="26">
        <v>238469</v>
      </c>
      <c r="L180" s="26">
        <v>50960509</v>
      </c>
      <c r="M180" s="26">
        <v>348519</v>
      </c>
      <c r="N180" s="26">
        <v>926749</v>
      </c>
      <c r="O180" s="26">
        <v>55147</v>
      </c>
      <c r="P180" s="26">
        <v>21500</v>
      </c>
      <c r="Q180" s="26">
        <v>4658879</v>
      </c>
      <c r="R180" s="26">
        <v>37979</v>
      </c>
      <c r="S180" s="26">
        <v>48286</v>
      </c>
      <c r="T180" s="26">
        <v>68043</v>
      </c>
      <c r="U180" s="26">
        <v>97491</v>
      </c>
      <c r="V180" s="26">
        <v>98532</v>
      </c>
      <c r="W180" s="26">
        <v>1707</v>
      </c>
      <c r="X180" s="26">
        <v>46</v>
      </c>
      <c r="Y180" s="26">
        <v>70970</v>
      </c>
      <c r="Z180" s="26">
        <v>15983</v>
      </c>
      <c r="AA180" s="26">
        <v>90</v>
      </c>
      <c r="AB180" s="26">
        <v>0</v>
      </c>
      <c r="AC180" s="26">
        <v>0</v>
      </c>
      <c r="AD180" s="26">
        <v>131.37031372702401</v>
      </c>
    </row>
    <row r="181" spans="1:30" x14ac:dyDescent="0.2">
      <c r="A181">
        <f>_xlfn.XLOOKUP(E181,Lookups!$E:$E,Lookups!$F:$F,0)</f>
        <v>0</v>
      </c>
      <c r="B181">
        <v>1</v>
      </c>
      <c r="C181" s="3" t="d">
        <v>2026-07-03</v>
      </c>
      <c r="D181" s="3"/>
      <c r="E181" s="26" t="s">
        <v>399</v>
      </c>
      <c r="F181" s="26" t="s">
        <v>400</v>
      </c>
      <c r="G181" s="26" t="s">
        <v>77</v>
      </c>
      <c r="H181" s="26" t="s">
        <v>44</v>
      </c>
      <c r="I181" s="26">
        <v>32964</v>
      </c>
      <c r="J181" s="26">
        <v>172826</v>
      </c>
      <c r="K181" s="26">
        <v>32540</v>
      </c>
      <c r="L181" s="26">
        <v>3681262</v>
      </c>
      <c r="M181" s="26">
        <v>18130</v>
      </c>
      <c r="N181" s="26">
        <v>7331</v>
      </c>
      <c r="O181" s="26">
        <v>36135</v>
      </c>
      <c r="P181" s="26">
        <v>188000</v>
      </c>
      <c r="Q181" s="26">
        <v>22957220</v>
      </c>
      <c r="R181" s="26">
        <v>503454</v>
      </c>
      <c r="S181" s="26">
        <v>13521</v>
      </c>
      <c r="T181" s="26">
        <v>201696</v>
      </c>
      <c r="U181" s="26">
        <v>609634</v>
      </c>
      <c r="V181" s="26">
        <v>252655</v>
      </c>
      <c r="W181" s="26">
        <v>29645</v>
      </c>
      <c r="X181" s="26">
        <v>2218</v>
      </c>
      <c r="Y181" s="26">
        <v>237764</v>
      </c>
      <c r="Z181" s="26">
        <v>122725</v>
      </c>
      <c r="AA181" s="26">
        <v>7</v>
      </c>
      <c r="AB181" s="26">
        <v>0</v>
      </c>
      <c r="AC181" s="26">
        <v>0</v>
      </c>
      <c r="AD181" s="26">
        <v>2.5937281496029101</v>
      </c>
    </row>
    <row r="182" spans="1:30" x14ac:dyDescent="0.2">
      <c r="A182">
        <f>_xlfn.XLOOKUP(E182,Lookups!$E:$E,Lookups!$F:$F,0)</f>
        <v>0</v>
      </c>
      <c r="B182">
        <v>1</v>
      </c>
      <c r="C182" s="3" t="d">
        <v>2026-07-03</v>
      </c>
      <c r="D182" s="3"/>
      <c r="E182" s="26" t="s">
        <v>255</v>
      </c>
      <c r="F182" s="26" t="s">
        <v>27</v>
      </c>
      <c r="G182" s="26" t="s">
        <v>28</v>
      </c>
      <c r="H182" s="26" t="s">
        <v>53</v>
      </c>
      <c r="I182" s="26">
        <v>32994</v>
      </c>
      <c r="J182" s="26">
        <v>41859</v>
      </c>
      <c r="K182" s="26">
        <v>105508</v>
      </c>
      <c r="L182" s="26">
        <v>41944149</v>
      </c>
      <c r="M182" s="26">
        <v>250605</v>
      </c>
      <c r="N182" s="26">
        <v>2072237</v>
      </c>
      <c r="O182" s="26">
        <v>58672</v>
      </c>
      <c r="P182" s="26">
        <v>20500</v>
      </c>
      <c r="Q182" s="26">
        <v>1855068</v>
      </c>
      <c r="R182" s="26">
        <v>28251</v>
      </c>
      <c r="S182" s="26">
        <v>11963</v>
      </c>
      <c r="T182" s="26">
        <v>277584</v>
      </c>
      <c r="U182" s="26">
        <v>334016</v>
      </c>
      <c r="V182" s="26">
        <v>354600</v>
      </c>
      <c r="W182" s="26">
        <v>516</v>
      </c>
      <c r="X182" s="26">
        <v>12</v>
      </c>
      <c r="Y182" s="26">
        <v>92439</v>
      </c>
      <c r="Z182" s="26">
        <v>22544</v>
      </c>
      <c r="AA182" s="26">
        <v>55</v>
      </c>
      <c r="AB182" s="26">
        <v>1</v>
      </c>
      <c r="AC182" s="26">
        <v>7</v>
      </c>
      <c r="AD182" s="26">
        <v>89.037079850109293</v>
      </c>
    </row>
    <row r="183" spans="1:30" x14ac:dyDescent="0.2">
      <c r="A183">
        <f>_xlfn.XLOOKUP(E183,Lookups!$E:$E,Lookups!$F:$F,0)</f>
        <v>0</v>
      </c>
      <c r="B183">
        <v>1</v>
      </c>
      <c r="C183" s="3" t="d">
        <v>2026-07-03</v>
      </c>
      <c r="D183" s="3"/>
      <c r="E183" s="26" t="s">
        <v>166</v>
      </c>
      <c r="F183" s="26" t="s">
        <v>27</v>
      </c>
      <c r="G183" s="26" t="s">
        <v>77</v>
      </c>
      <c r="H183" s="26" t="s">
        <v>48</v>
      </c>
      <c r="I183" s="26">
        <v>33003</v>
      </c>
      <c r="J183" s="26">
        <v>54870</v>
      </c>
      <c r="K183" s="26">
        <v>228818</v>
      </c>
      <c r="L183" s="26">
        <v>28818724</v>
      </c>
      <c r="M183" s="26">
        <v>105021</v>
      </c>
      <c r="N183" s="26">
        <v>521230</v>
      </c>
      <c r="O183" s="26">
        <v>42962</v>
      </c>
      <c r="P183" s="26">
        <v>69300</v>
      </c>
      <c r="Q183" s="26">
        <v>17348339</v>
      </c>
      <c r="R183" s="26">
        <v>219485</v>
      </c>
      <c r="S183" s="26">
        <v>24435</v>
      </c>
      <c r="T183" s="26">
        <v>75561</v>
      </c>
      <c r="U183" s="26">
        <v>430688</v>
      </c>
      <c r="V183" s="26">
        <v>1078846</v>
      </c>
      <c r="W183" s="26">
        <v>12921</v>
      </c>
      <c r="X183" s="26">
        <v>3065</v>
      </c>
      <c r="Y183" s="26">
        <v>135061</v>
      </c>
      <c r="Z183" s="26">
        <v>42108</v>
      </c>
      <c r="AA183" s="26">
        <v>80</v>
      </c>
      <c r="AB183" s="26">
        <v>0</v>
      </c>
      <c r="AC183" s="26">
        <v>0</v>
      </c>
      <c r="AD183" s="26">
        <v>124.580797101475</v>
      </c>
    </row>
    <row r="184" spans="1:30" x14ac:dyDescent="0.2">
      <c r="A184">
        <f>_xlfn.XLOOKUP(E184,Lookups!$E:$E,Lookups!$F:$F,0)</f>
        <v>0</v>
      </c>
      <c r="B184">
        <v>1</v>
      </c>
      <c r="C184" s="3" t="d">
        <v>2026-07-03</v>
      </c>
      <c r="D184" s="3"/>
      <c r="E184" s="26" t="s">
        <v>467</v>
      </c>
      <c r="F184" s="26" t="s">
        <v>27</v>
      </c>
      <c r="G184" s="26" t="s">
        <v>28</v>
      </c>
      <c r="H184" s="26" t="s">
        <v>46</v>
      </c>
      <c r="I184" s="26">
        <v>33064</v>
      </c>
      <c r="J184" s="26">
        <v>31973</v>
      </c>
      <c r="K184" s="26">
        <v>17385</v>
      </c>
      <c r="L184" s="26">
        <v>29742537</v>
      </c>
      <c r="M184" s="26">
        <v>794783</v>
      </c>
      <c r="N184" s="26">
        <v>2908752</v>
      </c>
      <c r="O184" s="26">
        <v>613359</v>
      </c>
      <c r="P184" s="26" t="s">
        <v>31</v>
      </c>
      <c r="Q184" s="26" t="s">
        <v>31</v>
      </c>
      <c r="R184" s="26" t="s">
        <v>31</v>
      </c>
      <c r="S184" s="26">
        <v>19265</v>
      </c>
      <c r="T184" s="26" t="s">
        <v>31</v>
      </c>
      <c r="U184" s="26">
        <v>46697</v>
      </c>
      <c r="V184" s="26">
        <v>10194</v>
      </c>
      <c r="W184" s="26">
        <v>18</v>
      </c>
      <c r="X184" s="26" t="s">
        <v>31</v>
      </c>
      <c r="Y184" s="26">
        <v>466238</v>
      </c>
      <c r="Z184" s="26">
        <v>41081</v>
      </c>
      <c r="AA184" s="26">
        <v>20</v>
      </c>
      <c r="AB184" s="26">
        <v>0</v>
      </c>
      <c r="AC184" s="26">
        <v>0</v>
      </c>
      <c r="AD184" s="26">
        <v>31.973947093039801</v>
      </c>
    </row>
    <row r="185" spans="1:30" x14ac:dyDescent="0.2">
      <c r="A185">
        <f>_xlfn.XLOOKUP(E185,Lookups!$E:$E,Lookups!$F:$F,0)</f>
        <v>0</v>
      </c>
      <c r="B185">
        <v>1</v>
      </c>
      <c r="C185" s="3" t="d">
        <v>2026-07-03</v>
      </c>
      <c r="D185" s="3"/>
      <c r="E185" s="26" t="s">
        <v>244</v>
      </c>
      <c r="F185" s="26" t="s">
        <v>27</v>
      </c>
      <c r="G185" s="26" t="s">
        <v>77</v>
      </c>
      <c r="H185" s="26" t="s">
        <v>44</v>
      </c>
      <c r="I185" s="26">
        <v>33130</v>
      </c>
      <c r="J185" s="26">
        <v>46648</v>
      </c>
      <c r="K185" s="26">
        <v>113914</v>
      </c>
      <c r="L185" s="26">
        <v>54392475</v>
      </c>
      <c r="M185" s="26">
        <v>279125</v>
      </c>
      <c r="N185" s="26">
        <v>851925</v>
      </c>
      <c r="O185" s="26">
        <v>613359</v>
      </c>
      <c r="P185" s="26" t="s">
        <v>31</v>
      </c>
      <c r="Q185" s="26" t="s">
        <v>31</v>
      </c>
      <c r="R185" s="26" t="s">
        <v>31</v>
      </c>
      <c r="S185" s="26">
        <v>42401</v>
      </c>
      <c r="T185" s="26">
        <v>43600</v>
      </c>
      <c r="U185" s="26">
        <v>48637</v>
      </c>
      <c r="V185" s="26">
        <v>564505</v>
      </c>
      <c r="W185" s="26" t="s">
        <v>31</v>
      </c>
      <c r="X185" s="26" t="s">
        <v>31</v>
      </c>
      <c r="Y185" s="26">
        <v>80646</v>
      </c>
      <c r="Z185" s="26" t="s">
        <v>31</v>
      </c>
      <c r="AA185" s="26" t="s">
        <v>31</v>
      </c>
      <c r="AB185" s="26" t="s">
        <v>31</v>
      </c>
      <c r="AC185" s="26" t="s">
        <v>31</v>
      </c>
      <c r="AD185" s="26" t="s">
        <v>31</v>
      </c>
    </row>
    <row r="186" spans="1:30" x14ac:dyDescent="0.2">
      <c r="A186">
        <f>_xlfn.XLOOKUP(E186,Lookups!$E:$E,Lookups!$F:$F,0)</f>
        <v>0</v>
      </c>
      <c r="B186">
        <v>1</v>
      </c>
      <c r="C186" s="3" t="d">
        <v>2026-07-03</v>
      </c>
      <c r="D186" s="3"/>
      <c r="E186" s="26" t="s">
        <v>572</v>
      </c>
      <c r="F186" s="26" t="s">
        <v>27</v>
      </c>
      <c r="G186" s="26" t="s">
        <v>28</v>
      </c>
      <c r="H186" s="26" t="s">
        <v>57</v>
      </c>
      <c r="I186" s="26">
        <v>33148</v>
      </c>
      <c r="J186" s="26">
        <v>521284</v>
      </c>
      <c r="K186" s="26">
        <v>551</v>
      </c>
      <c r="L186" s="26">
        <v>429172</v>
      </c>
      <c r="M186" s="26">
        <v>274</v>
      </c>
      <c r="N186" s="26">
        <v>10013</v>
      </c>
      <c r="O186" s="26">
        <v>64563</v>
      </c>
      <c r="P186" s="26">
        <v>55000</v>
      </c>
      <c r="Q186" s="26">
        <v>20281605</v>
      </c>
      <c r="R186" s="26">
        <v>737603</v>
      </c>
      <c r="S186" s="26">
        <v>4446</v>
      </c>
      <c r="T186" s="26">
        <v>1498619</v>
      </c>
      <c r="U186" s="26">
        <v>234459</v>
      </c>
      <c r="V186" s="26">
        <v>992120</v>
      </c>
      <c r="W186" s="26">
        <v>19</v>
      </c>
      <c r="X186" s="26" t="s">
        <v>31</v>
      </c>
      <c r="Y186" s="26">
        <v>347787</v>
      </c>
      <c r="Z186" s="26">
        <v>132747</v>
      </c>
      <c r="AA186" s="26">
        <v>3</v>
      </c>
      <c r="AB186" s="26">
        <v>0</v>
      </c>
      <c r="AC186" s="26">
        <v>0</v>
      </c>
      <c r="AD186" s="26">
        <v>3.20966497822962</v>
      </c>
    </row>
    <row r="187" spans="1:30" x14ac:dyDescent="0.2">
      <c r="A187">
        <f>_xlfn.XLOOKUP(E187,Lookups!$E:$E,Lookups!$F:$F,0)</f>
        <v>0</v>
      </c>
      <c r="B187">
        <v>1</v>
      </c>
      <c r="C187" s="3" t="d">
        <v>2026-07-03</v>
      </c>
      <c r="D187" s="3"/>
      <c r="E187" s="26" t="s">
        <v>320</v>
      </c>
      <c r="F187" s="26" t="s">
        <v>27</v>
      </c>
      <c r="G187" s="26" t="s">
        <v>36</v>
      </c>
      <c r="H187" s="26" t="s">
        <v>37</v>
      </c>
      <c r="I187" s="26">
        <v>33230</v>
      </c>
      <c r="J187" s="26">
        <v>38442</v>
      </c>
      <c r="K187" s="26">
        <v>57870</v>
      </c>
      <c r="L187" s="26">
        <v>27230666</v>
      </c>
      <c r="M187" s="26">
        <v>494035</v>
      </c>
      <c r="N187" s="26">
        <v>2312813</v>
      </c>
      <c r="O187" s="26">
        <v>613359</v>
      </c>
      <c r="P187" s="26" t="s">
        <v>31</v>
      </c>
      <c r="Q187" s="26" t="s">
        <v>31</v>
      </c>
      <c r="R187" s="26" t="s">
        <v>31</v>
      </c>
      <c r="S187" s="26">
        <v>20148</v>
      </c>
      <c r="T187" s="26">
        <v>73475</v>
      </c>
      <c r="U187" s="26">
        <v>75708</v>
      </c>
      <c r="V187" s="26">
        <v>12860</v>
      </c>
      <c r="W187" s="26">
        <v>494</v>
      </c>
      <c r="X187" s="26">
        <v>220</v>
      </c>
      <c r="Y187" s="26">
        <v>104779</v>
      </c>
      <c r="Z187" s="26">
        <v>34452</v>
      </c>
      <c r="AA187" s="26">
        <v>54</v>
      </c>
      <c r="AB187" s="26">
        <v>0</v>
      </c>
      <c r="AC187" s="26">
        <v>0</v>
      </c>
      <c r="AD187" s="26">
        <v>73.831949805014801</v>
      </c>
    </row>
    <row r="188" spans="1:30" x14ac:dyDescent="0.2">
      <c r="A188">
        <f>_xlfn.XLOOKUP(E188,Lookups!$E:$E,Lookups!$F:$F,0)</f>
        <v>0</v>
      </c>
      <c r="B188">
        <v>1</v>
      </c>
      <c r="C188" s="3" t="d">
        <v>2026-07-03</v>
      </c>
      <c r="D188" s="3"/>
      <c r="E188" s="26" t="s">
        <v>252</v>
      </c>
      <c r="F188" s="26" t="s">
        <v>27</v>
      </c>
      <c r="G188" s="26" t="s">
        <v>28</v>
      </c>
      <c r="H188" s="26" t="s">
        <v>44</v>
      </c>
      <c r="I188" s="26">
        <v>33299</v>
      </c>
      <c r="J188" s="26">
        <v>66760</v>
      </c>
      <c r="K188" s="26">
        <v>108745</v>
      </c>
      <c r="L188" s="26">
        <v>22931324</v>
      </c>
      <c r="M188" s="26">
        <v>109185</v>
      </c>
      <c r="N188" s="26">
        <v>221702</v>
      </c>
      <c r="O188" s="26">
        <v>31831</v>
      </c>
      <c r="P188" s="26">
        <v>76300</v>
      </c>
      <c r="Q188" s="26">
        <v>10082804</v>
      </c>
      <c r="R188" s="26">
        <v>80323</v>
      </c>
      <c r="S188" s="26">
        <v>15723</v>
      </c>
      <c r="T188" s="26">
        <v>463625</v>
      </c>
      <c r="U188" s="26">
        <v>43570</v>
      </c>
      <c r="V188" s="26">
        <v>434782</v>
      </c>
      <c r="W188" s="26">
        <v>737</v>
      </c>
      <c r="X188" s="26" t="s">
        <v>31</v>
      </c>
      <c r="Y188" s="26">
        <v>54793</v>
      </c>
      <c r="Z188" s="26" t="s">
        <v>31</v>
      </c>
      <c r="AA188" s="26" t="s">
        <v>31</v>
      </c>
      <c r="AB188" s="26" t="s">
        <v>31</v>
      </c>
      <c r="AC188" s="26" t="s">
        <v>31</v>
      </c>
      <c r="AD188" s="26" t="s">
        <v>31</v>
      </c>
    </row>
    <row r="189" spans="1:30" x14ac:dyDescent="0.2">
      <c r="A189">
        <f>_xlfn.XLOOKUP(E189,Lookups!$E:$E,Lookups!$F:$F,0)</f>
        <v>0</v>
      </c>
      <c r="B189">
        <v>1</v>
      </c>
      <c r="C189" s="3" t="d">
        <v>2026-07-03</v>
      </c>
      <c r="D189" s="3"/>
      <c r="E189" s="26" t="s">
        <v>186</v>
      </c>
      <c r="F189" s="26" t="s">
        <v>27</v>
      </c>
      <c r="G189" s="26" t="s">
        <v>28</v>
      </c>
      <c r="H189" s="26" t="s">
        <v>187</v>
      </c>
      <c r="I189" s="26">
        <v>33393</v>
      </c>
      <c r="J189" s="26">
        <v>35991</v>
      </c>
      <c r="K189" s="26">
        <v>192530</v>
      </c>
      <c r="L189" s="26">
        <v>55163695</v>
      </c>
      <c r="M189" s="26">
        <v>224675</v>
      </c>
      <c r="N189" s="26">
        <v>368115</v>
      </c>
      <c r="O189" s="26">
        <v>613359</v>
      </c>
      <c r="P189" s="26" t="s">
        <v>31</v>
      </c>
      <c r="Q189" s="26" t="s">
        <v>31</v>
      </c>
      <c r="R189" s="26" t="s">
        <v>31</v>
      </c>
      <c r="S189" s="26">
        <v>37238</v>
      </c>
      <c r="T189" s="26">
        <v>47653</v>
      </c>
      <c r="U189" s="26">
        <v>138415</v>
      </c>
      <c r="V189" s="26">
        <v>437389</v>
      </c>
      <c r="W189" s="26">
        <v>2068</v>
      </c>
      <c r="X189" s="26" t="s">
        <v>31</v>
      </c>
      <c r="Y189" s="26">
        <v>129205</v>
      </c>
      <c r="Z189" s="26">
        <v>25020</v>
      </c>
      <c r="AA189" s="26">
        <v>86</v>
      </c>
      <c r="AB189" s="26">
        <v>1</v>
      </c>
      <c r="AC189" s="26">
        <v>1</v>
      </c>
      <c r="AD189" s="26">
        <v>123.383754478497</v>
      </c>
    </row>
    <row r="190" spans="1:30" x14ac:dyDescent="0.2">
      <c r="A190">
        <f>_xlfn.XLOOKUP(E190,Lookups!$E:$E,Lookups!$F:$F,0)</f>
        <v>0</v>
      </c>
      <c r="B190">
        <v>1</v>
      </c>
      <c r="C190" s="3" t="d">
        <v>2026-07-03</v>
      </c>
      <c r="D190" s="3"/>
      <c r="E190" s="26" t="s">
        <v>119</v>
      </c>
      <c r="F190" s="26" t="s">
        <v>27</v>
      </c>
      <c r="G190" s="26" t="s">
        <v>28</v>
      </c>
      <c r="H190" s="26" t="s">
        <v>46</v>
      </c>
      <c r="I190" s="26">
        <v>33471</v>
      </c>
      <c r="J190" s="26">
        <v>40153</v>
      </c>
      <c r="K190" s="26">
        <v>519632</v>
      </c>
      <c r="L190" s="26">
        <v>19024952</v>
      </c>
      <c r="M190" s="26">
        <v>133971</v>
      </c>
      <c r="N190" s="26">
        <v>244615</v>
      </c>
      <c r="O190" s="26">
        <v>613359</v>
      </c>
      <c r="P190" s="26" t="s">
        <v>31</v>
      </c>
      <c r="Q190" s="26" t="s">
        <v>31</v>
      </c>
      <c r="R190" s="26" t="s">
        <v>31</v>
      </c>
      <c r="S190" s="26">
        <v>37789</v>
      </c>
      <c r="T190" s="26" t="s">
        <v>31</v>
      </c>
      <c r="U190" s="26">
        <v>115</v>
      </c>
      <c r="V190" s="26">
        <v>1338505</v>
      </c>
      <c r="W190" s="26">
        <v>28066</v>
      </c>
      <c r="X190" s="26">
        <v>6093</v>
      </c>
      <c r="Y190" s="26">
        <v>88283</v>
      </c>
      <c r="Z190" s="26">
        <v>104614</v>
      </c>
      <c r="AA190" s="26">
        <v>45</v>
      </c>
      <c r="AB190" s="26">
        <v>1</v>
      </c>
      <c r="AC190" s="26">
        <v>1</v>
      </c>
      <c r="AD190" s="26">
        <v>28.837807071356998</v>
      </c>
    </row>
    <row r="191" spans="1:30" x14ac:dyDescent="0.2">
      <c r="A191">
        <f>_xlfn.XLOOKUP(E191,Lookups!$E:$E,Lookups!$F:$F,0)</f>
        <v>0</v>
      </c>
      <c r="B191">
        <v>1</v>
      </c>
      <c r="C191" s="3" t="d">
        <v>2026-07-03</v>
      </c>
      <c r="D191" s="3"/>
      <c r="E191" s="26" t="s">
        <v>573</v>
      </c>
      <c r="F191" s="26" t="s">
        <v>27</v>
      </c>
      <c r="G191" s="26" t="s">
        <v>28</v>
      </c>
      <c r="H191" s="26" t="s">
        <v>95</v>
      </c>
      <c r="I191" s="26">
        <v>33845</v>
      </c>
      <c r="J191" s="26">
        <v>678240</v>
      </c>
      <c r="K191" s="26">
        <v>413</v>
      </c>
      <c r="L191" s="26">
        <v>54768</v>
      </c>
      <c r="M191" s="26">
        <v>1</v>
      </c>
      <c r="N191" s="26">
        <v>1</v>
      </c>
      <c r="O191" s="26">
        <v>41225</v>
      </c>
      <c r="P191" s="26">
        <v>27000</v>
      </c>
      <c r="Q191" s="26">
        <v>1955690</v>
      </c>
      <c r="R191" s="26">
        <v>17369</v>
      </c>
      <c r="S191" s="26">
        <v>5489</v>
      </c>
      <c r="T191" s="26">
        <v>1064089</v>
      </c>
      <c r="U191" s="26">
        <v>405020</v>
      </c>
      <c r="V191" s="26">
        <v>574998</v>
      </c>
      <c r="W191" s="26">
        <v>71</v>
      </c>
      <c r="X191" s="26">
        <v>38</v>
      </c>
      <c r="Y191" s="26">
        <v>368476</v>
      </c>
      <c r="Z191" s="26">
        <v>86031</v>
      </c>
      <c r="AA191" s="26">
        <v>11</v>
      </c>
      <c r="AB191" s="26">
        <v>0</v>
      </c>
      <c r="AC191" s="26">
        <v>0</v>
      </c>
      <c r="AD191" s="26">
        <v>4.9571562067060198</v>
      </c>
    </row>
    <row r="192" spans="1:30" x14ac:dyDescent="0.2">
      <c r="A192">
        <f>_xlfn.XLOOKUP(E192,Lookups!$E:$E,Lookups!$F:$F,0)</f>
        <v>0</v>
      </c>
      <c r="B192">
        <v>1</v>
      </c>
      <c r="C192" s="3" t="d">
        <v>2026-07-03</v>
      </c>
      <c r="D192" s="3"/>
      <c r="E192" s="26" t="s">
        <v>235</v>
      </c>
      <c r="F192" s="26" t="s">
        <v>27</v>
      </c>
      <c r="G192" s="26" t="s">
        <v>28</v>
      </c>
      <c r="H192" s="26" t="s">
        <v>46</v>
      </c>
      <c r="I192" s="26">
        <v>33991</v>
      </c>
      <c r="J192" s="26">
        <v>41192</v>
      </c>
      <c r="K192" s="26">
        <v>121740</v>
      </c>
      <c r="L192" s="26">
        <v>47437333</v>
      </c>
      <c r="M192" s="26">
        <v>328025</v>
      </c>
      <c r="N192" s="26">
        <v>749804</v>
      </c>
      <c r="O192" s="26">
        <v>27665</v>
      </c>
      <c r="P192" s="26">
        <v>71000</v>
      </c>
      <c r="Q192" s="26">
        <v>24069247</v>
      </c>
      <c r="R192" s="26">
        <v>130988</v>
      </c>
      <c r="S192" s="26">
        <v>51147</v>
      </c>
      <c r="T192" s="26">
        <v>36239</v>
      </c>
      <c r="U192" s="26">
        <v>110711</v>
      </c>
      <c r="V192" s="26">
        <v>18146</v>
      </c>
      <c r="W192" s="26">
        <v>389</v>
      </c>
      <c r="X192" s="26" t="s">
        <v>31</v>
      </c>
      <c r="Y192" s="26">
        <v>47438</v>
      </c>
      <c r="Z192" s="26" t="s">
        <v>31</v>
      </c>
      <c r="AA192" s="26" t="s">
        <v>31</v>
      </c>
      <c r="AB192" s="26" t="s">
        <v>31</v>
      </c>
      <c r="AC192" s="26" t="s">
        <v>31</v>
      </c>
      <c r="AD192" s="26" t="s">
        <v>31</v>
      </c>
    </row>
    <row r="193" spans="1:30" x14ac:dyDescent="0.2">
      <c r="A193">
        <f>_xlfn.XLOOKUP(E193,Lookups!$E:$E,Lookups!$F:$F,0)</f>
        <v>0</v>
      </c>
      <c r="B193">
        <v>1</v>
      </c>
      <c r="C193" s="3" t="d">
        <v>2026-07-03</v>
      </c>
      <c r="D193" s="3"/>
      <c r="E193" s="26" t="s">
        <v>237</v>
      </c>
      <c r="F193" s="26" t="s">
        <v>27</v>
      </c>
      <c r="G193" s="26" t="s">
        <v>28</v>
      </c>
      <c r="H193" s="26" t="s">
        <v>138</v>
      </c>
      <c r="I193" s="26">
        <v>34166</v>
      </c>
      <c r="J193" s="26">
        <v>45685</v>
      </c>
      <c r="K193" s="26">
        <v>119308</v>
      </c>
      <c r="L193" s="26">
        <v>68827731</v>
      </c>
      <c r="M193" s="26">
        <v>227754</v>
      </c>
      <c r="N193" s="26">
        <v>1411419</v>
      </c>
      <c r="O193" s="26">
        <v>29480</v>
      </c>
      <c r="P193" s="26">
        <v>38700</v>
      </c>
      <c r="Q193" s="26">
        <v>64806343</v>
      </c>
      <c r="R193" s="26">
        <v>542808</v>
      </c>
      <c r="S193" s="26">
        <v>37859</v>
      </c>
      <c r="T193" s="26">
        <v>3</v>
      </c>
      <c r="U193" s="26">
        <v>174825</v>
      </c>
      <c r="V193" s="26">
        <v>470075</v>
      </c>
      <c r="W193" s="26">
        <v>12296</v>
      </c>
      <c r="X193" s="26" t="s">
        <v>31</v>
      </c>
      <c r="Y193" s="26">
        <v>48671</v>
      </c>
      <c r="Z193" s="26">
        <v>12508</v>
      </c>
      <c r="AA193" s="26">
        <v>251</v>
      </c>
      <c r="AB193" s="26">
        <v>2</v>
      </c>
      <c r="AC193" s="26">
        <v>16</v>
      </c>
      <c r="AD193" s="26">
        <v>341.94814578207001</v>
      </c>
    </row>
    <row r="194" spans="1:30" x14ac:dyDescent="0.2">
      <c r="A194">
        <f>_xlfn.XLOOKUP(E194,Lookups!$E:$E,Lookups!$F:$F,0)</f>
        <v>0</v>
      </c>
      <c r="B194">
        <v>1</v>
      </c>
      <c r="C194" s="3" t="d">
        <v>2026-07-03</v>
      </c>
      <c r="D194" s="3"/>
      <c r="E194" s="26" t="s">
        <v>158</v>
      </c>
      <c r="F194" s="26" t="s">
        <v>27</v>
      </c>
      <c r="G194" s="26" t="s">
        <v>28</v>
      </c>
      <c r="H194" s="26" t="s">
        <v>37</v>
      </c>
      <c r="I194" s="26">
        <v>34294</v>
      </c>
      <c r="J194" s="26">
        <v>22765</v>
      </c>
      <c r="K194" s="26">
        <v>259301</v>
      </c>
      <c r="L194" s="26">
        <v>46032969</v>
      </c>
      <c r="M194" s="26">
        <v>346135</v>
      </c>
      <c r="N194" s="26">
        <v>615077</v>
      </c>
      <c r="O194" s="26">
        <v>611882</v>
      </c>
      <c r="P194" s="26">
        <v>1</v>
      </c>
      <c r="Q194" s="26">
        <v>5</v>
      </c>
      <c r="R194" s="26">
        <v>1</v>
      </c>
      <c r="S194" s="26">
        <v>109597</v>
      </c>
      <c r="T194" s="26" t="s">
        <v>31</v>
      </c>
      <c r="U194" s="26" t="s">
        <v>31</v>
      </c>
      <c r="V194" s="26">
        <v>78949</v>
      </c>
      <c r="W194" s="26">
        <v>447</v>
      </c>
      <c r="X194" s="26">
        <v>68</v>
      </c>
      <c r="Y194" s="26">
        <v>58821</v>
      </c>
      <c r="Z194" s="26" t="s">
        <v>31</v>
      </c>
      <c r="AA194" s="26" t="s">
        <v>31</v>
      </c>
      <c r="AB194" s="26" t="s">
        <v>31</v>
      </c>
      <c r="AC194" s="26" t="s">
        <v>31</v>
      </c>
      <c r="AD194" s="26" t="s">
        <v>31</v>
      </c>
    </row>
    <row r="195" spans="1:30" x14ac:dyDescent="0.2">
      <c r="A195">
        <f>_xlfn.XLOOKUP(E195,Lookups!$E:$E,Lookups!$F:$F,0)</f>
        <v>0</v>
      </c>
      <c r="B195">
        <v>1</v>
      </c>
      <c r="C195" s="3" t="d">
        <v>2026-07-03</v>
      </c>
      <c r="D195" s="3"/>
      <c r="E195" s="26" t="s">
        <v>420</v>
      </c>
      <c r="F195" s="26" t="s">
        <v>27</v>
      </c>
      <c r="G195" s="26" t="s">
        <v>28</v>
      </c>
      <c r="H195" s="26" t="s">
        <v>37</v>
      </c>
      <c r="I195" s="26">
        <v>34402</v>
      </c>
      <c r="J195" s="26">
        <v>48357</v>
      </c>
      <c r="K195" s="26">
        <v>26300</v>
      </c>
      <c r="L195" s="26">
        <v>33211039</v>
      </c>
      <c r="M195" s="26">
        <v>228709</v>
      </c>
      <c r="N195" s="26">
        <v>2625445</v>
      </c>
      <c r="O195" s="26">
        <v>613359</v>
      </c>
      <c r="P195" s="26" t="s">
        <v>31</v>
      </c>
      <c r="Q195" s="26" t="s">
        <v>31</v>
      </c>
      <c r="R195" s="26" t="s">
        <v>31</v>
      </c>
      <c r="S195" s="26">
        <v>97699</v>
      </c>
      <c r="T195" s="26" t="s">
        <v>31</v>
      </c>
      <c r="U195" s="26">
        <v>53277</v>
      </c>
      <c r="V195" s="26">
        <v>68759</v>
      </c>
      <c r="W195" s="26">
        <v>166</v>
      </c>
      <c r="X195" s="26" t="s">
        <v>31</v>
      </c>
      <c r="Y195" s="26">
        <v>150083</v>
      </c>
      <c r="Z195" s="26" t="s">
        <v>31</v>
      </c>
      <c r="AA195" s="26" t="s">
        <v>31</v>
      </c>
      <c r="AB195" s="26" t="s">
        <v>31</v>
      </c>
      <c r="AC195" s="26" t="s">
        <v>31</v>
      </c>
      <c r="AD195" s="26" t="s">
        <v>31</v>
      </c>
    </row>
    <row r="196" spans="1:30" x14ac:dyDescent="0.2">
      <c r="A196">
        <f>_xlfn.XLOOKUP(E196,Lookups!$E:$E,Lookups!$F:$F,0)</f>
        <v>0</v>
      </c>
      <c r="B196">
        <v>1</v>
      </c>
      <c r="C196" s="3" t="d">
        <v>2026-07-03</v>
      </c>
      <c r="D196" s="3"/>
      <c r="E196" s="26" t="s">
        <v>203</v>
      </c>
      <c r="F196" s="26" t="s">
        <v>27</v>
      </c>
      <c r="G196" s="26" t="s">
        <v>28</v>
      </c>
      <c r="H196" s="26" t="s">
        <v>37</v>
      </c>
      <c r="I196" s="26">
        <v>34564</v>
      </c>
      <c r="J196" s="26">
        <v>70711</v>
      </c>
      <c r="K196" s="26">
        <v>160980</v>
      </c>
      <c r="L196" s="26">
        <v>12544222</v>
      </c>
      <c r="M196" s="26">
        <v>56023</v>
      </c>
      <c r="N196" s="26">
        <v>187783</v>
      </c>
      <c r="O196" s="26">
        <v>30120</v>
      </c>
      <c r="P196" s="26">
        <v>144000</v>
      </c>
      <c r="Q196" s="26">
        <v>35051998</v>
      </c>
      <c r="R196" s="26">
        <v>264836</v>
      </c>
      <c r="S196" s="26">
        <v>28101</v>
      </c>
      <c r="T196" s="26" t="s">
        <v>31</v>
      </c>
      <c r="U196" s="26">
        <v>347622</v>
      </c>
      <c r="V196" s="26">
        <v>1305734</v>
      </c>
      <c r="W196" s="26">
        <v>3729</v>
      </c>
      <c r="X196" s="26">
        <v>1696</v>
      </c>
      <c r="Y196" s="26">
        <v>405165</v>
      </c>
      <c r="Z196" s="26">
        <v>81420</v>
      </c>
      <c r="AA196" s="26">
        <v>25</v>
      </c>
      <c r="AB196" s="26">
        <v>0</v>
      </c>
      <c r="AC196" s="26">
        <v>0</v>
      </c>
      <c r="AD196" s="26">
        <v>19.672290423952401</v>
      </c>
    </row>
    <row r="197" spans="1:30" x14ac:dyDescent="0.2">
      <c r="A197">
        <f>_xlfn.XLOOKUP(E197,Lookups!$E:$E,Lookups!$F:$F,0)</f>
        <v>0</v>
      </c>
      <c r="B197">
        <v>1</v>
      </c>
      <c r="C197" s="3" t="d">
        <v>2026-07-03</v>
      </c>
      <c r="D197" s="3"/>
      <c r="E197" s="26" t="s">
        <v>293</v>
      </c>
      <c r="F197" s="26" t="s">
        <v>27</v>
      </c>
      <c r="G197" s="26" t="s">
        <v>28</v>
      </c>
      <c r="H197" s="26" t="s">
        <v>29</v>
      </c>
      <c r="I197" s="26">
        <v>34604</v>
      </c>
      <c r="J197" s="26">
        <v>27772</v>
      </c>
      <c r="K197" s="26">
        <v>71471</v>
      </c>
      <c r="L197" s="26">
        <v>64863981</v>
      </c>
      <c r="M197" s="26">
        <v>320884</v>
      </c>
      <c r="N197" s="26">
        <v>3771475</v>
      </c>
      <c r="O197" s="26">
        <v>88610</v>
      </c>
      <c r="P197" s="26">
        <v>8430</v>
      </c>
      <c r="Q197" s="26">
        <v>196757</v>
      </c>
      <c r="R197" s="26">
        <v>2679</v>
      </c>
      <c r="S197" s="26">
        <v>43367</v>
      </c>
      <c r="T197" s="26">
        <v>37419</v>
      </c>
      <c r="U197" s="26">
        <v>61140</v>
      </c>
      <c r="V197" s="26">
        <v>54082</v>
      </c>
      <c r="W197" s="26">
        <v>55</v>
      </c>
      <c r="X197" s="26" t="s">
        <v>31</v>
      </c>
      <c r="Y197" s="26">
        <v>341701</v>
      </c>
      <c r="Z197" s="26">
        <v>11313</v>
      </c>
      <c r="AA197" s="26">
        <v>73</v>
      </c>
      <c r="AB197" s="26">
        <v>0</v>
      </c>
      <c r="AC197" s="26">
        <v>0</v>
      </c>
      <c r="AD197" s="26">
        <v>144.90099799419801</v>
      </c>
    </row>
    <row r="198" spans="1:30" x14ac:dyDescent="0.2">
      <c r="A198">
        <f>_xlfn.XLOOKUP(E198,Lookups!$E:$E,Lookups!$F:$F,0)</f>
        <v>0</v>
      </c>
      <c r="B198">
        <v>1</v>
      </c>
      <c r="C198" s="3" t="d">
        <v>2026-07-03</v>
      </c>
      <c r="D198" s="3"/>
      <c r="E198" s="26" t="s">
        <v>260</v>
      </c>
      <c r="F198" s="26" t="s">
        <v>27</v>
      </c>
      <c r="G198" s="26" t="s">
        <v>36</v>
      </c>
      <c r="H198" s="26" t="s">
        <v>53</v>
      </c>
      <c r="I198" s="26">
        <v>34685</v>
      </c>
      <c r="J198" s="26">
        <v>12231</v>
      </c>
      <c r="K198" s="26">
        <v>101143</v>
      </c>
      <c r="L198" s="26">
        <v>186941065</v>
      </c>
      <c r="M198" s="26">
        <v>1497066</v>
      </c>
      <c r="N198" s="26">
        <v>6989609</v>
      </c>
      <c r="O198" s="26">
        <v>613359</v>
      </c>
      <c r="P198" s="26" t="s">
        <v>31</v>
      </c>
      <c r="Q198" s="26" t="s">
        <v>31</v>
      </c>
      <c r="R198" s="26" t="s">
        <v>31</v>
      </c>
      <c r="S198" s="26">
        <v>117174</v>
      </c>
      <c r="T198" s="26">
        <v>99072</v>
      </c>
      <c r="U198" s="26">
        <v>18087</v>
      </c>
      <c r="V198" s="26">
        <v>4407</v>
      </c>
      <c r="W198" s="26">
        <v>1411</v>
      </c>
      <c r="X198" s="26" t="s">
        <v>31</v>
      </c>
      <c r="Y198" s="26">
        <v>33474</v>
      </c>
      <c r="Z198" s="26" t="s">
        <v>31</v>
      </c>
      <c r="AA198" s="26" t="s">
        <v>31</v>
      </c>
      <c r="AB198" s="26" t="s">
        <v>31</v>
      </c>
      <c r="AC198" s="26" t="s">
        <v>31</v>
      </c>
      <c r="AD198" s="26" t="s">
        <v>31</v>
      </c>
    </row>
    <row r="199" spans="1:30" x14ac:dyDescent="0.2">
      <c r="A199">
        <f>_xlfn.XLOOKUP(E199,Lookups!$E:$E,Lookups!$F:$F,0)</f>
        <v>0</v>
      </c>
      <c r="B199">
        <v>1</v>
      </c>
      <c r="C199" s="3" t="d">
        <v>2026-07-03</v>
      </c>
      <c r="D199" s="3"/>
      <c r="E199" s="26" t="s">
        <v>308</v>
      </c>
      <c r="F199" s="26" t="s">
        <v>27</v>
      </c>
      <c r="G199" s="26" t="s">
        <v>36</v>
      </c>
      <c r="H199" s="26" t="s">
        <v>37</v>
      </c>
      <c r="I199" s="26">
        <v>34708</v>
      </c>
      <c r="J199" s="26">
        <v>38111</v>
      </c>
      <c r="K199" s="26">
        <v>64980</v>
      </c>
      <c r="L199" s="26">
        <v>49702529</v>
      </c>
      <c r="M199" s="26">
        <v>303389</v>
      </c>
      <c r="N199" s="26">
        <v>2750203</v>
      </c>
      <c r="O199" s="26">
        <v>613359</v>
      </c>
      <c r="P199" s="26" t="s">
        <v>31</v>
      </c>
      <c r="Q199" s="26" t="s">
        <v>31</v>
      </c>
      <c r="R199" s="26" t="s">
        <v>31</v>
      </c>
      <c r="S199" s="26">
        <v>834709</v>
      </c>
      <c r="T199" s="26" t="s">
        <v>31</v>
      </c>
      <c r="U199" s="26" t="s">
        <v>31</v>
      </c>
      <c r="V199" s="26" t="s">
        <v>31</v>
      </c>
      <c r="W199" s="26">
        <v>88</v>
      </c>
      <c r="X199" s="26">
        <v>21</v>
      </c>
      <c r="Y199" s="26">
        <v>213874</v>
      </c>
      <c r="Z199" s="26" t="s">
        <v>31</v>
      </c>
      <c r="AA199" s="26" t="s">
        <v>31</v>
      </c>
      <c r="AB199" s="26" t="s">
        <v>31</v>
      </c>
      <c r="AC199" s="26" t="s">
        <v>31</v>
      </c>
      <c r="AD199" s="26" t="s">
        <v>31</v>
      </c>
    </row>
    <row r="200" spans="1:30" x14ac:dyDescent="0.2">
      <c r="A200">
        <f>_xlfn.XLOOKUP(E200,Lookups!$E:$E,Lookups!$F:$F,0)</f>
        <v>0</v>
      </c>
      <c r="B200">
        <v>1</v>
      </c>
      <c r="C200" s="3" t="d">
        <v>2026-07-03</v>
      </c>
      <c r="D200" s="3"/>
      <c r="E200" s="26" t="s">
        <v>261</v>
      </c>
      <c r="F200" s="26" t="s">
        <v>27</v>
      </c>
      <c r="G200" s="26" t="s">
        <v>28</v>
      </c>
      <c r="H200" s="26" t="s">
        <v>70</v>
      </c>
      <c r="I200" s="26">
        <v>34853</v>
      </c>
      <c r="J200" s="26">
        <v>43255</v>
      </c>
      <c r="K200" s="26">
        <v>100548</v>
      </c>
      <c r="L200" s="26">
        <v>56286320</v>
      </c>
      <c r="M200" s="26">
        <v>391347</v>
      </c>
      <c r="N200" s="26">
        <v>1162053</v>
      </c>
      <c r="O200" s="26">
        <v>613359</v>
      </c>
      <c r="P200" s="26" t="s">
        <v>31</v>
      </c>
      <c r="Q200" s="26" t="s">
        <v>31</v>
      </c>
      <c r="R200" s="26" t="s">
        <v>31</v>
      </c>
      <c r="S200" s="26">
        <v>56504</v>
      </c>
      <c r="T200" s="26" t="s">
        <v>31</v>
      </c>
      <c r="U200" s="26">
        <v>41348</v>
      </c>
      <c r="V200" s="26">
        <v>87867</v>
      </c>
      <c r="W200" s="26">
        <v>333</v>
      </c>
      <c r="X200" s="26" t="s">
        <v>31</v>
      </c>
      <c r="Y200" s="26">
        <v>176348</v>
      </c>
      <c r="Z200" s="26">
        <v>13023</v>
      </c>
      <c r="AA200" s="26">
        <v>123</v>
      </c>
      <c r="AB200" s="26">
        <v>1</v>
      </c>
      <c r="AC200" s="26">
        <v>10</v>
      </c>
      <c r="AD200" s="26">
        <v>246.308842390672</v>
      </c>
    </row>
    <row r="201" spans="1:30" x14ac:dyDescent="0.2">
      <c r="A201">
        <f>_xlfn.XLOOKUP(E201,Lookups!$E:$E,Lookups!$F:$F,0)</f>
        <v>0</v>
      </c>
      <c r="B201">
        <v>1</v>
      </c>
      <c r="C201" s="3" t="d">
        <v>2026-07-03</v>
      </c>
      <c r="D201" s="3"/>
      <c r="E201" s="26" t="s">
        <v>574</v>
      </c>
      <c r="F201" s="26" t="s">
        <v>27</v>
      </c>
      <c r="G201" s="26" t="s">
        <v>28</v>
      </c>
      <c r="H201" s="26" t="s">
        <v>95</v>
      </c>
      <c r="I201" s="26">
        <v>34875</v>
      </c>
      <c r="J201" s="26">
        <v>575362</v>
      </c>
      <c r="K201" s="26">
        <v>525</v>
      </c>
      <c r="L201" s="26">
        <v>74010</v>
      </c>
      <c r="M201" s="26">
        <v>231</v>
      </c>
      <c r="N201" s="26">
        <v>402</v>
      </c>
      <c r="O201" s="26">
        <v>613359</v>
      </c>
      <c r="P201" s="26" t="s">
        <v>31</v>
      </c>
      <c r="Q201" s="26" t="s">
        <v>31</v>
      </c>
      <c r="R201" s="26" t="s">
        <v>31</v>
      </c>
      <c r="S201" s="26">
        <v>6140</v>
      </c>
      <c r="T201" s="26">
        <v>567068</v>
      </c>
      <c r="U201" s="26">
        <v>3031068</v>
      </c>
      <c r="V201" s="26">
        <v>77193</v>
      </c>
      <c r="W201" s="26">
        <v>48</v>
      </c>
      <c r="X201" s="26">
        <v>758</v>
      </c>
      <c r="Y201" s="26">
        <v>443054</v>
      </c>
      <c r="Z201" s="26" t="s">
        <v>31</v>
      </c>
      <c r="AA201" s="26" t="s">
        <v>31</v>
      </c>
      <c r="AB201" s="26" t="s">
        <v>31</v>
      </c>
      <c r="AC201" s="26" t="s">
        <v>31</v>
      </c>
      <c r="AD201" s="26" t="s">
        <v>31</v>
      </c>
    </row>
    <row r="202" spans="1:30" x14ac:dyDescent="0.2">
      <c r="A202">
        <f>_xlfn.XLOOKUP(E202,Lookups!$E:$E,Lookups!$F:$F,0)</f>
        <v>0</v>
      </c>
      <c r="B202">
        <v>1</v>
      </c>
      <c r="C202" s="3" t="d">
        <v>2026-07-03</v>
      </c>
      <c r="D202" s="3"/>
      <c r="E202" s="26" t="s">
        <v>575</v>
      </c>
      <c r="F202" s="26" t="s">
        <v>27</v>
      </c>
      <c r="G202" s="26" t="s">
        <v>28</v>
      </c>
      <c r="H202" s="26" t="s">
        <v>95</v>
      </c>
      <c r="I202" s="26">
        <v>35231</v>
      </c>
      <c r="J202" s="26">
        <v>23504</v>
      </c>
      <c r="K202" s="26">
        <v>10804</v>
      </c>
      <c r="L202" s="26">
        <v>31903728</v>
      </c>
      <c r="M202" s="26">
        <v>855772</v>
      </c>
      <c r="N202" s="26">
        <v>3136361</v>
      </c>
      <c r="O202" s="26">
        <v>613359</v>
      </c>
      <c r="P202" s="26" t="s">
        <v>31</v>
      </c>
      <c r="Q202" s="26" t="s">
        <v>31</v>
      </c>
      <c r="R202" s="26" t="s">
        <v>31</v>
      </c>
      <c r="S202" s="26">
        <v>834709</v>
      </c>
      <c r="T202" s="26" t="s">
        <v>31</v>
      </c>
      <c r="U202" s="26" t="s">
        <v>31</v>
      </c>
      <c r="V202" s="26" t="s">
        <v>31</v>
      </c>
      <c r="W202" s="26" t="s">
        <v>31</v>
      </c>
      <c r="X202" s="26" t="s">
        <v>31</v>
      </c>
      <c r="Y202" s="26">
        <v>466238</v>
      </c>
      <c r="Z202" s="26" t="s">
        <v>31</v>
      </c>
      <c r="AA202" s="26" t="s">
        <v>31</v>
      </c>
      <c r="AB202" s="26" t="s">
        <v>31</v>
      </c>
      <c r="AC202" s="26" t="s">
        <v>31</v>
      </c>
      <c r="AD202" s="26" t="s">
        <v>31</v>
      </c>
    </row>
    <row r="203" spans="1:30" x14ac:dyDescent="0.2">
      <c r="A203">
        <f>_xlfn.XLOOKUP(E203,Lookups!$E:$E,Lookups!$F:$F,0)</f>
        <v>0</v>
      </c>
      <c r="B203">
        <v>1</v>
      </c>
      <c r="C203" s="3" t="d">
        <v>2026-07-03</v>
      </c>
      <c r="D203" s="3"/>
      <c r="E203" s="26" t="s">
        <v>576</v>
      </c>
      <c r="F203" s="26" t="s">
        <v>27</v>
      </c>
      <c r="G203" s="26" t="s">
        <v>28</v>
      </c>
      <c r="H203" s="26" t="s">
        <v>46</v>
      </c>
      <c r="I203" s="26">
        <v>35365</v>
      </c>
      <c r="J203" s="26">
        <v>398023</v>
      </c>
      <c r="K203" s="26">
        <v>923</v>
      </c>
      <c r="L203" s="26">
        <v>1844297</v>
      </c>
      <c r="M203" s="26">
        <v>209</v>
      </c>
      <c r="N203" s="26">
        <v>37836</v>
      </c>
      <c r="O203" s="26">
        <v>613359</v>
      </c>
      <c r="P203" s="26" t="s">
        <v>31</v>
      </c>
      <c r="Q203" s="26" t="s">
        <v>31</v>
      </c>
      <c r="R203" s="26" t="s">
        <v>31</v>
      </c>
      <c r="S203" s="26">
        <v>2655</v>
      </c>
      <c r="T203" s="26">
        <v>1870451</v>
      </c>
      <c r="U203" s="26">
        <v>273029</v>
      </c>
      <c r="V203" s="26">
        <v>318634</v>
      </c>
      <c r="W203" s="26">
        <v>7</v>
      </c>
      <c r="X203" s="26" t="s">
        <v>31</v>
      </c>
      <c r="Y203" s="26">
        <v>395348</v>
      </c>
      <c r="Z203" s="26">
        <v>72456</v>
      </c>
      <c r="AA203" s="26">
        <v>10</v>
      </c>
      <c r="AB203" s="26">
        <v>0</v>
      </c>
      <c r="AC203" s="26">
        <v>0</v>
      </c>
      <c r="AD203" s="26">
        <v>16.314368798464201</v>
      </c>
    </row>
    <row r="204" spans="1:30" x14ac:dyDescent="0.2">
      <c r="A204">
        <f>_xlfn.XLOOKUP(E204,Lookups!$E:$E,Lookups!$F:$F,0)</f>
        <v>0</v>
      </c>
      <c r="B204">
        <v>1</v>
      </c>
      <c r="C204" s="3" t="d">
        <v>2026-07-03</v>
      </c>
      <c r="D204" s="3"/>
      <c r="E204" s="26" t="s">
        <v>443</v>
      </c>
      <c r="F204" s="26" t="s">
        <v>27</v>
      </c>
      <c r="G204" s="26" t="s">
        <v>77</v>
      </c>
      <c r="H204" s="26" t="s">
        <v>118</v>
      </c>
      <c r="I204" s="26">
        <v>35444</v>
      </c>
      <c r="J204" s="26">
        <v>25087</v>
      </c>
      <c r="K204" s="26">
        <v>21368</v>
      </c>
      <c r="L204" s="26">
        <v>63478812</v>
      </c>
      <c r="M204" s="26">
        <v>682971</v>
      </c>
      <c r="N204" s="26">
        <v>423692</v>
      </c>
      <c r="O204" s="26">
        <v>42415</v>
      </c>
      <c r="P204" s="26">
        <v>62700</v>
      </c>
      <c r="Q204" s="26">
        <v>7965439</v>
      </c>
      <c r="R204" s="26">
        <v>204467</v>
      </c>
      <c r="S204" s="26">
        <v>39230</v>
      </c>
      <c r="T204" s="26">
        <v>460447</v>
      </c>
      <c r="U204" s="26">
        <v>140836</v>
      </c>
      <c r="V204" s="26" t="s">
        <v>31</v>
      </c>
      <c r="W204" s="26">
        <v>729</v>
      </c>
      <c r="X204" s="26" t="s">
        <v>31</v>
      </c>
      <c r="Y204" s="26">
        <v>225871</v>
      </c>
      <c r="Z204" s="26" t="s">
        <v>31</v>
      </c>
      <c r="AA204" s="26" t="s">
        <v>31</v>
      </c>
      <c r="AB204" s="26" t="s">
        <v>31</v>
      </c>
      <c r="AC204" s="26" t="s">
        <v>31</v>
      </c>
      <c r="AD204" s="26" t="s">
        <v>31</v>
      </c>
    </row>
    <row r="205" spans="1:30" x14ac:dyDescent="0.2">
      <c r="A205">
        <f>_xlfn.XLOOKUP(E205,Lookups!$E:$E,Lookups!$F:$F,0)</f>
        <v>0</v>
      </c>
      <c r="B205">
        <v>1</v>
      </c>
      <c r="C205" s="3" t="d">
        <v>2026-07-03</v>
      </c>
      <c r="D205" s="3"/>
      <c r="E205" s="26" t="s">
        <v>210</v>
      </c>
      <c r="F205" s="26" t="s">
        <v>27</v>
      </c>
      <c r="G205" s="26" t="s">
        <v>28</v>
      </c>
      <c r="H205" s="26" t="s">
        <v>33</v>
      </c>
      <c r="I205" s="26">
        <v>35500</v>
      </c>
      <c r="J205" s="26">
        <v>37604</v>
      </c>
      <c r="K205" s="26">
        <v>151792</v>
      </c>
      <c r="L205" s="26">
        <v>75007623</v>
      </c>
      <c r="M205" s="26">
        <v>245712</v>
      </c>
      <c r="N205" s="26">
        <v>1167737</v>
      </c>
      <c r="O205" s="26">
        <v>59791</v>
      </c>
      <c r="P205" s="26">
        <v>19000</v>
      </c>
      <c r="Q205" s="26">
        <v>4661062</v>
      </c>
      <c r="R205" s="26">
        <v>47763</v>
      </c>
      <c r="S205" s="26">
        <v>28938</v>
      </c>
      <c r="T205" s="26">
        <v>50861</v>
      </c>
      <c r="U205" s="26">
        <v>62076</v>
      </c>
      <c r="V205" s="26">
        <v>52759</v>
      </c>
      <c r="W205" s="26">
        <v>486</v>
      </c>
      <c r="X205" s="26" t="s">
        <v>31</v>
      </c>
      <c r="Y205" s="26">
        <v>171021</v>
      </c>
      <c r="Z205" s="26">
        <v>10206</v>
      </c>
      <c r="AA205" s="26">
        <v>207</v>
      </c>
      <c r="AB205" s="26">
        <v>0</v>
      </c>
      <c r="AC205" s="26">
        <v>0</v>
      </c>
      <c r="AD205" s="26">
        <v>254.61717240355401</v>
      </c>
    </row>
    <row r="206" spans="1:30" x14ac:dyDescent="0.2">
      <c r="A206">
        <f>_xlfn.XLOOKUP(E206,Lookups!$E:$E,Lookups!$F:$F,0)</f>
        <v>0</v>
      </c>
      <c r="B206">
        <v>1</v>
      </c>
      <c r="C206" s="3" t="d">
        <v>2026-07-03</v>
      </c>
      <c r="D206" s="3"/>
      <c r="E206" s="26" t="s">
        <v>144</v>
      </c>
      <c r="F206" s="26" t="s">
        <v>27</v>
      </c>
      <c r="G206" s="26" t="s">
        <v>28</v>
      </c>
      <c r="H206" s="26" t="s">
        <v>46</v>
      </c>
      <c r="I206" s="26">
        <v>35560</v>
      </c>
      <c r="J206" s="26">
        <v>21448</v>
      </c>
      <c r="K206" s="26">
        <v>352975</v>
      </c>
      <c r="L206" s="26">
        <v>1566119</v>
      </c>
      <c r="M206" s="26">
        <v>1061199</v>
      </c>
      <c r="N206" s="26">
        <v>6607</v>
      </c>
      <c r="O206" s="26">
        <v>613359</v>
      </c>
      <c r="P206" s="26" t="s">
        <v>31</v>
      </c>
      <c r="Q206" s="26" t="s">
        <v>31</v>
      </c>
      <c r="R206" s="26" t="s">
        <v>31</v>
      </c>
      <c r="S206" s="26">
        <v>834709</v>
      </c>
      <c r="T206" s="26" t="s">
        <v>31</v>
      </c>
      <c r="U206" s="26" t="s">
        <v>31</v>
      </c>
      <c r="V206" s="26" t="s">
        <v>31</v>
      </c>
      <c r="W206" s="26">
        <v>7</v>
      </c>
      <c r="X206" s="26" t="s">
        <v>31</v>
      </c>
      <c r="Y206" s="26">
        <v>343007</v>
      </c>
      <c r="Z206" s="26">
        <v>117911</v>
      </c>
      <c r="AA206" s="26">
        <v>1</v>
      </c>
      <c r="AB206" s="26">
        <v>0</v>
      </c>
      <c r="AC206" s="26">
        <v>0</v>
      </c>
      <c r="AD206" s="26">
        <v>2.3200174297394902</v>
      </c>
    </row>
    <row r="207" spans="1:30" x14ac:dyDescent="0.2">
      <c r="A207">
        <f>_xlfn.XLOOKUP(E207,Lookups!$E:$E,Lookups!$F:$F,0)</f>
        <v>0</v>
      </c>
      <c r="B207">
        <v>1</v>
      </c>
      <c r="C207" s="3" t="d">
        <v>2026-07-03</v>
      </c>
      <c r="D207" s="3"/>
      <c r="E207" s="26" t="s">
        <v>577</v>
      </c>
      <c r="F207" s="26" t="s">
        <v>27</v>
      </c>
      <c r="G207" s="26" t="s">
        <v>28</v>
      </c>
      <c r="H207" s="26" t="s">
        <v>31</v>
      </c>
      <c r="I207" s="26">
        <v>36070</v>
      </c>
      <c r="J207" s="26">
        <v>263946</v>
      </c>
      <c r="K207" s="26">
        <v>6243</v>
      </c>
      <c r="L207" s="26">
        <v>1417523</v>
      </c>
      <c r="M207" s="26">
        <v>5535</v>
      </c>
      <c r="N207" s="26">
        <v>195</v>
      </c>
      <c r="O207" s="26">
        <v>19583</v>
      </c>
      <c r="P207" s="26">
        <v>171000</v>
      </c>
      <c r="Q207" s="26">
        <v>55480799</v>
      </c>
      <c r="R207" s="26">
        <v>622104</v>
      </c>
      <c r="S207" s="26">
        <v>17395</v>
      </c>
      <c r="T207" s="26">
        <v>266342</v>
      </c>
      <c r="U207" s="26">
        <v>8891</v>
      </c>
      <c r="V207" s="26">
        <v>588180</v>
      </c>
      <c r="W207" s="26">
        <v>56</v>
      </c>
      <c r="X207" s="26">
        <v>894</v>
      </c>
      <c r="Y207" s="26">
        <v>131675</v>
      </c>
      <c r="Z207" s="26">
        <v>50753</v>
      </c>
      <c r="AA207" s="26">
        <v>32</v>
      </c>
      <c r="AB207" s="26">
        <v>0</v>
      </c>
      <c r="AC207" s="26">
        <v>0</v>
      </c>
      <c r="AD207" s="26">
        <v>24.531369524646301</v>
      </c>
    </row>
    <row r="208" spans="1:30" x14ac:dyDescent="0.2">
      <c r="A208">
        <f>_xlfn.XLOOKUP(E208,Lookups!$E:$E,Lookups!$F:$F,0)</f>
        <v>0</v>
      </c>
      <c r="B208">
        <v>1</v>
      </c>
      <c r="C208" s="3" t="d">
        <v>2026-07-03</v>
      </c>
      <c r="D208" s="3"/>
      <c r="E208" s="26" t="s">
        <v>251</v>
      </c>
      <c r="F208" s="26" t="s">
        <v>27</v>
      </c>
      <c r="G208" s="26" t="s">
        <v>28</v>
      </c>
      <c r="H208" s="26" t="s">
        <v>29</v>
      </c>
      <c r="I208" s="26">
        <v>36074</v>
      </c>
      <c r="J208" s="26">
        <v>29283</v>
      </c>
      <c r="K208" s="26">
        <v>109628</v>
      </c>
      <c r="L208" s="26">
        <v>92349535</v>
      </c>
      <c r="M208" s="26">
        <v>404959</v>
      </c>
      <c r="N208" s="26">
        <v>1672912</v>
      </c>
      <c r="O208" s="26">
        <v>361906</v>
      </c>
      <c r="P208" s="26">
        <v>851</v>
      </c>
      <c r="Q208" s="26">
        <v>1043</v>
      </c>
      <c r="R208" s="26">
        <v>69</v>
      </c>
      <c r="S208" s="26">
        <v>50123</v>
      </c>
      <c r="T208" s="26">
        <v>70895</v>
      </c>
      <c r="U208" s="26">
        <v>11044</v>
      </c>
      <c r="V208" s="26">
        <v>90486</v>
      </c>
      <c r="W208" s="26">
        <v>389</v>
      </c>
      <c r="X208" s="26">
        <v>8</v>
      </c>
      <c r="Y208" s="26">
        <v>154038</v>
      </c>
      <c r="Z208" s="26">
        <v>14648</v>
      </c>
      <c r="AA208" s="26">
        <v>105</v>
      </c>
      <c r="AB208" s="26">
        <v>0</v>
      </c>
      <c r="AC208" s="26">
        <v>0</v>
      </c>
      <c r="AD208" s="26">
        <v>126.82548127299501</v>
      </c>
    </row>
    <row r="209" spans="1:30" x14ac:dyDescent="0.2">
      <c r="A209">
        <f>_xlfn.XLOOKUP(E209,Lookups!$E:$E,Lookups!$F:$F,0)</f>
        <v>0</v>
      </c>
      <c r="B209">
        <v>1</v>
      </c>
      <c r="C209" s="3" t="d">
        <v>2026-07-03</v>
      </c>
      <c r="D209" s="3"/>
      <c r="E209" s="26" t="s">
        <v>228</v>
      </c>
      <c r="F209" s="26" t="s">
        <v>35</v>
      </c>
      <c r="G209" s="26" t="s">
        <v>36</v>
      </c>
      <c r="H209" s="26" t="s">
        <v>46</v>
      </c>
      <c r="I209" s="26">
        <v>36195</v>
      </c>
      <c r="J209" s="26">
        <v>25780</v>
      </c>
      <c r="K209" s="26">
        <v>131809</v>
      </c>
      <c r="L209" s="26">
        <v>60242466</v>
      </c>
      <c r="M209" s="26">
        <v>626682</v>
      </c>
      <c r="N209" s="26">
        <v>48496</v>
      </c>
      <c r="O209" s="26">
        <v>281062</v>
      </c>
      <c r="P209" s="26">
        <v>2200</v>
      </c>
      <c r="Q209" s="26" t="s">
        <v>31</v>
      </c>
      <c r="R209" s="26" t="s">
        <v>31</v>
      </c>
      <c r="S209" s="26">
        <v>349219</v>
      </c>
      <c r="T209" s="26">
        <v>725</v>
      </c>
      <c r="U209" s="26">
        <v>954</v>
      </c>
      <c r="V209" s="26">
        <v>944</v>
      </c>
      <c r="W209" s="26">
        <v>293</v>
      </c>
      <c r="X209" s="26">
        <v>89</v>
      </c>
      <c r="Y209" s="26">
        <v>55641</v>
      </c>
      <c r="Z209" s="26" t="s">
        <v>31</v>
      </c>
      <c r="AA209" s="26" t="s">
        <v>31</v>
      </c>
      <c r="AB209" s="26" t="s">
        <v>31</v>
      </c>
      <c r="AC209" s="26" t="s">
        <v>31</v>
      </c>
      <c r="AD209" s="26" t="s">
        <v>31</v>
      </c>
    </row>
    <row r="210" spans="1:30" x14ac:dyDescent="0.2">
      <c r="A210">
        <f>_xlfn.XLOOKUP(E210,Lookups!$E:$E,Lookups!$F:$F,0)</f>
        <v>0</v>
      </c>
      <c r="B210">
        <v>1</v>
      </c>
      <c r="C210" s="3" t="d">
        <v>2026-07-03</v>
      </c>
      <c r="D210" s="3"/>
      <c r="E210" s="26" t="s">
        <v>438</v>
      </c>
      <c r="F210" s="26" t="s">
        <v>439</v>
      </c>
      <c r="G210" s="26" t="s">
        <v>131</v>
      </c>
      <c r="H210" s="26" t="s">
        <v>46</v>
      </c>
      <c r="I210" s="26">
        <v>36223</v>
      </c>
      <c r="J210" s="26">
        <v>249267</v>
      </c>
      <c r="K210" s="26">
        <v>22169</v>
      </c>
      <c r="L210" s="26">
        <v>1397208</v>
      </c>
      <c r="M210" s="26">
        <v>2237</v>
      </c>
      <c r="N210" s="26">
        <v>7417</v>
      </c>
      <c r="O210" s="26">
        <v>80132</v>
      </c>
      <c r="P210" s="26">
        <v>83400</v>
      </c>
      <c r="Q210" s="26">
        <v>5530647</v>
      </c>
      <c r="R210" s="26">
        <v>71908</v>
      </c>
      <c r="S210" s="26">
        <v>14221</v>
      </c>
      <c r="T210" s="26">
        <v>15348</v>
      </c>
      <c r="U210" s="26">
        <v>1364173</v>
      </c>
      <c r="V210" s="26">
        <v>1856149</v>
      </c>
      <c r="W210" s="26">
        <v>888</v>
      </c>
      <c r="X210" s="26">
        <v>2707</v>
      </c>
      <c r="Y210" s="26">
        <v>251457</v>
      </c>
      <c r="Z210" s="26" t="s">
        <v>31</v>
      </c>
      <c r="AA210" s="26" t="s">
        <v>31</v>
      </c>
      <c r="AB210" s="26" t="s">
        <v>31</v>
      </c>
      <c r="AC210" s="26" t="s">
        <v>31</v>
      </c>
      <c r="AD210" s="26" t="s">
        <v>31</v>
      </c>
    </row>
    <row r="211" spans="1:30" x14ac:dyDescent="0.2">
      <c r="A211">
        <f>_xlfn.XLOOKUP(E211,Lookups!$E:$E,Lookups!$F:$F,0)</f>
        <v>0</v>
      </c>
      <c r="B211">
        <v>1</v>
      </c>
      <c r="C211" s="3" t="d">
        <v>2026-07-03</v>
      </c>
      <c r="D211" s="3"/>
      <c r="E211" s="26" t="s">
        <v>578</v>
      </c>
      <c r="F211" s="26" t="s">
        <v>27</v>
      </c>
      <c r="G211" s="26" t="s">
        <v>28</v>
      </c>
      <c r="H211" s="26" t="s">
        <v>132</v>
      </c>
      <c r="I211" s="26">
        <v>36654</v>
      </c>
      <c r="J211" s="26">
        <v>80673</v>
      </c>
      <c r="K211" s="26">
        <v>11672</v>
      </c>
      <c r="L211" s="26">
        <v>10749039</v>
      </c>
      <c r="M211" s="26">
        <v>209548</v>
      </c>
      <c r="N211" s="26">
        <v>34359</v>
      </c>
      <c r="O211" s="26">
        <v>31758</v>
      </c>
      <c r="P211" s="26">
        <v>20400</v>
      </c>
      <c r="Q211" s="26">
        <v>8781942</v>
      </c>
      <c r="R211" s="26">
        <v>50801</v>
      </c>
      <c r="S211" s="26">
        <v>49198</v>
      </c>
      <c r="T211" s="26">
        <v>59609</v>
      </c>
      <c r="U211" s="26">
        <v>112</v>
      </c>
      <c r="V211" s="26">
        <v>11942</v>
      </c>
      <c r="W211" s="26">
        <v>29</v>
      </c>
      <c r="X211" s="26">
        <v>11</v>
      </c>
      <c r="Y211" s="26">
        <v>363177</v>
      </c>
      <c r="Z211" s="26">
        <v>85874</v>
      </c>
      <c r="AA211" s="26">
        <v>6</v>
      </c>
      <c r="AB211" s="26">
        <v>0</v>
      </c>
      <c r="AC211" s="26">
        <v>0</v>
      </c>
      <c r="AD211" s="26">
        <v>5.6723107521909997</v>
      </c>
    </row>
    <row r="212" spans="1:30" x14ac:dyDescent="0.2">
      <c r="A212">
        <f>_xlfn.XLOOKUP(E212,Lookups!$E:$E,Lookups!$F:$F,0)</f>
        <v>0</v>
      </c>
      <c r="B212">
        <v>1</v>
      </c>
      <c r="C212" s="3" t="d">
        <v>2026-07-03</v>
      </c>
      <c r="D212" s="3"/>
      <c r="E212" s="26" t="s">
        <v>579</v>
      </c>
      <c r="F212" s="26" t="s">
        <v>27</v>
      </c>
      <c r="G212" s="26" t="s">
        <v>77</v>
      </c>
      <c r="H212" s="26" t="s">
        <v>95</v>
      </c>
      <c r="I212" s="26">
        <v>36691</v>
      </c>
      <c r="J212" s="26">
        <v>243203</v>
      </c>
      <c r="K212" s="26">
        <v>12026</v>
      </c>
      <c r="L212" s="26">
        <v>1038461</v>
      </c>
      <c r="M212" s="26">
        <v>7904</v>
      </c>
      <c r="N212" s="26">
        <v>21503</v>
      </c>
      <c r="O212" s="26">
        <v>41130</v>
      </c>
      <c r="P212" s="26">
        <v>69100</v>
      </c>
      <c r="Q212" s="26">
        <v>3574801</v>
      </c>
      <c r="R212" s="26">
        <v>167597</v>
      </c>
      <c r="S212" s="26">
        <v>6363</v>
      </c>
      <c r="T212" s="26">
        <v>2091436</v>
      </c>
      <c r="U212" s="26">
        <v>392527</v>
      </c>
      <c r="V212" s="26" t="s">
        <v>31</v>
      </c>
      <c r="W212" s="26">
        <v>36</v>
      </c>
      <c r="X212" s="26" t="s">
        <v>31</v>
      </c>
      <c r="Y212" s="26">
        <v>466238</v>
      </c>
      <c r="Z212" s="26" t="s">
        <v>31</v>
      </c>
      <c r="AA212" s="26" t="s">
        <v>31</v>
      </c>
      <c r="AB212" s="26" t="s">
        <v>31</v>
      </c>
      <c r="AC212" s="26" t="s">
        <v>31</v>
      </c>
      <c r="AD212" s="26" t="s">
        <v>31</v>
      </c>
    </row>
    <row r="213" spans="1:30" x14ac:dyDescent="0.2">
      <c r="A213">
        <f>_xlfn.XLOOKUP(E213,Lookups!$E:$E,Lookups!$F:$F,0)</f>
        <v>0</v>
      </c>
      <c r="B213">
        <v>1</v>
      </c>
      <c r="C213" s="3" t="d">
        <v>2026-07-03</v>
      </c>
      <c r="D213" s="3"/>
      <c r="E213" s="26" t="s">
        <v>199</v>
      </c>
      <c r="F213" s="26" t="s">
        <v>27</v>
      </c>
      <c r="G213" s="26" t="s">
        <v>28</v>
      </c>
      <c r="H213" s="26" t="s">
        <v>37</v>
      </c>
      <c r="I213" s="26">
        <v>36697</v>
      </c>
      <c r="J213" s="26">
        <v>33128</v>
      </c>
      <c r="K213" s="26">
        <v>167760</v>
      </c>
      <c r="L213" s="26">
        <v>85765310</v>
      </c>
      <c r="M213" s="26">
        <v>246008</v>
      </c>
      <c r="N213" s="26">
        <v>1246819</v>
      </c>
      <c r="O213" s="26">
        <v>613359</v>
      </c>
      <c r="P213" s="26" t="s">
        <v>31</v>
      </c>
      <c r="Q213" s="26" t="s">
        <v>31</v>
      </c>
      <c r="R213" s="26" t="s">
        <v>31</v>
      </c>
      <c r="S213" s="26">
        <v>39032</v>
      </c>
      <c r="T213" s="26">
        <v>100485</v>
      </c>
      <c r="U213" s="26">
        <v>92169</v>
      </c>
      <c r="V213" s="26">
        <v>25065</v>
      </c>
      <c r="W213" s="26">
        <v>1087</v>
      </c>
      <c r="X213" s="26">
        <v>23</v>
      </c>
      <c r="Y213" s="26">
        <v>128846</v>
      </c>
      <c r="Z213" s="26">
        <v>9448</v>
      </c>
      <c r="AA213" s="26">
        <v>170</v>
      </c>
      <c r="AB213" s="26">
        <v>0</v>
      </c>
      <c r="AC213" s="26">
        <v>0</v>
      </c>
      <c r="AD213" s="26">
        <v>257.51525770614103</v>
      </c>
    </row>
    <row r="214" spans="1:30" x14ac:dyDescent="0.2">
      <c r="A214">
        <f>_xlfn.XLOOKUP(E214,Lookups!$E:$E,Lookups!$F:$F,0)</f>
        <v>0</v>
      </c>
      <c r="B214">
        <v>1</v>
      </c>
      <c r="C214" s="3" t="d">
        <v>2026-07-03</v>
      </c>
      <c r="D214" s="3"/>
      <c r="E214" s="26" t="s">
        <v>200</v>
      </c>
      <c r="F214" s="26" t="s">
        <v>27</v>
      </c>
      <c r="G214" s="26" t="s">
        <v>36</v>
      </c>
      <c r="H214" s="26" t="s">
        <v>37</v>
      </c>
      <c r="I214" s="26">
        <v>37054</v>
      </c>
      <c r="J214" s="26">
        <v>39038</v>
      </c>
      <c r="K214" s="26">
        <v>166206</v>
      </c>
      <c r="L214" s="26">
        <v>40129592</v>
      </c>
      <c r="M214" s="26">
        <v>271300</v>
      </c>
      <c r="N214" s="26">
        <v>682536</v>
      </c>
      <c r="O214" s="26">
        <v>38699</v>
      </c>
      <c r="P214" s="26">
        <v>50700</v>
      </c>
      <c r="Q214" s="26">
        <v>16693720</v>
      </c>
      <c r="R214" s="26">
        <v>73138</v>
      </c>
      <c r="S214" s="26">
        <v>99985</v>
      </c>
      <c r="T214" s="26">
        <v>9270</v>
      </c>
      <c r="U214" s="26">
        <v>37161</v>
      </c>
      <c r="V214" s="26">
        <v>91771</v>
      </c>
      <c r="W214" s="26" t="s">
        <v>31</v>
      </c>
      <c r="X214" s="26" t="s">
        <v>31</v>
      </c>
      <c r="Y214" s="26">
        <v>133885</v>
      </c>
      <c r="Z214" s="26">
        <v>19124</v>
      </c>
      <c r="AA214" s="26">
        <v>149</v>
      </c>
      <c r="AB214" s="26">
        <v>0</v>
      </c>
      <c r="AC214" s="26">
        <v>0</v>
      </c>
      <c r="AD214" s="26">
        <v>186.30110821620201</v>
      </c>
    </row>
    <row r="215" spans="1:30" x14ac:dyDescent="0.2">
      <c r="A215">
        <f>_xlfn.XLOOKUP(E215,Lookups!$E:$E,Lookups!$F:$F,0)</f>
        <v>0</v>
      </c>
      <c r="B215">
        <v>1</v>
      </c>
      <c r="C215" s="3" t="d">
        <v>2026-07-03</v>
      </c>
      <c r="D215" s="3"/>
      <c r="E215" s="26" t="s">
        <v>469</v>
      </c>
      <c r="F215" s="26" t="s">
        <v>27</v>
      </c>
      <c r="G215" s="26" t="s">
        <v>28</v>
      </c>
      <c r="H215" s="26" t="s">
        <v>422</v>
      </c>
      <c r="I215" s="26">
        <v>37163</v>
      </c>
      <c r="J215" s="26">
        <v>40476</v>
      </c>
      <c r="K215" s="26">
        <v>17073</v>
      </c>
      <c r="L215" s="26">
        <v>151698735</v>
      </c>
      <c r="M215" s="26">
        <v>477757</v>
      </c>
      <c r="N215" s="26">
        <v>2199416</v>
      </c>
      <c r="O215" s="26">
        <v>613359</v>
      </c>
      <c r="P215" s="26" t="s">
        <v>31</v>
      </c>
      <c r="Q215" s="26" t="s">
        <v>31</v>
      </c>
      <c r="R215" s="26" t="s">
        <v>31</v>
      </c>
      <c r="S215" s="26">
        <v>110199</v>
      </c>
      <c r="T215" s="26">
        <v>30372</v>
      </c>
      <c r="U215" s="26">
        <v>24211</v>
      </c>
      <c r="V215" s="26">
        <v>15174</v>
      </c>
      <c r="W215" s="26">
        <v>298</v>
      </c>
      <c r="X215" s="26" t="s">
        <v>31</v>
      </c>
      <c r="Y215" s="26">
        <v>161251</v>
      </c>
      <c r="Z215" s="26">
        <v>18476</v>
      </c>
      <c r="AA215" s="26">
        <v>71</v>
      </c>
      <c r="AB215" s="26">
        <v>0</v>
      </c>
      <c r="AC215" s="26">
        <v>0</v>
      </c>
      <c r="AD215" s="26">
        <v>116.010171547013</v>
      </c>
    </row>
    <row r="216" spans="1:30" x14ac:dyDescent="0.2">
      <c r="A216">
        <f>_xlfn.XLOOKUP(E216,Lookups!$E:$E,Lookups!$F:$F,0)</f>
        <v>0</v>
      </c>
      <c r="B216">
        <v>1</v>
      </c>
      <c r="C216" s="3" t="d">
        <v>2026-07-03</v>
      </c>
      <c r="D216" s="3"/>
      <c r="E216" s="26" t="s">
        <v>344</v>
      </c>
      <c r="F216" s="26" t="s">
        <v>35</v>
      </c>
      <c r="G216" s="26" t="s">
        <v>36</v>
      </c>
      <c r="H216" s="26" t="s">
        <v>31</v>
      </c>
      <c r="I216" s="26">
        <v>37356</v>
      </c>
      <c r="J216" s="26">
        <v>38281</v>
      </c>
      <c r="K216" s="26">
        <v>49948</v>
      </c>
      <c r="L216" s="26">
        <v>33470491</v>
      </c>
      <c r="M216" s="26">
        <v>339554</v>
      </c>
      <c r="N216" s="26">
        <v>47889</v>
      </c>
      <c r="O216" s="26">
        <v>26142</v>
      </c>
      <c r="P216" s="26">
        <v>40300</v>
      </c>
      <c r="Q216" s="26">
        <v>355661</v>
      </c>
      <c r="R216" s="26">
        <v>14004</v>
      </c>
      <c r="S216" s="26">
        <v>68388</v>
      </c>
      <c r="T216" s="26">
        <v>306276</v>
      </c>
      <c r="U216" s="26">
        <v>2486</v>
      </c>
      <c r="V216" s="26">
        <v>316</v>
      </c>
      <c r="W216" s="26">
        <v>164</v>
      </c>
      <c r="X216" s="26" t="s">
        <v>31</v>
      </c>
      <c r="Y216" s="26">
        <v>307690</v>
      </c>
      <c r="Z216" s="26" t="s">
        <v>31</v>
      </c>
      <c r="AA216" s="26" t="s">
        <v>31</v>
      </c>
      <c r="AB216" s="26" t="s">
        <v>31</v>
      </c>
      <c r="AC216" s="26" t="s">
        <v>31</v>
      </c>
      <c r="AD216" s="26" t="s">
        <v>31</v>
      </c>
    </row>
    <row r="217" spans="1:30" x14ac:dyDescent="0.2">
      <c r="A217">
        <f>_xlfn.XLOOKUP(E217,Lookups!$E:$E,Lookups!$F:$F,0)</f>
        <v>0</v>
      </c>
      <c r="B217">
        <v>1</v>
      </c>
      <c r="C217" s="3" t="d">
        <v>2026-07-03</v>
      </c>
      <c r="D217" s="3"/>
      <c r="E217" s="26" t="s">
        <v>580</v>
      </c>
      <c r="F217" s="26" t="s">
        <v>581</v>
      </c>
      <c r="G217" s="26" t="s">
        <v>36</v>
      </c>
      <c r="H217" s="26" t="s">
        <v>95</v>
      </c>
      <c r="I217" s="26">
        <v>37525</v>
      </c>
      <c r="J217" s="26">
        <v>742086</v>
      </c>
      <c r="K217" s="26">
        <v>83</v>
      </c>
      <c r="L217" s="26">
        <v>5553</v>
      </c>
      <c r="M217" s="26">
        <v>27</v>
      </c>
      <c r="N217" s="26">
        <v>21</v>
      </c>
      <c r="O217" s="26">
        <v>296155</v>
      </c>
      <c r="P217" s="26">
        <v>1060</v>
      </c>
      <c r="Q217" s="26">
        <v>21712</v>
      </c>
      <c r="R217" s="26">
        <v>971</v>
      </c>
      <c r="S217" s="26">
        <v>3817</v>
      </c>
      <c r="T217" s="26">
        <v>1090</v>
      </c>
      <c r="U217" s="26">
        <v>1909509</v>
      </c>
      <c r="V217" s="26" t="s">
        <v>31</v>
      </c>
      <c r="W217" s="26">
        <v>2</v>
      </c>
      <c r="X217" s="26" t="s">
        <v>31</v>
      </c>
      <c r="Y217" s="26">
        <v>466238</v>
      </c>
      <c r="Z217" s="26" t="s">
        <v>31</v>
      </c>
      <c r="AA217" s="26" t="s">
        <v>31</v>
      </c>
      <c r="AB217" s="26" t="s">
        <v>31</v>
      </c>
      <c r="AC217" s="26" t="s">
        <v>31</v>
      </c>
      <c r="AD217" s="26" t="s">
        <v>31</v>
      </c>
    </row>
    <row r="218" spans="1:30" x14ac:dyDescent="0.2">
      <c r="A218">
        <f>_xlfn.XLOOKUP(E218,Lookups!$E:$E,Lookups!$F:$F,0)</f>
        <v>0</v>
      </c>
      <c r="B218">
        <v>1</v>
      </c>
      <c r="C218" s="3" t="d">
        <v>2026-07-03</v>
      </c>
      <c r="D218" s="3"/>
      <c r="E218" s="26" t="s">
        <v>298</v>
      </c>
      <c r="F218" s="26" t="s">
        <v>27</v>
      </c>
      <c r="G218" s="26" t="s">
        <v>83</v>
      </c>
      <c r="H218" s="26" t="s">
        <v>50</v>
      </c>
      <c r="I218" s="26">
        <v>38283</v>
      </c>
      <c r="J218" s="26">
        <v>44039</v>
      </c>
      <c r="K218" s="26">
        <v>70665</v>
      </c>
      <c r="L218" s="26">
        <v>55311667</v>
      </c>
      <c r="M218" s="26">
        <v>289777</v>
      </c>
      <c r="N218" s="26">
        <v>778237</v>
      </c>
      <c r="O218" s="26">
        <v>80844</v>
      </c>
      <c r="P218" s="26">
        <v>8920</v>
      </c>
      <c r="Q218" s="26">
        <v>392576</v>
      </c>
      <c r="R218" s="26">
        <v>3606</v>
      </c>
      <c r="S218" s="26">
        <v>36081</v>
      </c>
      <c r="T218" s="26">
        <v>39997</v>
      </c>
      <c r="U218" s="26">
        <v>33928</v>
      </c>
      <c r="V218" s="26">
        <v>15840</v>
      </c>
      <c r="W218" s="26">
        <v>110</v>
      </c>
      <c r="X218" s="26">
        <v>20</v>
      </c>
      <c r="Y218" s="26">
        <v>105479</v>
      </c>
      <c r="Z218" s="26">
        <v>14016</v>
      </c>
      <c r="AA218" s="26">
        <v>119</v>
      </c>
      <c r="AB218" s="26">
        <v>1</v>
      </c>
      <c r="AC218" s="26">
        <v>8</v>
      </c>
      <c r="AD218" s="26">
        <v>145.11160551181601</v>
      </c>
    </row>
    <row r="219" spans="1:30" x14ac:dyDescent="0.2">
      <c r="A219">
        <f>_xlfn.XLOOKUP(E219,Lookups!$E:$E,Lookups!$F:$F,0)</f>
        <v>0</v>
      </c>
      <c r="B219">
        <v>1</v>
      </c>
      <c r="C219" s="3" t="d">
        <v>2026-07-03</v>
      </c>
      <c r="D219" s="3"/>
      <c r="E219" s="26" t="s">
        <v>171</v>
      </c>
      <c r="F219" s="26" t="s">
        <v>27</v>
      </c>
      <c r="G219" s="26" t="s">
        <v>28</v>
      </c>
      <c r="H219" s="26" t="s">
        <v>46</v>
      </c>
      <c r="I219" s="26">
        <v>38334</v>
      </c>
      <c r="J219" s="26">
        <v>46879</v>
      </c>
      <c r="K219" s="26">
        <v>221427</v>
      </c>
      <c r="L219" s="26">
        <v>26475253</v>
      </c>
      <c r="M219" s="26">
        <v>206715</v>
      </c>
      <c r="N219" s="26">
        <v>571528</v>
      </c>
      <c r="O219" s="26">
        <v>338716</v>
      </c>
      <c r="P219" s="26">
        <v>586</v>
      </c>
      <c r="Q219" s="26">
        <v>40223</v>
      </c>
      <c r="R219" s="26">
        <v>272</v>
      </c>
      <c r="S219" s="26">
        <v>39083</v>
      </c>
      <c r="T219" s="26">
        <v>4130</v>
      </c>
      <c r="U219" s="26">
        <v>34242</v>
      </c>
      <c r="V219" s="26">
        <v>1171757</v>
      </c>
      <c r="W219" s="26">
        <v>20547</v>
      </c>
      <c r="X219" s="26" t="s">
        <v>31</v>
      </c>
      <c r="Y219" s="26">
        <v>35753</v>
      </c>
      <c r="Z219" s="26">
        <v>24636</v>
      </c>
      <c r="AA219" s="26">
        <v>130</v>
      </c>
      <c r="AB219" s="26">
        <v>0</v>
      </c>
      <c r="AC219" s="26">
        <v>0</v>
      </c>
      <c r="AD219" s="26">
        <v>119.548148088678</v>
      </c>
    </row>
    <row r="220" spans="1:30" x14ac:dyDescent="0.2">
      <c r="A220">
        <f>_xlfn.XLOOKUP(E220,Lookups!$E:$E,Lookups!$F:$F,0)</f>
        <v>0</v>
      </c>
      <c r="B220">
        <v>1</v>
      </c>
      <c r="C220" s="3" t="d">
        <v>2026-07-03</v>
      </c>
      <c r="D220" s="3"/>
      <c r="E220" s="26" t="s">
        <v>213</v>
      </c>
      <c r="F220" s="26" t="s">
        <v>27</v>
      </c>
      <c r="G220" s="26" t="s">
        <v>36</v>
      </c>
      <c r="H220" s="26" t="s">
        <v>44</v>
      </c>
      <c r="I220" s="26">
        <v>38411</v>
      </c>
      <c r="J220" s="26">
        <v>24285</v>
      </c>
      <c r="K220" s="26">
        <v>149818</v>
      </c>
      <c r="L220" s="26">
        <v>73858158</v>
      </c>
      <c r="M220" s="26">
        <v>411780</v>
      </c>
      <c r="N220" s="26">
        <v>3318582</v>
      </c>
      <c r="O220" s="26">
        <v>613359</v>
      </c>
      <c r="P220" s="26" t="s">
        <v>31</v>
      </c>
      <c r="Q220" s="26" t="s">
        <v>31</v>
      </c>
      <c r="R220" s="26" t="s">
        <v>31</v>
      </c>
      <c r="S220" s="26">
        <v>26042</v>
      </c>
      <c r="T220" s="26">
        <v>40</v>
      </c>
      <c r="U220" s="26">
        <v>75000</v>
      </c>
      <c r="V220" s="26">
        <v>544</v>
      </c>
      <c r="W220" s="26" t="s">
        <v>31</v>
      </c>
      <c r="X220" s="26" t="s">
        <v>31</v>
      </c>
      <c r="Y220" s="26">
        <v>466238</v>
      </c>
      <c r="Z220" s="26" t="s">
        <v>31</v>
      </c>
      <c r="AA220" s="26" t="s">
        <v>31</v>
      </c>
      <c r="AB220" s="26" t="s">
        <v>31</v>
      </c>
      <c r="AC220" s="26" t="s">
        <v>31</v>
      </c>
      <c r="AD220" s="26" t="s">
        <v>31</v>
      </c>
    </row>
    <row r="221" spans="1:30" x14ac:dyDescent="0.2">
      <c r="A221">
        <f>_xlfn.XLOOKUP(E221,Lookups!$E:$E,Lookups!$F:$F,0)</f>
        <v>0</v>
      </c>
      <c r="B221">
        <v>1</v>
      </c>
      <c r="C221" s="3" t="d">
        <v>2026-07-03</v>
      </c>
      <c r="D221" s="3"/>
      <c r="E221" s="26" t="s">
        <v>304</v>
      </c>
      <c r="F221" s="26" t="s">
        <v>27</v>
      </c>
      <c r="G221" s="26" t="s">
        <v>28</v>
      </c>
      <c r="H221" s="26" t="s">
        <v>44</v>
      </c>
      <c r="I221" s="26">
        <v>38429</v>
      </c>
      <c r="J221" s="26">
        <v>44734</v>
      </c>
      <c r="K221" s="26">
        <v>66069</v>
      </c>
      <c r="L221" s="26">
        <v>25941638</v>
      </c>
      <c r="M221" s="26">
        <v>272627</v>
      </c>
      <c r="N221" s="26">
        <v>1526210</v>
      </c>
      <c r="O221" s="26">
        <v>48644</v>
      </c>
      <c r="P221" s="26">
        <v>26000</v>
      </c>
      <c r="Q221" s="26">
        <v>6910919</v>
      </c>
      <c r="R221" s="26">
        <v>86119</v>
      </c>
      <c r="S221" s="26">
        <v>29478</v>
      </c>
      <c r="T221" s="26">
        <v>26454</v>
      </c>
      <c r="U221" s="26">
        <v>81727</v>
      </c>
      <c r="V221" s="26">
        <v>245050</v>
      </c>
      <c r="W221" s="26">
        <v>3294</v>
      </c>
      <c r="X221" s="26">
        <v>6154</v>
      </c>
      <c r="Y221" s="26">
        <v>38913</v>
      </c>
      <c r="Z221" s="26">
        <v>4859</v>
      </c>
      <c r="AA221" s="26">
        <v>137</v>
      </c>
      <c r="AB221" s="26">
        <v>5</v>
      </c>
      <c r="AC221" s="26">
        <v>55</v>
      </c>
      <c r="AD221" s="26">
        <v>762.46511391593197</v>
      </c>
    </row>
    <row r="222" spans="1:30" x14ac:dyDescent="0.2">
      <c r="A222">
        <f>_xlfn.XLOOKUP(E222,Lookups!$E:$E,Lookups!$F:$F,0)</f>
        <v>0</v>
      </c>
      <c r="B222">
        <v>1</v>
      </c>
      <c r="C222" s="3" t="d">
        <v>2026-07-03</v>
      </c>
      <c r="D222" s="3"/>
      <c r="E222" s="26" t="s">
        <v>163</v>
      </c>
      <c r="F222" s="26" t="s">
        <v>27</v>
      </c>
      <c r="G222" s="26" t="s">
        <v>36</v>
      </c>
      <c r="H222" s="26" t="s">
        <v>46</v>
      </c>
      <c r="I222" s="26">
        <v>38571</v>
      </c>
      <c r="J222" s="26">
        <v>41423</v>
      </c>
      <c r="K222" s="26">
        <v>239434</v>
      </c>
      <c r="L222" s="26">
        <v>28765175</v>
      </c>
      <c r="M222" s="26">
        <v>234313</v>
      </c>
      <c r="N222" s="26">
        <v>278257</v>
      </c>
      <c r="O222" s="26">
        <v>36796</v>
      </c>
      <c r="P222" s="26">
        <v>68900</v>
      </c>
      <c r="Q222" s="26">
        <v>25061879</v>
      </c>
      <c r="R222" s="26">
        <v>187627</v>
      </c>
      <c r="S222" s="26">
        <v>48437</v>
      </c>
      <c r="T222" s="26">
        <v>5724</v>
      </c>
      <c r="U222" s="26">
        <v>391743</v>
      </c>
      <c r="V222" s="26">
        <v>72</v>
      </c>
      <c r="W222" s="26">
        <v>8400</v>
      </c>
      <c r="X222" s="26" t="s">
        <v>31</v>
      </c>
      <c r="Y222" s="26">
        <v>107988</v>
      </c>
      <c r="Z222" s="26">
        <v>59968</v>
      </c>
      <c r="AA222" s="26">
        <v>52</v>
      </c>
      <c r="AB222" s="26">
        <v>0</v>
      </c>
      <c r="AC222" s="26">
        <v>0</v>
      </c>
      <c r="AD222" s="26">
        <v>101.236410753323</v>
      </c>
    </row>
    <row r="223" spans="1:30" x14ac:dyDescent="0.2">
      <c r="A223">
        <f>_xlfn.XLOOKUP(E223,Lookups!$E:$E,Lookups!$F:$F,0)</f>
        <v>0</v>
      </c>
      <c r="B223">
        <v>1</v>
      </c>
      <c r="C223" s="3" t="d">
        <v>2026-07-03</v>
      </c>
      <c r="D223" s="3"/>
      <c r="E223" s="26" t="s">
        <v>365</v>
      </c>
      <c r="F223" s="26" t="s">
        <v>27</v>
      </c>
      <c r="G223" s="26" t="s">
        <v>28</v>
      </c>
      <c r="H223" s="26" t="s">
        <v>46</v>
      </c>
      <c r="I223" s="26">
        <v>38759</v>
      </c>
      <c r="J223" s="26">
        <v>82666</v>
      </c>
      <c r="K223" s="26">
        <v>43156</v>
      </c>
      <c r="L223" s="26">
        <v>8877652</v>
      </c>
      <c r="M223" s="26">
        <v>60129</v>
      </c>
      <c r="N223" s="26">
        <v>1536019</v>
      </c>
      <c r="O223" s="26">
        <v>26140</v>
      </c>
      <c r="P223" s="26">
        <v>108000</v>
      </c>
      <c r="Q223" s="26">
        <v>22009251</v>
      </c>
      <c r="R223" s="26">
        <v>163630</v>
      </c>
      <c r="S223" s="26">
        <v>29202</v>
      </c>
      <c r="T223" s="26">
        <v>201640</v>
      </c>
      <c r="U223" s="26">
        <v>531250</v>
      </c>
      <c r="V223" s="26">
        <v>14</v>
      </c>
      <c r="W223" s="26">
        <v>270</v>
      </c>
      <c r="X223" s="26">
        <v>107</v>
      </c>
      <c r="Y223" s="26">
        <v>112673</v>
      </c>
      <c r="Z223" s="26" t="s">
        <v>31</v>
      </c>
      <c r="AA223" s="26" t="s">
        <v>31</v>
      </c>
      <c r="AB223" s="26" t="s">
        <v>31</v>
      </c>
      <c r="AC223" s="26" t="s">
        <v>31</v>
      </c>
      <c r="AD223" s="26" t="s">
        <v>31</v>
      </c>
    </row>
    <row r="224" spans="1:30" x14ac:dyDescent="0.2">
      <c r="A224">
        <f>_xlfn.XLOOKUP(E224,Lookups!$E:$E,Lookups!$F:$F,0)</f>
        <v>0</v>
      </c>
      <c r="B224">
        <v>1</v>
      </c>
      <c r="C224" s="3" t="d">
        <v>2026-07-03</v>
      </c>
      <c r="D224" s="3"/>
      <c r="E224" s="26" t="s">
        <v>242</v>
      </c>
      <c r="F224" s="26" t="s">
        <v>27</v>
      </c>
      <c r="G224" s="26" t="s">
        <v>28</v>
      </c>
      <c r="H224" s="26" t="s">
        <v>57</v>
      </c>
      <c r="I224" s="26">
        <v>38809</v>
      </c>
      <c r="J224" s="26">
        <v>45553</v>
      </c>
      <c r="K224" s="26">
        <v>114999</v>
      </c>
      <c r="L224" s="26">
        <v>70226659</v>
      </c>
      <c r="M224" s="26">
        <v>242640</v>
      </c>
      <c r="N224" s="26">
        <v>641506</v>
      </c>
      <c r="O224" s="26">
        <v>82121</v>
      </c>
      <c r="P224" s="26">
        <v>19500</v>
      </c>
      <c r="Q224" s="26">
        <v>2374980</v>
      </c>
      <c r="R224" s="26">
        <v>53162</v>
      </c>
      <c r="S224" s="26">
        <v>37724</v>
      </c>
      <c r="T224" s="26">
        <v>187747</v>
      </c>
      <c r="U224" s="26">
        <v>19888</v>
      </c>
      <c r="V224" s="26">
        <v>280417</v>
      </c>
      <c r="W224" s="26">
        <v>2703</v>
      </c>
      <c r="X224" s="26">
        <v>43</v>
      </c>
      <c r="Y224" s="26">
        <v>43687</v>
      </c>
      <c r="Z224" s="26">
        <v>32590</v>
      </c>
      <c r="AA224" s="26">
        <v>75</v>
      </c>
      <c r="AB224" s="26">
        <v>0</v>
      </c>
      <c r="AC224" s="26">
        <v>0</v>
      </c>
      <c r="AD224" s="26">
        <v>70.7375149434272</v>
      </c>
    </row>
    <row r="225" spans="1:30" x14ac:dyDescent="0.2">
      <c r="A225">
        <f>_xlfn.XLOOKUP(E225,Lookups!$E:$E,Lookups!$F:$F,0)</f>
        <v>0</v>
      </c>
      <c r="B225">
        <v>1</v>
      </c>
      <c r="C225" s="3" t="d">
        <v>2026-07-03</v>
      </c>
      <c r="D225" s="3"/>
      <c r="E225" s="26" t="s">
        <v>161</v>
      </c>
      <c r="F225" s="26" t="s">
        <v>27</v>
      </c>
      <c r="G225" s="26" t="s">
        <v>28</v>
      </c>
      <c r="H225" s="26" t="s">
        <v>37</v>
      </c>
      <c r="I225" s="26">
        <v>38938</v>
      </c>
      <c r="J225" s="26">
        <v>45089</v>
      </c>
      <c r="K225" s="26">
        <v>244456</v>
      </c>
      <c r="L225" s="26">
        <v>29446012</v>
      </c>
      <c r="M225" s="26">
        <v>157627</v>
      </c>
      <c r="N225" s="26">
        <v>450194</v>
      </c>
      <c r="O225" s="26">
        <v>41543</v>
      </c>
      <c r="P225" s="26">
        <v>15200</v>
      </c>
      <c r="Q225" s="26">
        <v>17194006</v>
      </c>
      <c r="R225" s="26">
        <v>104835</v>
      </c>
      <c r="S225" s="26">
        <v>48012</v>
      </c>
      <c r="T225" s="26" t="s">
        <v>31</v>
      </c>
      <c r="U225" s="26">
        <v>71499</v>
      </c>
      <c r="V225" s="26">
        <v>30706</v>
      </c>
      <c r="W225" s="26">
        <v>9382</v>
      </c>
      <c r="X225" s="26" t="s">
        <v>31</v>
      </c>
      <c r="Y225" s="26">
        <v>45957</v>
      </c>
      <c r="Z225" s="26">
        <v>27426</v>
      </c>
      <c r="AA225" s="26">
        <v>154</v>
      </c>
      <c r="AB225" s="26">
        <v>1</v>
      </c>
      <c r="AC225" s="26">
        <v>24</v>
      </c>
      <c r="AD225" s="26">
        <v>89.517613910031798</v>
      </c>
    </row>
    <row r="226" spans="1:30" x14ac:dyDescent="0.2">
      <c r="A226">
        <f>_xlfn.XLOOKUP(E226,Lookups!$E:$E,Lookups!$F:$F,0)</f>
        <v>0</v>
      </c>
      <c r="B226">
        <v>1</v>
      </c>
      <c r="C226" s="3" t="d">
        <v>2026-07-03</v>
      </c>
      <c r="D226" s="3"/>
      <c r="E226" s="26" t="s">
        <v>582</v>
      </c>
      <c r="F226" s="26" t="s">
        <v>27</v>
      </c>
      <c r="G226" s="26" t="s">
        <v>28</v>
      </c>
      <c r="H226" s="26" t="s">
        <v>46</v>
      </c>
      <c r="I226" s="26">
        <v>39059</v>
      </c>
      <c r="J226" s="26">
        <v>20538</v>
      </c>
      <c r="K226" s="26">
        <v>8615</v>
      </c>
      <c r="L226" s="26">
        <v>28175806</v>
      </c>
      <c r="M226" s="26">
        <v>1081837</v>
      </c>
      <c r="N226" s="26">
        <v>5952434</v>
      </c>
      <c r="O226" s="26">
        <v>613359</v>
      </c>
      <c r="P226" s="26" t="s">
        <v>31</v>
      </c>
      <c r="Q226" s="26" t="s">
        <v>31</v>
      </c>
      <c r="R226" s="26" t="s">
        <v>31</v>
      </c>
      <c r="S226" s="26">
        <v>834709</v>
      </c>
      <c r="T226" s="26" t="s">
        <v>31</v>
      </c>
      <c r="U226" s="26" t="s">
        <v>31</v>
      </c>
      <c r="V226" s="26" t="s">
        <v>31</v>
      </c>
      <c r="W226" s="26">
        <v>6</v>
      </c>
      <c r="X226" s="26" t="s">
        <v>31</v>
      </c>
      <c r="Y226" s="26">
        <v>466238</v>
      </c>
      <c r="Z226" s="26">
        <v>32630</v>
      </c>
      <c r="AA226" s="26">
        <v>14</v>
      </c>
      <c r="AB226" s="26">
        <v>0</v>
      </c>
      <c r="AC226" s="26">
        <v>0</v>
      </c>
      <c r="AD226" s="26">
        <v>28.9975857873313</v>
      </c>
    </row>
    <row r="227" spans="1:30" x14ac:dyDescent="0.2">
      <c r="A227">
        <f>_xlfn.XLOOKUP(E227,Lookups!$E:$E,Lookups!$F:$F,0)</f>
        <v>0</v>
      </c>
      <c r="B227">
        <v>1</v>
      </c>
      <c r="C227" s="3" t="d">
        <v>2026-07-03</v>
      </c>
      <c r="D227" s="3"/>
      <c r="E227" s="26" t="s">
        <v>222</v>
      </c>
      <c r="F227" s="26" t="s">
        <v>27</v>
      </c>
      <c r="G227" s="26" t="s">
        <v>28</v>
      </c>
      <c r="H227" s="26" t="s">
        <v>31</v>
      </c>
      <c r="I227" s="26">
        <v>39325</v>
      </c>
      <c r="J227" s="26">
        <v>26647</v>
      </c>
      <c r="K227" s="26">
        <v>133650</v>
      </c>
      <c r="L227" s="26">
        <v>36943482</v>
      </c>
      <c r="M227" s="26">
        <v>299548</v>
      </c>
      <c r="N227" s="26">
        <v>749848</v>
      </c>
      <c r="O227" s="26">
        <v>613359</v>
      </c>
      <c r="P227" s="26" t="s">
        <v>31</v>
      </c>
      <c r="Q227" s="26" t="s">
        <v>31</v>
      </c>
      <c r="R227" s="26" t="s">
        <v>31</v>
      </c>
      <c r="S227" s="26">
        <v>41547</v>
      </c>
      <c r="T227" s="26" t="s">
        <v>31</v>
      </c>
      <c r="U227" s="26">
        <v>80209</v>
      </c>
      <c r="V227" s="26" t="s">
        <v>31</v>
      </c>
      <c r="W227" s="26">
        <v>118</v>
      </c>
      <c r="X227" s="26">
        <v>44</v>
      </c>
      <c r="Y227" s="26">
        <v>390513</v>
      </c>
      <c r="Z227" s="26">
        <v>21754</v>
      </c>
      <c r="AA227" s="26">
        <v>62</v>
      </c>
      <c r="AB227" s="26">
        <v>0</v>
      </c>
      <c r="AC227" s="26">
        <v>0</v>
      </c>
      <c r="AD227" s="26">
        <v>53.0096938700053</v>
      </c>
    </row>
    <row r="228" spans="1:30" x14ac:dyDescent="0.2">
      <c r="A228">
        <f>_xlfn.XLOOKUP(E228,Lookups!$E:$E,Lookups!$F:$F,0)</f>
        <v>0</v>
      </c>
      <c r="B228">
        <v>1</v>
      </c>
      <c r="C228" s="3" t="d">
        <v>2026-07-03</v>
      </c>
      <c r="D228" s="3"/>
      <c r="E228" s="26" t="s">
        <v>232</v>
      </c>
      <c r="F228" s="26" t="s">
        <v>27</v>
      </c>
      <c r="G228" s="26" t="s">
        <v>28</v>
      </c>
      <c r="H228" s="26" t="s">
        <v>40</v>
      </c>
      <c r="I228" s="26">
        <v>39350</v>
      </c>
      <c r="J228" s="26">
        <v>34003</v>
      </c>
      <c r="K228" s="26">
        <v>126581</v>
      </c>
      <c r="L228" s="26">
        <v>37435111</v>
      </c>
      <c r="M228" s="26">
        <v>407360</v>
      </c>
      <c r="N228" s="26">
        <v>566592</v>
      </c>
      <c r="O228" s="26">
        <v>439969</v>
      </c>
      <c r="P228" s="26">
        <v>213</v>
      </c>
      <c r="Q228" s="26" t="s">
        <v>31</v>
      </c>
      <c r="R228" s="26" t="s">
        <v>31</v>
      </c>
      <c r="S228" s="26">
        <v>20438</v>
      </c>
      <c r="T228" s="26">
        <v>269579</v>
      </c>
      <c r="U228" s="26">
        <v>143183</v>
      </c>
      <c r="V228" s="26">
        <v>171125</v>
      </c>
      <c r="W228" s="26">
        <v>570</v>
      </c>
      <c r="X228" s="26" t="s">
        <v>31</v>
      </c>
      <c r="Y228" s="26">
        <v>247200</v>
      </c>
      <c r="Z228" s="26">
        <v>31470</v>
      </c>
      <c r="AA228" s="26">
        <v>37</v>
      </c>
      <c r="AB228" s="26">
        <v>0</v>
      </c>
      <c r="AC228" s="26">
        <v>0</v>
      </c>
      <c r="AD228" s="26">
        <v>41.204262748968297</v>
      </c>
    </row>
    <row r="229" spans="1:30" x14ac:dyDescent="0.2">
      <c r="A229">
        <f>_xlfn.XLOOKUP(E229,Lookups!$E:$E,Lookups!$F:$F,0)</f>
        <v>0</v>
      </c>
      <c r="B229">
        <v>1</v>
      </c>
      <c r="C229" s="3" t="d">
        <v>2026-07-03</v>
      </c>
      <c r="D229" s="3"/>
      <c r="E229" s="26" t="s">
        <v>193</v>
      </c>
      <c r="F229" s="26" t="s">
        <v>27</v>
      </c>
      <c r="G229" s="26" t="s">
        <v>28</v>
      </c>
      <c r="H229" s="26" t="s">
        <v>194</v>
      </c>
      <c r="I229" s="26">
        <v>39543</v>
      </c>
      <c r="J229" s="26">
        <v>23704</v>
      </c>
      <c r="K229" s="26">
        <v>183722</v>
      </c>
      <c r="L229" s="26">
        <v>36804421</v>
      </c>
      <c r="M229" s="26">
        <v>429625</v>
      </c>
      <c r="N229" s="26">
        <v>3034464</v>
      </c>
      <c r="O229" s="26">
        <v>613359</v>
      </c>
      <c r="P229" s="26" t="s">
        <v>31</v>
      </c>
      <c r="Q229" s="26" t="s">
        <v>31</v>
      </c>
      <c r="R229" s="26" t="s">
        <v>31</v>
      </c>
      <c r="S229" s="26">
        <v>40362</v>
      </c>
      <c r="T229" s="26" t="s">
        <v>31</v>
      </c>
      <c r="U229" s="26">
        <v>56600</v>
      </c>
      <c r="V229" s="26" t="s">
        <v>31</v>
      </c>
      <c r="W229" s="26" t="s">
        <v>31</v>
      </c>
      <c r="X229" s="26" t="s">
        <v>31</v>
      </c>
      <c r="Y229" s="26">
        <v>401342</v>
      </c>
      <c r="Z229" s="26" t="s">
        <v>31</v>
      </c>
      <c r="AA229" s="26" t="s">
        <v>31</v>
      </c>
      <c r="AB229" s="26" t="s">
        <v>31</v>
      </c>
      <c r="AC229" s="26" t="s">
        <v>31</v>
      </c>
      <c r="AD229" s="26" t="s">
        <v>31</v>
      </c>
    </row>
    <row r="230" spans="1:30" x14ac:dyDescent="0.2">
      <c r="A230">
        <f>_xlfn.XLOOKUP(E230,Lookups!$E:$E,Lookups!$F:$F,0)</f>
        <v>0</v>
      </c>
      <c r="B230">
        <v>1</v>
      </c>
      <c r="C230" s="3" t="d">
        <v>2026-07-03</v>
      </c>
      <c r="D230" s="3"/>
      <c r="E230" s="26" t="s">
        <v>345</v>
      </c>
      <c r="F230" s="26" t="s">
        <v>27</v>
      </c>
      <c r="G230" s="26" t="s">
        <v>36</v>
      </c>
      <c r="H230" s="26" t="s">
        <v>46</v>
      </c>
      <c r="I230" s="26">
        <v>39636</v>
      </c>
      <c r="J230" s="26">
        <v>39552</v>
      </c>
      <c r="K230" s="26">
        <v>49139</v>
      </c>
      <c r="L230" s="26">
        <v>42230428</v>
      </c>
      <c r="M230" s="26">
        <v>434789</v>
      </c>
      <c r="N230" s="26">
        <v>96252</v>
      </c>
      <c r="O230" s="26">
        <v>24343</v>
      </c>
      <c r="P230" s="26">
        <v>29800</v>
      </c>
      <c r="Q230" s="26">
        <v>8554345</v>
      </c>
      <c r="R230" s="26">
        <v>38996</v>
      </c>
      <c r="S230" s="26">
        <v>368101</v>
      </c>
      <c r="T230" s="26" t="s">
        <v>31</v>
      </c>
      <c r="U230" s="26">
        <v>1</v>
      </c>
      <c r="V230" s="26">
        <v>585</v>
      </c>
      <c r="W230" s="26">
        <v>77</v>
      </c>
      <c r="X230" s="26">
        <v>10</v>
      </c>
      <c r="Y230" s="26">
        <v>106344</v>
      </c>
      <c r="Z230" s="26" t="s">
        <v>31</v>
      </c>
      <c r="AA230" s="26" t="s">
        <v>31</v>
      </c>
      <c r="AB230" s="26" t="s">
        <v>31</v>
      </c>
      <c r="AC230" s="26" t="s">
        <v>31</v>
      </c>
      <c r="AD230" s="26" t="s">
        <v>31</v>
      </c>
    </row>
    <row r="231" spans="1:30" x14ac:dyDescent="0.2">
      <c r="A231">
        <f>_xlfn.XLOOKUP(E231,Lookups!$E:$E,Lookups!$F:$F,0)</f>
        <v>0</v>
      </c>
      <c r="B231">
        <v>1</v>
      </c>
      <c r="C231" s="3" t="d">
        <v>2026-07-03</v>
      </c>
      <c r="D231" s="3"/>
      <c r="E231" s="26" t="s">
        <v>190</v>
      </c>
      <c r="F231" s="26" t="s">
        <v>27</v>
      </c>
      <c r="G231" s="26" t="s">
        <v>28</v>
      </c>
      <c r="H231" s="26" t="s">
        <v>53</v>
      </c>
      <c r="I231" s="26">
        <v>39662</v>
      </c>
      <c r="J231" s="26">
        <v>43969</v>
      </c>
      <c r="K231" s="26">
        <v>187792</v>
      </c>
      <c r="L231" s="26">
        <v>29223245</v>
      </c>
      <c r="M231" s="26">
        <v>198530</v>
      </c>
      <c r="N231" s="26">
        <v>528106</v>
      </c>
      <c r="O231" s="26">
        <v>140237</v>
      </c>
      <c r="P231" s="26">
        <v>2110</v>
      </c>
      <c r="Q231" s="26">
        <v>162625</v>
      </c>
      <c r="R231" s="26">
        <v>2453</v>
      </c>
      <c r="S231" s="26">
        <v>65019</v>
      </c>
      <c r="T231" s="26">
        <v>11700</v>
      </c>
      <c r="U231" s="26">
        <v>58376</v>
      </c>
      <c r="V231" s="26">
        <v>97345</v>
      </c>
      <c r="W231" s="26">
        <v>433</v>
      </c>
      <c r="X231" s="26">
        <v>56</v>
      </c>
      <c r="Y231" s="26">
        <v>60700</v>
      </c>
      <c r="Z231" s="26">
        <v>19396</v>
      </c>
      <c r="AA231" s="26">
        <v>102</v>
      </c>
      <c r="AB231" s="26">
        <v>0</v>
      </c>
      <c r="AC231" s="26">
        <v>0</v>
      </c>
      <c r="AD231" s="26">
        <v>86.201452302449596</v>
      </c>
    </row>
    <row r="232" spans="1:30" x14ac:dyDescent="0.2">
      <c r="A232">
        <f>_xlfn.XLOOKUP(E232,Lookups!$E:$E,Lookups!$F:$F,0)</f>
        <v>0</v>
      </c>
      <c r="B232">
        <v>1</v>
      </c>
      <c r="C232" s="3" t="d">
        <v>2026-07-03</v>
      </c>
      <c r="D232" s="3"/>
      <c r="E232" s="26" t="s">
        <v>294</v>
      </c>
      <c r="F232" s="26" t="s">
        <v>27</v>
      </c>
      <c r="G232" s="26" t="s">
        <v>28</v>
      </c>
      <c r="H232" s="26" t="s">
        <v>295</v>
      </c>
      <c r="I232" s="26">
        <v>40228</v>
      </c>
      <c r="J232" s="26">
        <v>26043</v>
      </c>
      <c r="K232" s="26">
        <v>71373</v>
      </c>
      <c r="L232" s="26">
        <v>73835389</v>
      </c>
      <c r="M232" s="26">
        <v>530688</v>
      </c>
      <c r="N232" s="26">
        <v>2460831</v>
      </c>
      <c r="O232" s="26">
        <v>61871</v>
      </c>
      <c r="P232" s="26">
        <v>14900</v>
      </c>
      <c r="Q232" s="26">
        <v>53977</v>
      </c>
      <c r="R232" s="26">
        <v>2182</v>
      </c>
      <c r="S232" s="26">
        <v>46612</v>
      </c>
      <c r="T232" s="26">
        <v>344</v>
      </c>
      <c r="U232" s="26">
        <v>57007</v>
      </c>
      <c r="V232" s="26">
        <v>158482</v>
      </c>
      <c r="W232" s="26">
        <v>1106</v>
      </c>
      <c r="X232" s="26">
        <v>3187</v>
      </c>
      <c r="Y232" s="26">
        <v>95821</v>
      </c>
      <c r="Z232" s="26">
        <v>10142</v>
      </c>
      <c r="AA232" s="26">
        <v>126</v>
      </c>
      <c r="AB232" s="26">
        <v>5</v>
      </c>
      <c r="AC232" s="26">
        <v>91</v>
      </c>
      <c r="AD232" s="26">
        <v>571.94221110529099</v>
      </c>
    </row>
    <row r="233" spans="1:30" x14ac:dyDescent="0.2">
      <c r="A233">
        <f>_xlfn.XLOOKUP(E233,Lookups!$E:$E,Lookups!$F:$F,0)</f>
        <v>0</v>
      </c>
      <c r="B233">
        <v>1</v>
      </c>
      <c r="C233" s="3" t="d">
        <v>2026-07-03</v>
      </c>
      <c r="D233" s="3"/>
      <c r="E233" s="26" t="s">
        <v>275</v>
      </c>
      <c r="F233" s="26" t="s">
        <v>27</v>
      </c>
      <c r="G233" s="26" t="s">
        <v>28</v>
      </c>
      <c r="H233" s="26" t="s">
        <v>46</v>
      </c>
      <c r="I233" s="26">
        <v>40323</v>
      </c>
      <c r="J233" s="26">
        <v>62591</v>
      </c>
      <c r="K233" s="26">
        <v>88245</v>
      </c>
      <c r="L233" s="26">
        <v>16233586</v>
      </c>
      <c r="M233" s="26">
        <v>173338</v>
      </c>
      <c r="N233" s="26">
        <v>999791</v>
      </c>
      <c r="O233" s="26">
        <v>75823</v>
      </c>
      <c r="P233" s="26">
        <v>437</v>
      </c>
      <c r="Q233" s="26">
        <v>9807343</v>
      </c>
      <c r="R233" s="26">
        <v>73633</v>
      </c>
      <c r="S233" s="26">
        <v>35316</v>
      </c>
      <c r="T233" s="26" t="s">
        <v>31</v>
      </c>
      <c r="U233" s="26">
        <v>166814</v>
      </c>
      <c r="V233" s="26">
        <v>609909</v>
      </c>
      <c r="W233" s="26">
        <v>35097</v>
      </c>
      <c r="X233" s="26">
        <v>16469</v>
      </c>
      <c r="Y233" s="26">
        <v>67003</v>
      </c>
      <c r="Z233" s="26">
        <v>2642</v>
      </c>
      <c r="AA233" s="26">
        <v>108</v>
      </c>
      <c r="AB233" s="26">
        <v>10</v>
      </c>
      <c r="AC233" s="26">
        <v>333</v>
      </c>
      <c r="AD233" s="26">
        <v>2656.0802933520599</v>
      </c>
    </row>
    <row r="234" spans="1:30" x14ac:dyDescent="0.2">
      <c r="A234">
        <f>_xlfn.XLOOKUP(E234,Lookups!$E:$E,Lookups!$F:$F,0)</f>
        <v>0</v>
      </c>
      <c r="B234">
        <v>1</v>
      </c>
      <c r="C234" s="3" t="d">
        <v>2026-07-03</v>
      </c>
      <c r="D234" s="3"/>
      <c r="E234" s="26" t="s">
        <v>204</v>
      </c>
      <c r="F234" s="26" t="s">
        <v>27</v>
      </c>
      <c r="G234" s="26" t="s">
        <v>28</v>
      </c>
      <c r="H234" s="26" t="s">
        <v>46</v>
      </c>
      <c r="I234" s="26">
        <v>40552</v>
      </c>
      <c r="J234" s="26">
        <v>49036</v>
      </c>
      <c r="K234" s="26">
        <v>158819</v>
      </c>
      <c r="L234" s="26">
        <v>44647546</v>
      </c>
      <c r="M234" s="26">
        <v>167935</v>
      </c>
      <c r="N234" s="26">
        <v>307944</v>
      </c>
      <c r="O234" s="26">
        <v>613359</v>
      </c>
      <c r="P234" s="26" t="s">
        <v>31</v>
      </c>
      <c r="Q234" s="26" t="s">
        <v>31</v>
      </c>
      <c r="R234" s="26" t="s">
        <v>31</v>
      </c>
      <c r="S234" s="26">
        <v>29432</v>
      </c>
      <c r="T234" s="26">
        <v>174616</v>
      </c>
      <c r="U234" s="26">
        <v>29335</v>
      </c>
      <c r="V234" s="26">
        <v>1048680</v>
      </c>
      <c r="W234" s="26">
        <v>2028</v>
      </c>
      <c r="X234" s="26" t="s">
        <v>31</v>
      </c>
      <c r="Y234" s="26">
        <v>87597</v>
      </c>
      <c r="Z234" s="26">
        <v>31447</v>
      </c>
      <c r="AA234" s="26">
        <v>75</v>
      </c>
      <c r="AB234" s="26">
        <v>0</v>
      </c>
      <c r="AC234" s="26">
        <v>0</v>
      </c>
      <c r="AD234" s="26">
        <v>79.699430027569505</v>
      </c>
    </row>
    <row r="235" spans="1:30" x14ac:dyDescent="0.2">
      <c r="A235">
        <f>_xlfn.XLOOKUP(E235,Lookups!$E:$E,Lookups!$F:$F,0)</f>
        <v>0</v>
      </c>
      <c r="B235">
        <v>1</v>
      </c>
      <c r="C235" s="3" t="d">
        <v>2026-07-03</v>
      </c>
      <c r="D235" s="3"/>
      <c r="E235" s="26" t="s">
        <v>322</v>
      </c>
      <c r="F235" s="26" t="s">
        <v>27</v>
      </c>
      <c r="G235" s="26" t="s">
        <v>28</v>
      </c>
      <c r="H235" s="26" t="s">
        <v>132</v>
      </c>
      <c r="I235" s="26">
        <v>40632</v>
      </c>
      <c r="J235" s="26">
        <v>43676</v>
      </c>
      <c r="K235" s="26">
        <v>57683</v>
      </c>
      <c r="L235" s="26">
        <v>49534445</v>
      </c>
      <c r="M235" s="26">
        <v>613310</v>
      </c>
      <c r="N235" s="26">
        <v>32717</v>
      </c>
      <c r="O235" s="26">
        <v>556844</v>
      </c>
      <c r="P235" s="26">
        <v>59</v>
      </c>
      <c r="Q235" s="26" t="s">
        <v>31</v>
      </c>
      <c r="R235" s="26" t="s">
        <v>31</v>
      </c>
      <c r="S235" s="26">
        <v>68466</v>
      </c>
      <c r="T235" s="26">
        <v>65862</v>
      </c>
      <c r="U235" s="26">
        <v>5809</v>
      </c>
      <c r="V235" s="26">
        <v>166896</v>
      </c>
      <c r="W235" s="26">
        <v>46</v>
      </c>
      <c r="X235" s="26">
        <v>10</v>
      </c>
      <c r="Y235" s="26">
        <v>382881</v>
      </c>
      <c r="Z235" s="26" t="s">
        <v>31</v>
      </c>
      <c r="AA235" s="26" t="s">
        <v>31</v>
      </c>
      <c r="AB235" s="26" t="s">
        <v>31</v>
      </c>
      <c r="AC235" s="26" t="s">
        <v>31</v>
      </c>
      <c r="AD235" s="26" t="s">
        <v>31</v>
      </c>
    </row>
    <row r="236" spans="1:30" x14ac:dyDescent="0.2">
      <c r="A236">
        <f>_xlfn.XLOOKUP(E236,Lookups!$E:$E,Lookups!$F:$F,0)</f>
        <v>0</v>
      </c>
      <c r="B236">
        <v>1</v>
      </c>
      <c r="C236" s="3" t="d">
        <v>2026-07-03</v>
      </c>
      <c r="D236" s="3"/>
      <c r="E236" s="26" t="s">
        <v>583</v>
      </c>
      <c r="F236" s="26" t="s">
        <v>475</v>
      </c>
      <c r="G236" s="26" t="s">
        <v>36</v>
      </c>
      <c r="H236" s="26" t="s">
        <v>31</v>
      </c>
      <c r="I236" s="26">
        <v>40706</v>
      </c>
      <c r="J236" s="26">
        <v>229161</v>
      </c>
      <c r="K236" s="26">
        <v>8308</v>
      </c>
      <c r="L236" s="26">
        <v>934754</v>
      </c>
      <c r="M236" s="26">
        <v>8172</v>
      </c>
      <c r="N236" s="26">
        <v>619</v>
      </c>
      <c r="O236" s="26">
        <v>22104</v>
      </c>
      <c r="P236" s="26">
        <v>136000</v>
      </c>
      <c r="Q236" s="26">
        <v>27600785</v>
      </c>
      <c r="R236" s="26">
        <v>361330</v>
      </c>
      <c r="S236" s="26">
        <v>22454</v>
      </c>
      <c r="T236" s="26" t="s">
        <v>31</v>
      </c>
      <c r="U236" s="26">
        <v>640302</v>
      </c>
      <c r="V236" s="26" t="s">
        <v>31</v>
      </c>
      <c r="W236" s="26" t="s">
        <v>31</v>
      </c>
      <c r="X236" s="26" t="s">
        <v>31</v>
      </c>
      <c r="Y236" s="26">
        <v>367957</v>
      </c>
      <c r="Z236" s="26" t="s">
        <v>31</v>
      </c>
      <c r="AA236" s="26" t="s">
        <v>31</v>
      </c>
      <c r="AB236" s="26" t="s">
        <v>31</v>
      </c>
      <c r="AC236" s="26" t="s">
        <v>31</v>
      </c>
      <c r="AD236" s="26" t="s">
        <v>31</v>
      </c>
    </row>
    <row r="237" spans="1:30" x14ac:dyDescent="0.2">
      <c r="A237">
        <f>_xlfn.XLOOKUP(E237,Lookups!$E:$E,Lookups!$F:$F,0)</f>
        <v>0</v>
      </c>
      <c r="B237">
        <v>1</v>
      </c>
      <c r="C237" s="3" t="d">
        <v>2026-07-03</v>
      </c>
      <c r="D237" s="3"/>
      <c r="E237" s="26" t="s">
        <v>245</v>
      </c>
      <c r="F237" s="26" t="s">
        <v>27</v>
      </c>
      <c r="G237" s="26" t="s">
        <v>28</v>
      </c>
      <c r="H237" s="26" t="s">
        <v>37</v>
      </c>
      <c r="I237" s="26">
        <v>40716</v>
      </c>
      <c r="J237" s="26">
        <v>33770</v>
      </c>
      <c r="K237" s="26">
        <v>113452</v>
      </c>
      <c r="L237" s="26">
        <v>28064620</v>
      </c>
      <c r="M237" s="26">
        <v>563249</v>
      </c>
      <c r="N237" s="26">
        <v>1815096</v>
      </c>
      <c r="O237" s="26">
        <v>65410</v>
      </c>
      <c r="P237" s="26">
        <v>17000</v>
      </c>
      <c r="Q237" s="26">
        <v>1135979</v>
      </c>
      <c r="R237" s="26">
        <v>20266</v>
      </c>
      <c r="S237" s="26">
        <v>52457</v>
      </c>
      <c r="T237" s="26">
        <v>16</v>
      </c>
      <c r="U237" s="26">
        <v>28093</v>
      </c>
      <c r="V237" s="26">
        <v>64964</v>
      </c>
      <c r="W237" s="26">
        <v>429</v>
      </c>
      <c r="X237" s="26">
        <v>117</v>
      </c>
      <c r="Y237" s="26">
        <v>110652</v>
      </c>
      <c r="Z237" s="26">
        <v>32789</v>
      </c>
      <c r="AA237" s="26">
        <v>42</v>
      </c>
      <c r="AB237" s="26">
        <v>0</v>
      </c>
      <c r="AC237" s="26">
        <v>0</v>
      </c>
      <c r="AD237" s="26">
        <v>56.576594396005497</v>
      </c>
    </row>
    <row r="238" spans="1:30" x14ac:dyDescent="0.2">
      <c r="A238">
        <f>_xlfn.XLOOKUP(E238,Lookups!$E:$E,Lookups!$F:$F,0)</f>
        <v>0</v>
      </c>
      <c r="B238">
        <v>1</v>
      </c>
      <c r="C238" s="3" t="d">
        <v>2026-07-03</v>
      </c>
      <c r="D238" s="3"/>
      <c r="E238" s="26" t="s">
        <v>234</v>
      </c>
      <c r="F238" s="26" t="s">
        <v>27</v>
      </c>
      <c r="G238" s="26" t="s">
        <v>36</v>
      </c>
      <c r="H238" s="26" t="s">
        <v>31</v>
      </c>
      <c r="I238" s="26">
        <v>40775</v>
      </c>
      <c r="J238" s="26">
        <v>19356</v>
      </c>
      <c r="K238" s="26">
        <v>122156</v>
      </c>
      <c r="L238" s="26">
        <v>76987127</v>
      </c>
      <c r="M238" s="26">
        <v>836781</v>
      </c>
      <c r="N238" s="26">
        <v>1832934</v>
      </c>
      <c r="O238" s="26">
        <v>56930</v>
      </c>
      <c r="P238" s="26">
        <v>25200</v>
      </c>
      <c r="Q238" s="26">
        <v>4442575</v>
      </c>
      <c r="R238" s="26">
        <v>44715</v>
      </c>
      <c r="S238" s="26">
        <v>55892</v>
      </c>
      <c r="T238" s="26">
        <v>225202</v>
      </c>
      <c r="U238" s="26">
        <v>18194</v>
      </c>
      <c r="V238" s="26" t="s">
        <v>31</v>
      </c>
      <c r="W238" s="26">
        <v>397</v>
      </c>
      <c r="X238" s="26">
        <v>118</v>
      </c>
      <c r="Y238" s="26">
        <v>98421</v>
      </c>
      <c r="Z238" s="26" t="s">
        <v>31</v>
      </c>
      <c r="AA238" s="26" t="s">
        <v>31</v>
      </c>
      <c r="AB238" s="26" t="s">
        <v>31</v>
      </c>
      <c r="AC238" s="26" t="s">
        <v>31</v>
      </c>
      <c r="AD238" s="26" t="s">
        <v>31</v>
      </c>
    </row>
    <row r="239" spans="1:30" x14ac:dyDescent="0.2">
      <c r="A239">
        <f>_xlfn.XLOOKUP(E239,Lookups!$E:$E,Lookups!$F:$F,0)</f>
        <v>0</v>
      </c>
      <c r="B239">
        <v>1</v>
      </c>
      <c r="C239" s="3" t="d">
        <v>2026-07-03</v>
      </c>
      <c r="D239" s="3"/>
      <c r="E239" s="26" t="s">
        <v>430</v>
      </c>
      <c r="F239" s="26" t="s">
        <v>27</v>
      </c>
      <c r="G239" s="26" t="s">
        <v>28</v>
      </c>
      <c r="H239" s="26" t="s">
        <v>46</v>
      </c>
      <c r="I239" s="26">
        <v>40865</v>
      </c>
      <c r="J239" s="26">
        <v>126524</v>
      </c>
      <c r="K239" s="26">
        <v>23894</v>
      </c>
      <c r="L239" s="26">
        <v>3649312</v>
      </c>
      <c r="M239" s="26">
        <v>84022</v>
      </c>
      <c r="N239" s="26">
        <v>96836</v>
      </c>
      <c r="O239" s="26">
        <v>613359</v>
      </c>
      <c r="P239" s="26" t="s">
        <v>31</v>
      </c>
      <c r="Q239" s="26" t="s">
        <v>31</v>
      </c>
      <c r="R239" s="26" t="s">
        <v>31</v>
      </c>
      <c r="S239" s="26">
        <v>14957</v>
      </c>
      <c r="T239" s="26">
        <v>147402</v>
      </c>
      <c r="U239" s="26">
        <v>717947</v>
      </c>
      <c r="V239" s="26">
        <v>1037404</v>
      </c>
      <c r="W239" s="26">
        <v>593</v>
      </c>
      <c r="X239" s="26">
        <v>19302</v>
      </c>
      <c r="Y239" s="26">
        <v>322460</v>
      </c>
      <c r="Z239" s="26">
        <v>20370</v>
      </c>
      <c r="AA239" s="26">
        <v>116</v>
      </c>
      <c r="AB239" s="26">
        <v>0</v>
      </c>
      <c r="AC239" s="26">
        <v>0</v>
      </c>
      <c r="AD239" s="26">
        <v>130.97284755494101</v>
      </c>
    </row>
    <row r="240" spans="1:30" x14ac:dyDescent="0.2">
      <c r="A240">
        <f>_xlfn.XLOOKUP(E240,Lookups!$E:$E,Lookups!$F:$F,0)</f>
        <v>0</v>
      </c>
      <c r="B240">
        <v>1</v>
      </c>
      <c r="C240" s="3" t="d">
        <v>2026-07-03</v>
      </c>
      <c r="D240" s="3"/>
      <c r="E240" s="26" t="s">
        <v>284</v>
      </c>
      <c r="F240" s="26" t="s">
        <v>27</v>
      </c>
      <c r="G240" s="26" t="s">
        <v>36</v>
      </c>
      <c r="H240" s="26" t="s">
        <v>44</v>
      </c>
      <c r="I240" s="26">
        <v>40907</v>
      </c>
      <c r="J240" s="26">
        <v>64378</v>
      </c>
      <c r="K240" s="26">
        <v>81545</v>
      </c>
      <c r="L240" s="26">
        <v>64356931</v>
      </c>
      <c r="M240" s="26">
        <v>110129</v>
      </c>
      <c r="N240" s="26">
        <v>795683</v>
      </c>
      <c r="O240" s="26">
        <v>58095</v>
      </c>
      <c r="P240" s="26">
        <v>23700</v>
      </c>
      <c r="Q240" s="26">
        <v>9614710</v>
      </c>
      <c r="R240" s="26">
        <v>57438</v>
      </c>
      <c r="S240" s="26">
        <v>27690</v>
      </c>
      <c r="T240" s="26">
        <v>180926</v>
      </c>
      <c r="U240" s="26">
        <v>59550</v>
      </c>
      <c r="V240" s="26">
        <v>73166</v>
      </c>
      <c r="W240" s="26" t="s">
        <v>31</v>
      </c>
      <c r="X240" s="26" t="s">
        <v>31</v>
      </c>
      <c r="Y240" s="26">
        <v>154372</v>
      </c>
      <c r="Z240" s="26" t="s">
        <v>31</v>
      </c>
      <c r="AA240" s="26" t="s">
        <v>31</v>
      </c>
      <c r="AB240" s="26" t="s">
        <v>31</v>
      </c>
      <c r="AC240" s="26" t="s">
        <v>31</v>
      </c>
      <c r="AD240" s="26" t="s">
        <v>31</v>
      </c>
    </row>
    <row r="241" spans="1:30" x14ac:dyDescent="0.2">
      <c r="A241">
        <f>_xlfn.XLOOKUP(E241,Lookups!$E:$E,Lookups!$F:$F,0)</f>
        <v>0</v>
      </c>
      <c r="B241">
        <v>1</v>
      </c>
      <c r="C241" s="3" t="d">
        <v>2026-07-03</v>
      </c>
      <c r="D241" s="3"/>
      <c r="E241" s="26" t="s">
        <v>584</v>
      </c>
      <c r="F241" s="26" t="s">
        <v>585</v>
      </c>
      <c r="G241" s="26" t="s">
        <v>36</v>
      </c>
      <c r="H241" s="26" t="s">
        <v>95</v>
      </c>
      <c r="I241" s="26">
        <v>40974</v>
      </c>
      <c r="J241" s="26">
        <v>361037</v>
      </c>
      <c r="K241" s="26">
        <v>5097</v>
      </c>
      <c r="L241" s="26">
        <v>773161</v>
      </c>
      <c r="M241" s="26">
        <v>1440</v>
      </c>
      <c r="N241" s="26">
        <v>1508</v>
      </c>
      <c r="O241" s="26">
        <v>63761</v>
      </c>
      <c r="P241" s="26">
        <v>43100</v>
      </c>
      <c r="Q241" s="26">
        <v>17290580</v>
      </c>
      <c r="R241" s="26">
        <v>111343</v>
      </c>
      <c r="S241" s="26">
        <v>6303</v>
      </c>
      <c r="T241" s="26" t="s">
        <v>31</v>
      </c>
      <c r="U241" s="26">
        <v>4259708</v>
      </c>
      <c r="V241" s="26">
        <v>3613</v>
      </c>
      <c r="W241" s="26">
        <v>26</v>
      </c>
      <c r="X241" s="26" t="s">
        <v>31</v>
      </c>
      <c r="Y241" s="26">
        <v>77170</v>
      </c>
      <c r="Z241" s="26" t="s">
        <v>31</v>
      </c>
      <c r="AA241" s="26" t="s">
        <v>31</v>
      </c>
      <c r="AB241" s="26" t="s">
        <v>31</v>
      </c>
      <c r="AC241" s="26" t="s">
        <v>31</v>
      </c>
      <c r="AD241" s="26" t="s">
        <v>31</v>
      </c>
    </row>
    <row r="242" spans="1:30" x14ac:dyDescent="0.2">
      <c r="A242">
        <f>_xlfn.XLOOKUP(E242,Lookups!$E:$E,Lookups!$F:$F,0)</f>
        <v>0</v>
      </c>
      <c r="B242">
        <v>1</v>
      </c>
      <c r="C242" s="3" t="d">
        <v>2026-07-03</v>
      </c>
      <c r="D242" s="3"/>
      <c r="E242" s="26" t="s">
        <v>179</v>
      </c>
      <c r="F242" s="26" t="s">
        <v>27</v>
      </c>
      <c r="G242" s="26" t="s">
        <v>28</v>
      </c>
      <c r="H242" s="26" t="s">
        <v>118</v>
      </c>
      <c r="I242" s="26">
        <v>41083</v>
      </c>
      <c r="J242" s="26">
        <v>24030</v>
      </c>
      <c r="K242" s="26">
        <v>208532</v>
      </c>
      <c r="L242" s="26">
        <v>130424735</v>
      </c>
      <c r="M242" s="26">
        <v>482682</v>
      </c>
      <c r="N242" s="26">
        <v>1286989</v>
      </c>
      <c r="O242" s="26">
        <v>613359</v>
      </c>
      <c r="P242" s="26" t="s">
        <v>31</v>
      </c>
      <c r="Q242" s="26" t="s">
        <v>31</v>
      </c>
      <c r="R242" s="26" t="s">
        <v>31</v>
      </c>
      <c r="S242" s="26">
        <v>834709</v>
      </c>
      <c r="T242" s="26" t="s">
        <v>31</v>
      </c>
      <c r="U242" s="26" t="s">
        <v>31</v>
      </c>
      <c r="V242" s="26" t="s">
        <v>31</v>
      </c>
      <c r="W242" s="26" t="s">
        <v>31</v>
      </c>
      <c r="X242" s="26">
        <v>2</v>
      </c>
      <c r="Y242" s="26">
        <v>147604</v>
      </c>
      <c r="Z242" s="26">
        <v>18545</v>
      </c>
      <c r="AA242" s="26">
        <v>86</v>
      </c>
      <c r="AB242" s="26">
        <v>0</v>
      </c>
      <c r="AC242" s="26">
        <v>0</v>
      </c>
      <c r="AD242" s="26">
        <v>133.253756316878</v>
      </c>
    </row>
    <row r="243" spans="1:30" x14ac:dyDescent="0.2">
      <c r="A243">
        <f>_xlfn.XLOOKUP(E243,Lookups!$E:$E,Lookups!$F:$F,0)</f>
        <v>0</v>
      </c>
      <c r="B243">
        <v>1</v>
      </c>
      <c r="C243" s="3" t="d">
        <v>2026-07-03</v>
      </c>
      <c r="D243" s="3"/>
      <c r="E243" s="26" t="s">
        <v>586</v>
      </c>
      <c r="F243" s="26" t="s">
        <v>27</v>
      </c>
      <c r="G243" s="26" t="s">
        <v>36</v>
      </c>
      <c r="H243" s="26" t="s">
        <v>46</v>
      </c>
      <c r="I243" s="26">
        <v>41283</v>
      </c>
      <c r="J243" s="26">
        <v>313825</v>
      </c>
      <c r="K243" s="26">
        <v>5841</v>
      </c>
      <c r="L243" s="26">
        <v>638740</v>
      </c>
      <c r="M243" s="26">
        <v>2201</v>
      </c>
      <c r="N243" s="26">
        <v>13982</v>
      </c>
      <c r="O243" s="26">
        <v>173137</v>
      </c>
      <c r="P243" s="26">
        <v>256</v>
      </c>
      <c r="Q243" s="26">
        <v>827939</v>
      </c>
      <c r="R243" s="26">
        <v>15691</v>
      </c>
      <c r="S243" s="26">
        <v>17860</v>
      </c>
      <c r="T243" s="26">
        <v>56934</v>
      </c>
      <c r="U243" s="26">
        <v>132176</v>
      </c>
      <c r="V243" s="26">
        <v>90709</v>
      </c>
      <c r="W243" s="26" t="s">
        <v>31</v>
      </c>
      <c r="X243" s="26">
        <v>607</v>
      </c>
      <c r="Y243" s="26">
        <v>378242</v>
      </c>
      <c r="Z243" s="26" t="s">
        <v>31</v>
      </c>
      <c r="AA243" s="26" t="s">
        <v>31</v>
      </c>
      <c r="AB243" s="26" t="s">
        <v>31</v>
      </c>
      <c r="AC243" s="26" t="s">
        <v>31</v>
      </c>
      <c r="AD243" s="26" t="s">
        <v>31</v>
      </c>
    </row>
    <row r="244" spans="1:30" x14ac:dyDescent="0.2">
      <c r="A244">
        <f>_xlfn.XLOOKUP(E244,Lookups!$E:$E,Lookups!$F:$F,0)</f>
        <v>0</v>
      </c>
      <c r="B244">
        <v>1</v>
      </c>
      <c r="C244" s="3" t="d">
        <v>2026-07-03</v>
      </c>
      <c r="D244" s="3"/>
      <c r="E244" s="26" t="s">
        <v>188</v>
      </c>
      <c r="F244" s="26" t="s">
        <v>27</v>
      </c>
      <c r="G244" s="26" t="s">
        <v>28</v>
      </c>
      <c r="H244" s="26" t="s">
        <v>40</v>
      </c>
      <c r="I244" s="26">
        <v>41654</v>
      </c>
      <c r="J244" s="26">
        <v>57651</v>
      </c>
      <c r="K244" s="26">
        <v>190105</v>
      </c>
      <c r="L244" s="26">
        <v>17597250</v>
      </c>
      <c r="M244" s="26">
        <v>107899</v>
      </c>
      <c r="N244" s="26">
        <v>151814</v>
      </c>
      <c r="O244" s="26">
        <v>613359</v>
      </c>
      <c r="P244" s="26" t="s">
        <v>31</v>
      </c>
      <c r="Q244" s="26" t="s">
        <v>31</v>
      </c>
      <c r="R244" s="26" t="s">
        <v>31</v>
      </c>
      <c r="S244" s="26">
        <v>22788</v>
      </c>
      <c r="T244" s="26">
        <v>128781</v>
      </c>
      <c r="U244" s="26">
        <v>385584</v>
      </c>
      <c r="V244" s="26">
        <v>1751702</v>
      </c>
      <c r="W244" s="26">
        <v>828</v>
      </c>
      <c r="X244" s="26" t="s">
        <v>31</v>
      </c>
      <c r="Y244" s="26">
        <v>193374</v>
      </c>
      <c r="Z244" s="26">
        <v>32851</v>
      </c>
      <c r="AA244" s="26">
        <v>58</v>
      </c>
      <c r="AB244" s="26">
        <v>0</v>
      </c>
      <c r="AC244" s="26">
        <v>0</v>
      </c>
      <c r="AD244" s="26">
        <v>74.861560852951101</v>
      </c>
    </row>
    <row r="245" spans="1:30" x14ac:dyDescent="0.2">
      <c r="A245">
        <f>_xlfn.XLOOKUP(E245,Lookups!$E:$E,Lookups!$F:$F,0)</f>
        <v>0</v>
      </c>
      <c r="B245">
        <v>1</v>
      </c>
      <c r="C245" s="3" t="d">
        <v>2026-07-03</v>
      </c>
      <c r="D245" s="3"/>
      <c r="E245" s="26" t="s">
        <v>390</v>
      </c>
      <c r="F245" s="26" t="s">
        <v>27</v>
      </c>
      <c r="G245" s="26" t="s">
        <v>77</v>
      </c>
      <c r="H245" s="26" t="s">
        <v>37</v>
      </c>
      <c r="I245" s="26">
        <v>42020</v>
      </c>
      <c r="J245" s="26">
        <v>49241</v>
      </c>
      <c r="K245" s="26">
        <v>34240</v>
      </c>
      <c r="L245" s="26">
        <v>14481527</v>
      </c>
      <c r="M245" s="26">
        <v>337847</v>
      </c>
      <c r="N245" s="26">
        <v>1864533</v>
      </c>
      <c r="O245" s="26">
        <v>53550</v>
      </c>
      <c r="P245" s="26">
        <v>7780</v>
      </c>
      <c r="Q245" s="26">
        <v>240711</v>
      </c>
      <c r="R245" s="26">
        <v>3668</v>
      </c>
      <c r="S245" s="26">
        <v>41047</v>
      </c>
      <c r="T245" s="26">
        <v>88437</v>
      </c>
      <c r="U245" s="26">
        <v>27627</v>
      </c>
      <c r="V245" s="26" t="s">
        <v>31</v>
      </c>
      <c r="W245" s="26">
        <v>44</v>
      </c>
      <c r="X245" s="26">
        <v>450</v>
      </c>
      <c r="Y245" s="26">
        <v>253587</v>
      </c>
      <c r="Z245" s="26" t="s">
        <v>31</v>
      </c>
      <c r="AA245" s="26" t="s">
        <v>31</v>
      </c>
      <c r="AB245" s="26" t="s">
        <v>31</v>
      </c>
      <c r="AC245" s="26" t="s">
        <v>31</v>
      </c>
      <c r="AD245" s="26" t="s">
        <v>31</v>
      </c>
    </row>
    <row r="246" spans="1:30" x14ac:dyDescent="0.2">
      <c r="A246">
        <f>_xlfn.XLOOKUP(E246,Lookups!$E:$E,Lookups!$F:$F,0)</f>
        <v>0</v>
      </c>
      <c r="B246">
        <v>1</v>
      </c>
      <c r="C246" s="3" t="d">
        <v>2026-07-03</v>
      </c>
      <c r="D246" s="3"/>
      <c r="E246" s="26" t="s">
        <v>455</v>
      </c>
      <c r="F246" s="26" t="s">
        <v>456</v>
      </c>
      <c r="G246" s="26" t="s">
        <v>77</v>
      </c>
      <c r="H246" s="26" t="s">
        <v>46</v>
      </c>
      <c r="I246" s="26">
        <v>42080</v>
      </c>
      <c r="J246" s="26">
        <v>166598</v>
      </c>
      <c r="K246" s="26">
        <v>18423</v>
      </c>
      <c r="L246" s="26">
        <v>2413786</v>
      </c>
      <c r="M246" s="26">
        <v>38063</v>
      </c>
      <c r="N246" s="26">
        <v>14086</v>
      </c>
      <c r="O246" s="26">
        <v>35232</v>
      </c>
      <c r="P246" s="26">
        <v>89900</v>
      </c>
      <c r="Q246" s="26">
        <v>9329194</v>
      </c>
      <c r="R246" s="26">
        <v>121945</v>
      </c>
      <c r="S246" s="26">
        <v>21711</v>
      </c>
      <c r="T246" s="26">
        <v>492926</v>
      </c>
      <c r="U246" s="26">
        <v>58064</v>
      </c>
      <c r="V246" s="26">
        <v>438468</v>
      </c>
      <c r="W246" s="26">
        <v>308</v>
      </c>
      <c r="X246" s="26">
        <v>21</v>
      </c>
      <c r="Y246" s="26">
        <v>38538</v>
      </c>
      <c r="Z246" s="26" t="s">
        <v>31</v>
      </c>
      <c r="AA246" s="26" t="s">
        <v>31</v>
      </c>
      <c r="AB246" s="26" t="s">
        <v>31</v>
      </c>
      <c r="AC246" s="26" t="s">
        <v>31</v>
      </c>
      <c r="AD246" s="26" t="s">
        <v>31</v>
      </c>
    </row>
    <row r="247" spans="1:30" x14ac:dyDescent="0.2">
      <c r="A247">
        <f>_xlfn.XLOOKUP(E247,Lookups!$E:$E,Lookups!$F:$F,0)</f>
        <v>0</v>
      </c>
      <c r="B247">
        <v>1</v>
      </c>
      <c r="C247" s="3" t="d">
        <v>2026-07-03</v>
      </c>
      <c r="D247" s="3"/>
      <c r="E247" s="26" t="s">
        <v>358</v>
      </c>
      <c r="F247" s="26" t="s">
        <v>27</v>
      </c>
      <c r="G247" s="26" t="s">
        <v>28</v>
      </c>
      <c r="H247" s="26" t="s">
        <v>29</v>
      </c>
      <c r="I247" s="26">
        <v>42215</v>
      </c>
      <c r="J247" s="26">
        <v>80522</v>
      </c>
      <c r="K247" s="26">
        <v>43773</v>
      </c>
      <c r="L247" s="26">
        <v>15357535</v>
      </c>
      <c r="M247" s="26">
        <v>138079</v>
      </c>
      <c r="N247" s="26">
        <v>419439</v>
      </c>
      <c r="O247" s="26">
        <v>60619</v>
      </c>
      <c r="P247" s="26">
        <v>32800</v>
      </c>
      <c r="Q247" s="26">
        <v>7381943</v>
      </c>
      <c r="R247" s="26">
        <v>62467</v>
      </c>
      <c r="S247" s="26">
        <v>39003</v>
      </c>
      <c r="T247" s="26">
        <v>336854</v>
      </c>
      <c r="U247" s="26">
        <v>91126</v>
      </c>
      <c r="V247" s="26">
        <v>659198</v>
      </c>
      <c r="W247" s="26">
        <v>4278</v>
      </c>
      <c r="X247" s="26" t="s">
        <v>31</v>
      </c>
      <c r="Y247" s="26">
        <v>38684</v>
      </c>
      <c r="Z247" s="26">
        <v>24566</v>
      </c>
      <c r="AA247" s="26">
        <v>82</v>
      </c>
      <c r="AB247" s="26">
        <v>0</v>
      </c>
      <c r="AC247" s="26">
        <v>0</v>
      </c>
      <c r="AD247" s="26">
        <v>119.57592208669701</v>
      </c>
    </row>
    <row r="248" spans="1:30" x14ac:dyDescent="0.2">
      <c r="A248">
        <f>_xlfn.XLOOKUP(E248,Lookups!$E:$E,Lookups!$F:$F,0)</f>
        <v>0</v>
      </c>
      <c r="B248">
        <v>1</v>
      </c>
      <c r="C248" s="3" t="d">
        <v>2026-07-03</v>
      </c>
      <c r="D248" s="3"/>
      <c r="E248" s="26" t="s">
        <v>587</v>
      </c>
      <c r="F248" s="26" t="s">
        <v>27</v>
      </c>
      <c r="G248" s="26" t="s">
        <v>28</v>
      </c>
      <c r="H248" s="26" t="s">
        <v>46</v>
      </c>
      <c r="I248" s="26">
        <v>42251</v>
      </c>
      <c r="J248" s="26">
        <v>107064</v>
      </c>
      <c r="K248" s="26">
        <v>1964</v>
      </c>
      <c r="L248" s="26">
        <v>14462857</v>
      </c>
      <c r="M248" s="26">
        <v>113520</v>
      </c>
      <c r="N248" s="26">
        <v>122461</v>
      </c>
      <c r="O248" s="26">
        <v>15477</v>
      </c>
      <c r="P248" s="26">
        <v>122000</v>
      </c>
      <c r="Q248" s="26">
        <v>51595480</v>
      </c>
      <c r="R248" s="26">
        <v>255863</v>
      </c>
      <c r="S248" s="26">
        <v>287079</v>
      </c>
      <c r="T248" s="26">
        <v>2847</v>
      </c>
      <c r="U248" s="26">
        <v>1273</v>
      </c>
      <c r="V248" s="26">
        <v>7107</v>
      </c>
      <c r="W248" s="26">
        <v>136</v>
      </c>
      <c r="X248" s="26" t="s">
        <v>31</v>
      </c>
      <c r="Y248" s="26">
        <v>134176</v>
      </c>
      <c r="Z248" s="26">
        <v>161537</v>
      </c>
      <c r="AA248" s="26">
        <v>3</v>
      </c>
      <c r="AB248" s="26">
        <v>0</v>
      </c>
      <c r="AC248" s="26">
        <v>0</v>
      </c>
      <c r="AD248" s="26">
        <v>1.08933031658736</v>
      </c>
    </row>
    <row r="249" spans="1:30" x14ac:dyDescent="0.2">
      <c r="A249">
        <f>_xlfn.XLOOKUP(E249,Lookups!$E:$E,Lookups!$F:$F,0)</f>
        <v>0</v>
      </c>
      <c r="B249">
        <v>1</v>
      </c>
      <c r="C249" s="3" t="d">
        <v>2026-07-03</v>
      </c>
      <c r="D249" s="3"/>
      <c r="E249" s="26" t="s">
        <v>460</v>
      </c>
      <c r="F249" s="26" t="s">
        <v>27</v>
      </c>
      <c r="G249" s="26" t="s">
        <v>28</v>
      </c>
      <c r="H249" s="26" t="s">
        <v>31</v>
      </c>
      <c r="I249" s="26">
        <v>42392</v>
      </c>
      <c r="J249" s="26">
        <v>50396</v>
      </c>
      <c r="K249" s="26">
        <v>18052</v>
      </c>
      <c r="L249" s="26">
        <v>13644370</v>
      </c>
      <c r="M249" s="26">
        <v>422186</v>
      </c>
      <c r="N249" s="26">
        <v>1980496</v>
      </c>
      <c r="O249" s="26">
        <v>29666</v>
      </c>
      <c r="P249" s="26">
        <v>40400</v>
      </c>
      <c r="Q249" s="26">
        <v>6796622</v>
      </c>
      <c r="R249" s="26">
        <v>88664</v>
      </c>
      <c r="S249" s="26">
        <v>119758</v>
      </c>
      <c r="T249" s="26" t="s">
        <v>31</v>
      </c>
      <c r="U249" s="26" t="s">
        <v>31</v>
      </c>
      <c r="V249" s="26">
        <v>10074</v>
      </c>
      <c r="W249" s="26">
        <v>75</v>
      </c>
      <c r="X249" s="26">
        <v>52</v>
      </c>
      <c r="Y249" s="26">
        <v>102412</v>
      </c>
      <c r="Z249" s="26">
        <v>58563</v>
      </c>
      <c r="AA249" s="26">
        <v>4</v>
      </c>
      <c r="AB249" s="26">
        <v>0</v>
      </c>
      <c r="AC249" s="26">
        <v>0</v>
      </c>
      <c r="AD249" s="26">
        <v>10.1036672392648</v>
      </c>
    </row>
    <row r="250" spans="1:30" x14ac:dyDescent="0.2">
      <c r="A250">
        <f>_xlfn.XLOOKUP(E250,Lookups!$E:$E,Lookups!$F:$F,0)</f>
        <v>0</v>
      </c>
      <c r="B250">
        <v>1</v>
      </c>
      <c r="C250" s="3" t="d">
        <v>2026-07-03</v>
      </c>
      <c r="D250" s="3"/>
      <c r="E250" s="26" t="s">
        <v>277</v>
      </c>
      <c r="F250" s="26" t="s">
        <v>27</v>
      </c>
      <c r="G250" s="26" t="s">
        <v>28</v>
      </c>
      <c r="H250" s="26" t="s">
        <v>57</v>
      </c>
      <c r="I250" s="26">
        <v>42668</v>
      </c>
      <c r="J250" s="26">
        <v>68042</v>
      </c>
      <c r="K250" s="26">
        <v>85986</v>
      </c>
      <c r="L250" s="26">
        <v>18467002</v>
      </c>
      <c r="M250" s="26">
        <v>125270</v>
      </c>
      <c r="N250" s="26">
        <v>351304</v>
      </c>
      <c r="O250" s="26">
        <v>33073</v>
      </c>
      <c r="P250" s="26">
        <v>58800</v>
      </c>
      <c r="Q250" s="26">
        <v>602027</v>
      </c>
      <c r="R250" s="26">
        <v>23175</v>
      </c>
      <c r="S250" s="26">
        <v>16885</v>
      </c>
      <c r="T250" s="26">
        <v>216463</v>
      </c>
      <c r="U250" s="26">
        <v>127671</v>
      </c>
      <c r="V250" s="26" t="s">
        <v>31</v>
      </c>
      <c r="W250" s="26">
        <v>480</v>
      </c>
      <c r="X250" s="26">
        <v>394</v>
      </c>
      <c r="Y250" s="26">
        <v>167148</v>
      </c>
      <c r="Z250" s="26" t="s">
        <v>31</v>
      </c>
      <c r="AA250" s="26" t="s">
        <v>31</v>
      </c>
      <c r="AB250" s="26" t="s">
        <v>31</v>
      </c>
      <c r="AC250" s="26" t="s">
        <v>31</v>
      </c>
      <c r="AD250" s="26" t="s">
        <v>31</v>
      </c>
    </row>
    <row r="251" spans="1:30" x14ac:dyDescent="0.2">
      <c r="A251">
        <f>_xlfn.XLOOKUP(E251,Lookups!$E:$E,Lookups!$F:$F,0)</f>
        <v>0</v>
      </c>
      <c r="B251">
        <v>1</v>
      </c>
      <c r="C251" s="3" t="d">
        <v>2026-07-03</v>
      </c>
      <c r="D251" s="3"/>
      <c r="E251" s="26" t="s">
        <v>588</v>
      </c>
      <c r="F251" s="26" t="s">
        <v>439</v>
      </c>
      <c r="G251" s="26" t="s">
        <v>28</v>
      </c>
      <c r="H251" s="26" t="s">
        <v>326</v>
      </c>
      <c r="I251" s="26">
        <v>42862</v>
      </c>
      <c r="J251" s="26">
        <v>34596</v>
      </c>
      <c r="K251" s="26">
        <v>13650</v>
      </c>
      <c r="L251" s="26">
        <v>114295149</v>
      </c>
      <c r="M251" s="26">
        <v>424006</v>
      </c>
      <c r="N251" s="26">
        <v>1466171</v>
      </c>
      <c r="O251" s="26">
        <v>31210</v>
      </c>
      <c r="P251" s="26">
        <v>43400</v>
      </c>
      <c r="Q251" s="26">
        <v>9441020</v>
      </c>
      <c r="R251" s="26">
        <v>75084</v>
      </c>
      <c r="S251" s="26">
        <v>29509</v>
      </c>
      <c r="T251" s="26">
        <v>147775</v>
      </c>
      <c r="U251" s="26">
        <v>185583</v>
      </c>
      <c r="V251" s="26">
        <v>19785</v>
      </c>
      <c r="W251" s="26">
        <v>1668</v>
      </c>
      <c r="X251" s="26">
        <v>392</v>
      </c>
      <c r="Y251" s="26">
        <v>13496</v>
      </c>
      <c r="Z251" s="26" t="s">
        <v>31</v>
      </c>
      <c r="AA251" s="26" t="s">
        <v>31</v>
      </c>
      <c r="AB251" s="26" t="s">
        <v>31</v>
      </c>
      <c r="AC251" s="26" t="s">
        <v>31</v>
      </c>
      <c r="AD251" s="26" t="s">
        <v>31</v>
      </c>
    </row>
    <row r="252" spans="1:30" x14ac:dyDescent="0.2">
      <c r="A252">
        <f>_xlfn.XLOOKUP(E252,Lookups!$E:$E,Lookups!$F:$F,0)</f>
        <v>0</v>
      </c>
      <c r="B252">
        <v>1</v>
      </c>
      <c r="C252" s="3" t="d">
        <v>2026-07-03</v>
      </c>
      <c r="D252" s="3"/>
      <c r="E252" s="26" t="s">
        <v>269</v>
      </c>
      <c r="F252" s="26" t="s">
        <v>27</v>
      </c>
      <c r="G252" s="26" t="s">
        <v>28</v>
      </c>
      <c r="H252" s="26" t="s">
        <v>62</v>
      </c>
      <c r="I252" s="26">
        <v>43311</v>
      </c>
      <c r="J252" s="26">
        <v>18842</v>
      </c>
      <c r="K252" s="26">
        <v>91908</v>
      </c>
      <c r="L252" s="26">
        <v>157646567</v>
      </c>
      <c r="M252" s="26">
        <v>799496</v>
      </c>
      <c r="N252" s="26">
        <v>2961014</v>
      </c>
      <c r="O252" s="26">
        <v>613359</v>
      </c>
      <c r="P252" s="26" t="s">
        <v>31</v>
      </c>
      <c r="Q252" s="26" t="s">
        <v>31</v>
      </c>
      <c r="R252" s="26" t="s">
        <v>31</v>
      </c>
      <c r="S252" s="26">
        <v>171120</v>
      </c>
      <c r="T252" s="26" t="s">
        <v>31</v>
      </c>
      <c r="U252" s="26">
        <v>33685</v>
      </c>
      <c r="V252" s="26" t="s">
        <v>31</v>
      </c>
      <c r="W252" s="26">
        <v>661</v>
      </c>
      <c r="X252" s="26" t="s">
        <v>31</v>
      </c>
      <c r="Y252" s="26">
        <v>191741</v>
      </c>
      <c r="Z252" s="26">
        <v>43341</v>
      </c>
      <c r="AA252" s="26">
        <v>22</v>
      </c>
      <c r="AB252" s="26">
        <v>0</v>
      </c>
      <c r="AC252" s="26">
        <v>0</v>
      </c>
      <c r="AD252" s="26">
        <v>34.192242644274501</v>
      </c>
    </row>
    <row r="253" spans="1:30" x14ac:dyDescent="0.2">
      <c r="A253">
        <f>_xlfn.XLOOKUP(E253,Lookups!$E:$E,Lookups!$F:$F,0)</f>
        <v>0</v>
      </c>
      <c r="B253">
        <v>1</v>
      </c>
      <c r="C253" s="3" t="d">
        <v>2026-07-03</v>
      </c>
      <c r="D253" s="3"/>
      <c r="E253" s="26" t="s">
        <v>354</v>
      </c>
      <c r="F253" s="26" t="s">
        <v>27</v>
      </c>
      <c r="G253" s="26" t="s">
        <v>36</v>
      </c>
      <c r="H253" s="26" t="s">
        <v>40</v>
      </c>
      <c r="I253" s="26">
        <v>43547</v>
      </c>
      <c r="J253" s="26">
        <v>38164</v>
      </c>
      <c r="K253" s="26">
        <v>44726</v>
      </c>
      <c r="L253" s="26">
        <v>69390569</v>
      </c>
      <c r="M253" s="26">
        <v>543573</v>
      </c>
      <c r="N253" s="26">
        <v>1379275</v>
      </c>
      <c r="O253" s="26">
        <v>613359</v>
      </c>
      <c r="P253" s="26" t="s">
        <v>31</v>
      </c>
      <c r="Q253" s="26" t="s">
        <v>31</v>
      </c>
      <c r="R253" s="26" t="s">
        <v>31</v>
      </c>
      <c r="S253" s="26">
        <v>59056</v>
      </c>
      <c r="T253" s="26" t="s">
        <v>31</v>
      </c>
      <c r="U253" s="26">
        <v>47092</v>
      </c>
      <c r="V253" s="26">
        <v>177038</v>
      </c>
      <c r="W253" s="26">
        <v>12917</v>
      </c>
      <c r="X253" s="26" t="s">
        <v>31</v>
      </c>
      <c r="Y253" s="26">
        <v>16578</v>
      </c>
      <c r="Z253" s="26" t="s">
        <v>31</v>
      </c>
      <c r="AA253" s="26" t="s">
        <v>31</v>
      </c>
      <c r="AB253" s="26" t="s">
        <v>31</v>
      </c>
      <c r="AC253" s="26" t="s">
        <v>31</v>
      </c>
      <c r="AD253" s="26" t="s">
        <v>31</v>
      </c>
    </row>
    <row r="254" spans="1:30" x14ac:dyDescent="0.2">
      <c r="A254">
        <f>_xlfn.XLOOKUP(E254,Lookups!$E:$E,Lookups!$F:$F,0)</f>
        <v>0</v>
      </c>
      <c r="B254">
        <v>1</v>
      </c>
      <c r="C254" s="3" t="d">
        <v>2026-07-03</v>
      </c>
      <c r="D254" s="3"/>
      <c r="E254" s="26" t="s">
        <v>301</v>
      </c>
      <c r="F254" s="26" t="s">
        <v>27</v>
      </c>
      <c r="G254" s="26" t="s">
        <v>28</v>
      </c>
      <c r="H254" s="26" t="s">
        <v>46</v>
      </c>
      <c r="I254" s="26">
        <v>43565</v>
      </c>
      <c r="J254" s="26">
        <v>99585</v>
      </c>
      <c r="K254" s="26">
        <v>67678</v>
      </c>
      <c r="L254" s="26">
        <v>8505860</v>
      </c>
      <c r="M254" s="26">
        <v>54344</v>
      </c>
      <c r="N254" s="26">
        <v>164777</v>
      </c>
      <c r="O254" s="26">
        <v>144329</v>
      </c>
      <c r="P254" s="26">
        <v>5890</v>
      </c>
      <c r="Q254" s="26">
        <v>412934</v>
      </c>
      <c r="R254" s="26">
        <v>9000</v>
      </c>
      <c r="S254" s="26">
        <v>17066</v>
      </c>
      <c r="T254" s="26">
        <v>259799</v>
      </c>
      <c r="U254" s="26">
        <v>932526</v>
      </c>
      <c r="V254" s="26">
        <v>1207188</v>
      </c>
      <c r="W254" s="26">
        <v>163</v>
      </c>
      <c r="X254" s="26" t="s">
        <v>31</v>
      </c>
      <c r="Y254" s="26">
        <v>203641</v>
      </c>
      <c r="Z254" s="26" t="s">
        <v>31</v>
      </c>
      <c r="AA254" s="26" t="s">
        <v>31</v>
      </c>
      <c r="AB254" s="26" t="s">
        <v>31</v>
      </c>
      <c r="AC254" s="26" t="s">
        <v>31</v>
      </c>
      <c r="AD254" s="26" t="s">
        <v>31</v>
      </c>
    </row>
    <row r="255" spans="1:30" x14ac:dyDescent="0.2">
      <c r="A255">
        <f>_xlfn.XLOOKUP(E255,Lookups!$E:$E,Lookups!$F:$F,0)</f>
        <v>0</v>
      </c>
      <c r="B255">
        <v>1</v>
      </c>
      <c r="C255" s="3" t="d">
        <v>2026-07-03</v>
      </c>
      <c r="D255" s="3"/>
      <c r="E255" s="26" t="s">
        <v>329</v>
      </c>
      <c r="F255" s="26" t="s">
        <v>27</v>
      </c>
      <c r="G255" s="26" t="s">
        <v>28</v>
      </c>
      <c r="H255" s="26" t="s">
        <v>31</v>
      </c>
      <c r="I255" s="26">
        <v>43731</v>
      </c>
      <c r="J255" s="26">
        <v>19213</v>
      </c>
      <c r="K255" s="26">
        <v>54654</v>
      </c>
      <c r="L255" s="26">
        <v>40550695</v>
      </c>
      <c r="M255" s="26">
        <v>651330</v>
      </c>
      <c r="N255" s="26">
        <v>1736052</v>
      </c>
      <c r="O255" s="26">
        <v>613359</v>
      </c>
      <c r="P255" s="26" t="s">
        <v>31</v>
      </c>
      <c r="Q255" s="26" t="s">
        <v>31</v>
      </c>
      <c r="R255" s="26" t="s">
        <v>31</v>
      </c>
      <c r="S255" s="26">
        <v>834709</v>
      </c>
      <c r="T255" s="26" t="s">
        <v>31</v>
      </c>
      <c r="U255" s="26" t="s">
        <v>31</v>
      </c>
      <c r="V255" s="26" t="s">
        <v>31</v>
      </c>
      <c r="W255" s="26">
        <v>321</v>
      </c>
      <c r="X255" s="26">
        <v>43</v>
      </c>
      <c r="Y255" s="26">
        <v>34554</v>
      </c>
      <c r="Z255" s="26">
        <v>34974</v>
      </c>
      <c r="AA255" s="26">
        <v>30</v>
      </c>
      <c r="AB255" s="26">
        <v>0</v>
      </c>
      <c r="AC255" s="26">
        <v>0</v>
      </c>
      <c r="AD255" s="26">
        <v>29.588690663354299</v>
      </c>
    </row>
    <row r="256" spans="1:30" x14ac:dyDescent="0.2">
      <c r="A256">
        <f>_xlfn.XLOOKUP(E256,Lookups!$E:$E,Lookups!$F:$F,0)</f>
        <v>0</v>
      </c>
      <c r="B256">
        <v>1</v>
      </c>
      <c r="C256" s="3" t="d">
        <v>2026-07-03</v>
      </c>
      <c r="D256" s="3"/>
      <c r="E256" s="26" t="s">
        <v>360</v>
      </c>
      <c r="F256" s="26" t="s">
        <v>27</v>
      </c>
      <c r="G256" s="26" t="s">
        <v>28</v>
      </c>
      <c r="H256" s="26" t="s">
        <v>46</v>
      </c>
      <c r="I256" s="26">
        <v>43767</v>
      </c>
      <c r="J256" s="26">
        <v>27456</v>
      </c>
      <c r="K256" s="26">
        <v>44116</v>
      </c>
      <c r="L256" s="26">
        <v>22962384</v>
      </c>
      <c r="M256" s="26">
        <v>1020463</v>
      </c>
      <c r="N256" s="26">
        <v>2522583</v>
      </c>
      <c r="O256" s="26">
        <v>613359</v>
      </c>
      <c r="P256" s="26" t="s">
        <v>31</v>
      </c>
      <c r="Q256" s="26" t="s">
        <v>31</v>
      </c>
      <c r="R256" s="26" t="s">
        <v>31</v>
      </c>
      <c r="S256" s="26">
        <v>834709</v>
      </c>
      <c r="T256" s="26" t="s">
        <v>31</v>
      </c>
      <c r="U256" s="26" t="s">
        <v>31</v>
      </c>
      <c r="V256" s="26" t="s">
        <v>31</v>
      </c>
      <c r="W256" s="26">
        <v>75</v>
      </c>
      <c r="X256" s="26" t="s">
        <v>31</v>
      </c>
      <c r="Y256" s="26">
        <v>232923</v>
      </c>
      <c r="Z256" s="26" t="s">
        <v>31</v>
      </c>
      <c r="AA256" s="26" t="s">
        <v>31</v>
      </c>
      <c r="AB256" s="26" t="s">
        <v>31</v>
      </c>
      <c r="AC256" s="26" t="s">
        <v>31</v>
      </c>
      <c r="AD256" s="26" t="s">
        <v>31</v>
      </c>
    </row>
    <row r="257" spans="1:30" x14ac:dyDescent="0.2">
      <c r="A257">
        <f>_xlfn.XLOOKUP(E257,Lookups!$E:$E,Lookups!$F:$F,0)</f>
        <v>0</v>
      </c>
      <c r="B257">
        <v>1</v>
      </c>
      <c r="C257" s="3" t="d">
        <v>2026-07-03</v>
      </c>
      <c r="D257" s="3"/>
      <c r="E257" s="26" t="s">
        <v>388</v>
      </c>
      <c r="F257" s="26" t="s">
        <v>27</v>
      </c>
      <c r="G257" s="26" t="s">
        <v>28</v>
      </c>
      <c r="H257" s="26" t="s">
        <v>95</v>
      </c>
      <c r="I257" s="26">
        <v>44913</v>
      </c>
      <c r="J257" s="26">
        <v>42251</v>
      </c>
      <c r="K257" s="26">
        <v>35017</v>
      </c>
      <c r="L257" s="26">
        <v>229569</v>
      </c>
      <c r="M257" s="26">
        <v>708298</v>
      </c>
      <c r="N257" s="26">
        <v>445</v>
      </c>
      <c r="O257" s="26">
        <v>613359</v>
      </c>
      <c r="P257" s="26" t="s">
        <v>31</v>
      </c>
      <c r="Q257" s="26" t="s">
        <v>31</v>
      </c>
      <c r="R257" s="26" t="s">
        <v>31</v>
      </c>
      <c r="S257" s="26">
        <v>24565</v>
      </c>
      <c r="T257" s="26">
        <v>313536</v>
      </c>
      <c r="U257" s="26">
        <v>108368</v>
      </c>
      <c r="V257" s="26" t="s">
        <v>31</v>
      </c>
      <c r="W257" s="26">
        <v>6</v>
      </c>
      <c r="X257" s="26" t="s">
        <v>31</v>
      </c>
      <c r="Y257" s="26">
        <v>419282</v>
      </c>
      <c r="Z257" s="26" t="s">
        <v>31</v>
      </c>
      <c r="AA257" s="26" t="s">
        <v>31</v>
      </c>
      <c r="AB257" s="26" t="s">
        <v>31</v>
      </c>
      <c r="AC257" s="26" t="s">
        <v>31</v>
      </c>
      <c r="AD257" s="26" t="s">
        <v>31</v>
      </c>
    </row>
    <row r="258" spans="1:30" x14ac:dyDescent="0.2">
      <c r="A258">
        <f>_xlfn.XLOOKUP(E258,Lookups!$E:$E,Lookups!$F:$F,0)</f>
        <v>0</v>
      </c>
      <c r="B258">
        <v>1</v>
      </c>
      <c r="C258" s="3" t="d">
        <v>2026-07-03</v>
      </c>
      <c r="D258" s="3"/>
      <c r="E258" s="26" t="s">
        <v>256</v>
      </c>
      <c r="F258" s="26" t="s">
        <v>27</v>
      </c>
      <c r="G258" s="26" t="s">
        <v>28</v>
      </c>
      <c r="H258" s="26" t="s">
        <v>31</v>
      </c>
      <c r="I258" s="26">
        <v>45424</v>
      </c>
      <c r="J258" s="26">
        <v>58794</v>
      </c>
      <c r="K258" s="26">
        <v>105324</v>
      </c>
      <c r="L258" s="26">
        <v>28657974</v>
      </c>
      <c r="M258" s="26">
        <v>124659</v>
      </c>
      <c r="N258" s="26">
        <v>763951</v>
      </c>
      <c r="O258" s="26">
        <v>107402</v>
      </c>
      <c r="P258" s="26">
        <v>15600</v>
      </c>
      <c r="Q258" s="26">
        <v>424576</v>
      </c>
      <c r="R258" s="26">
        <v>6834</v>
      </c>
      <c r="S258" s="26">
        <v>20740</v>
      </c>
      <c r="T258" s="26">
        <v>443245</v>
      </c>
      <c r="U258" s="26">
        <v>1354477</v>
      </c>
      <c r="V258" s="26">
        <v>54067</v>
      </c>
      <c r="W258" s="26">
        <v>588</v>
      </c>
      <c r="X258" s="26" t="s">
        <v>31</v>
      </c>
      <c r="Y258" s="26">
        <v>466238</v>
      </c>
      <c r="Z258" s="26">
        <v>62121</v>
      </c>
      <c r="AA258" s="26">
        <v>14</v>
      </c>
      <c r="AB258" s="26">
        <v>0</v>
      </c>
      <c r="AC258" s="26">
        <v>0</v>
      </c>
      <c r="AD258" s="26">
        <v>14.0475363354872</v>
      </c>
    </row>
    <row r="259" spans="1:30" x14ac:dyDescent="0.2">
      <c r="A259">
        <f>_xlfn.XLOOKUP(E259,Lookups!$E:$E,Lookups!$F:$F,0)</f>
        <v>0</v>
      </c>
      <c r="B259">
        <v>1</v>
      </c>
      <c r="C259" s="3" t="d">
        <v>2026-07-03</v>
      </c>
      <c r="D259" s="3"/>
      <c r="E259" s="26" t="s">
        <v>406</v>
      </c>
      <c r="F259" s="26" t="s">
        <v>27</v>
      </c>
      <c r="G259" s="26" t="s">
        <v>36</v>
      </c>
      <c r="H259" s="26" t="s">
        <v>62</v>
      </c>
      <c r="I259" s="26">
        <v>45570</v>
      </c>
      <c r="J259" s="26">
        <v>70820</v>
      </c>
      <c r="K259" s="26">
        <v>30041</v>
      </c>
      <c r="L259" s="26">
        <v>68037657</v>
      </c>
      <c r="M259" s="26">
        <v>64203</v>
      </c>
      <c r="N259" s="26">
        <v>1103770</v>
      </c>
      <c r="O259" s="26">
        <v>613359</v>
      </c>
      <c r="P259" s="26" t="s">
        <v>31</v>
      </c>
      <c r="Q259" s="26" t="s">
        <v>31</v>
      </c>
      <c r="R259" s="26" t="s">
        <v>31</v>
      </c>
      <c r="S259" s="26">
        <v>62854</v>
      </c>
      <c r="T259" s="26" t="s">
        <v>31</v>
      </c>
      <c r="U259" s="26">
        <v>45286</v>
      </c>
      <c r="V259" s="26">
        <v>409872</v>
      </c>
      <c r="W259" s="26">
        <v>14</v>
      </c>
      <c r="X259" s="26" t="s">
        <v>31</v>
      </c>
      <c r="Y259" s="26">
        <v>167502</v>
      </c>
      <c r="Z259" s="26" t="s">
        <v>31</v>
      </c>
      <c r="AA259" s="26" t="s">
        <v>31</v>
      </c>
      <c r="AB259" s="26" t="s">
        <v>31</v>
      </c>
      <c r="AC259" s="26" t="s">
        <v>31</v>
      </c>
      <c r="AD259" s="26" t="s">
        <v>31</v>
      </c>
    </row>
    <row r="260" spans="1:30" x14ac:dyDescent="0.2">
      <c r="A260">
        <f>_xlfn.XLOOKUP(E260,Lookups!$E:$E,Lookups!$F:$F,0)</f>
        <v>0</v>
      </c>
      <c r="B260">
        <v>1</v>
      </c>
      <c r="C260" s="3" t="d">
        <v>2026-07-03</v>
      </c>
      <c r="D260" s="3"/>
      <c r="E260" s="26" t="s">
        <v>250</v>
      </c>
      <c r="F260" s="26" t="s">
        <v>35</v>
      </c>
      <c r="G260" s="26" t="s">
        <v>36</v>
      </c>
      <c r="H260" s="26" t="s">
        <v>46</v>
      </c>
      <c r="I260" s="26">
        <v>45796</v>
      </c>
      <c r="J260" s="26">
        <v>68844</v>
      </c>
      <c r="K260" s="26">
        <v>110010</v>
      </c>
      <c r="L260" s="26">
        <v>8564452</v>
      </c>
      <c r="M260" s="26">
        <v>54047</v>
      </c>
      <c r="N260" s="26">
        <v>606533</v>
      </c>
      <c r="O260" s="26">
        <v>62300</v>
      </c>
      <c r="P260" s="26">
        <v>25600</v>
      </c>
      <c r="Q260" s="26">
        <v>6627225</v>
      </c>
      <c r="R260" s="26">
        <v>55267</v>
      </c>
      <c r="S260" s="26">
        <v>40910</v>
      </c>
      <c r="T260" s="26" t="s">
        <v>31</v>
      </c>
      <c r="U260" s="26">
        <v>342845</v>
      </c>
      <c r="V260" s="26">
        <v>315080</v>
      </c>
      <c r="W260" s="26">
        <v>325</v>
      </c>
      <c r="X260" s="26">
        <v>1516</v>
      </c>
      <c r="Y260" s="26">
        <v>89432</v>
      </c>
      <c r="Z260" s="26" t="s">
        <v>31</v>
      </c>
      <c r="AA260" s="26" t="s">
        <v>31</v>
      </c>
      <c r="AB260" s="26" t="s">
        <v>31</v>
      </c>
      <c r="AC260" s="26" t="s">
        <v>31</v>
      </c>
      <c r="AD260" s="26" t="s">
        <v>31</v>
      </c>
    </row>
    <row r="261" spans="1:30" x14ac:dyDescent="0.2">
      <c r="A261">
        <f>_xlfn.XLOOKUP(E261,Lookups!$E:$E,Lookups!$F:$F,0)</f>
        <v>0</v>
      </c>
      <c r="B261">
        <v>1</v>
      </c>
      <c r="C261" s="3" t="d">
        <v>2026-07-03</v>
      </c>
      <c r="D261" s="3"/>
      <c r="E261" s="26" t="s">
        <v>426</v>
      </c>
      <c r="F261" s="26" t="s">
        <v>342</v>
      </c>
      <c r="G261" s="26" t="s">
        <v>36</v>
      </c>
      <c r="H261" s="26" t="s">
        <v>46</v>
      </c>
      <c r="I261" s="26">
        <v>45963</v>
      </c>
      <c r="J261" s="26">
        <v>154720</v>
      </c>
      <c r="K261" s="26">
        <v>24243</v>
      </c>
      <c r="L261" s="26">
        <v>7301414</v>
      </c>
      <c r="M261" s="26">
        <v>25749</v>
      </c>
      <c r="N261" s="26">
        <v>8807</v>
      </c>
      <c r="O261" s="26">
        <v>36832</v>
      </c>
      <c r="P261" s="26">
        <v>35500</v>
      </c>
      <c r="Q261" s="26">
        <v>5357154</v>
      </c>
      <c r="R261" s="26">
        <v>64157</v>
      </c>
      <c r="S261" s="26">
        <v>17154</v>
      </c>
      <c r="T261" s="26">
        <v>297</v>
      </c>
      <c r="U261" s="26">
        <v>146734</v>
      </c>
      <c r="V261" s="26">
        <v>372998</v>
      </c>
      <c r="W261" s="26">
        <v>145</v>
      </c>
      <c r="X261" s="26" t="s">
        <v>31</v>
      </c>
      <c r="Y261" s="26">
        <v>19845</v>
      </c>
      <c r="Z261" s="26" t="s">
        <v>31</v>
      </c>
      <c r="AA261" s="26" t="s">
        <v>31</v>
      </c>
      <c r="AB261" s="26" t="s">
        <v>31</v>
      </c>
      <c r="AC261" s="26" t="s">
        <v>31</v>
      </c>
      <c r="AD261" s="26" t="s">
        <v>31</v>
      </c>
    </row>
    <row r="262" spans="1:30" x14ac:dyDescent="0.2">
      <c r="A262">
        <f>_xlfn.XLOOKUP(E262,Lookups!$E:$E,Lookups!$F:$F,0)</f>
        <v>0</v>
      </c>
      <c r="B262">
        <v>1</v>
      </c>
      <c r="C262" s="3" t="d">
        <v>2026-07-03</v>
      </c>
      <c r="D262" s="3"/>
      <c r="E262" s="26" t="s">
        <v>447</v>
      </c>
      <c r="F262" s="26" t="s">
        <v>325</v>
      </c>
      <c r="G262" s="26" t="s">
        <v>28</v>
      </c>
      <c r="H262" s="26" t="s">
        <v>95</v>
      </c>
      <c r="I262" s="26">
        <v>46246</v>
      </c>
      <c r="J262" s="26">
        <v>133857</v>
      </c>
      <c r="K262" s="26">
        <v>20064</v>
      </c>
      <c r="L262" s="26">
        <v>1232943</v>
      </c>
      <c r="M262" s="26">
        <v>33182</v>
      </c>
      <c r="N262" s="26">
        <v>2587</v>
      </c>
      <c r="O262" s="26">
        <v>27616</v>
      </c>
      <c r="P262" s="26">
        <v>63700</v>
      </c>
      <c r="Q262" s="26">
        <v>7141071</v>
      </c>
      <c r="R262" s="26">
        <v>124245</v>
      </c>
      <c r="S262" s="26">
        <v>30508</v>
      </c>
      <c r="T262" s="26">
        <v>168827</v>
      </c>
      <c r="U262" s="26">
        <v>37390</v>
      </c>
      <c r="V262" s="26">
        <v>79973</v>
      </c>
      <c r="W262" s="26" t="s">
        <v>31</v>
      </c>
      <c r="X262" s="26" t="s">
        <v>31</v>
      </c>
      <c r="Y262" s="26">
        <v>200161</v>
      </c>
      <c r="Z262" s="26" t="s">
        <v>31</v>
      </c>
      <c r="AA262" s="26" t="s">
        <v>31</v>
      </c>
      <c r="AB262" s="26" t="s">
        <v>31</v>
      </c>
      <c r="AC262" s="26" t="s">
        <v>31</v>
      </c>
      <c r="AD262" s="26" t="s">
        <v>31</v>
      </c>
    </row>
    <row r="263" spans="1:30" x14ac:dyDescent="0.2">
      <c r="A263">
        <f>_xlfn.XLOOKUP(E263,Lookups!$E:$E,Lookups!$F:$F,0)</f>
        <v>0</v>
      </c>
      <c r="B263">
        <v>1</v>
      </c>
      <c r="C263" s="3" t="d">
        <v>2026-07-03</v>
      </c>
      <c r="D263" s="3"/>
      <c r="E263" s="26" t="s">
        <v>377</v>
      </c>
      <c r="F263" s="26" t="s">
        <v>27</v>
      </c>
      <c r="G263" s="26" t="s">
        <v>28</v>
      </c>
      <c r="H263" s="26" t="s">
        <v>57</v>
      </c>
      <c r="I263" s="26">
        <v>46419</v>
      </c>
      <c r="J263" s="26">
        <v>29817</v>
      </c>
      <c r="K263" s="26">
        <v>38793</v>
      </c>
      <c r="L263" s="26">
        <v>131504453</v>
      </c>
      <c r="M263" s="26">
        <v>365107</v>
      </c>
      <c r="N263" s="26">
        <v>1855157</v>
      </c>
      <c r="O263" s="26">
        <v>613359</v>
      </c>
      <c r="P263" s="26" t="s">
        <v>31</v>
      </c>
      <c r="Q263" s="26" t="s">
        <v>31</v>
      </c>
      <c r="R263" s="26" t="s">
        <v>31</v>
      </c>
      <c r="S263" s="26">
        <v>144441</v>
      </c>
      <c r="T263" s="26">
        <v>3627</v>
      </c>
      <c r="U263" s="26">
        <v>20123</v>
      </c>
      <c r="V263" s="26">
        <v>1182</v>
      </c>
      <c r="W263" s="26">
        <v>1194</v>
      </c>
      <c r="X263" s="26" t="s">
        <v>31</v>
      </c>
      <c r="Y263" s="26">
        <v>43525</v>
      </c>
      <c r="Z263" s="26">
        <v>1587</v>
      </c>
      <c r="AA263" s="26">
        <v>37</v>
      </c>
      <c r="AB263" s="26">
        <v>1</v>
      </c>
      <c r="AC263" s="26">
        <v>170</v>
      </c>
      <c r="AD263" s="26">
        <v>3341.4802516028699</v>
      </c>
    </row>
    <row r="264" spans="1:30" x14ac:dyDescent="0.2">
      <c r="A264">
        <f>_xlfn.XLOOKUP(E264,Lookups!$E:$E,Lookups!$F:$F,0)</f>
        <v>0</v>
      </c>
      <c r="B264">
        <v>1</v>
      </c>
      <c r="C264" s="3" t="d">
        <v>2026-07-03</v>
      </c>
      <c r="D264" s="3"/>
      <c r="E264" s="26" t="s">
        <v>453</v>
      </c>
      <c r="F264" s="26" t="s">
        <v>454</v>
      </c>
      <c r="G264" s="26" t="s">
        <v>36</v>
      </c>
      <c r="H264" s="26" t="s">
        <v>46</v>
      </c>
      <c r="I264" s="26">
        <v>46447</v>
      </c>
      <c r="J264" s="26">
        <v>143993</v>
      </c>
      <c r="K264" s="26">
        <v>18985</v>
      </c>
      <c r="L264" s="26">
        <v>3777286</v>
      </c>
      <c r="M264" s="26">
        <v>36073</v>
      </c>
      <c r="N264" s="26">
        <v>60227</v>
      </c>
      <c r="O264" s="26">
        <v>18336</v>
      </c>
      <c r="P264" s="26">
        <v>104000</v>
      </c>
      <c r="Q264" s="26">
        <v>24695195</v>
      </c>
      <c r="R264" s="26">
        <v>172140</v>
      </c>
      <c r="S264" s="26">
        <v>59541</v>
      </c>
      <c r="T264" s="26">
        <v>28406</v>
      </c>
      <c r="U264" s="26">
        <v>56888</v>
      </c>
      <c r="V264" s="26">
        <v>57810</v>
      </c>
      <c r="W264" s="26">
        <v>480</v>
      </c>
      <c r="X264" s="26">
        <v>433</v>
      </c>
      <c r="Y264" s="26">
        <v>249685</v>
      </c>
      <c r="Z264" s="26">
        <v>68157</v>
      </c>
      <c r="AA264" s="26">
        <v>39</v>
      </c>
      <c r="AB264" s="26">
        <v>0</v>
      </c>
      <c r="AC264" s="26">
        <v>0</v>
      </c>
      <c r="AD264" s="26">
        <v>27.634543990497502</v>
      </c>
    </row>
    <row r="265" spans="1:30" x14ac:dyDescent="0.2">
      <c r="A265">
        <f>_xlfn.XLOOKUP(E265,Lookups!$E:$E,Lookups!$F:$F,0)</f>
        <v>0</v>
      </c>
      <c r="B265">
        <v>1</v>
      </c>
      <c r="C265" s="3" t="d">
        <v>2026-07-03</v>
      </c>
      <c r="D265" s="3"/>
      <c r="E265" s="26" t="s">
        <v>167</v>
      </c>
      <c r="F265" s="26" t="s">
        <v>27</v>
      </c>
      <c r="G265" s="26" t="s">
        <v>28</v>
      </c>
      <c r="H265" s="26" t="s">
        <v>37</v>
      </c>
      <c r="I265" s="26">
        <v>46590</v>
      </c>
      <c r="J265" s="26">
        <v>44217</v>
      </c>
      <c r="K265" s="26">
        <v>228409</v>
      </c>
      <c r="L265" s="26">
        <v>31096531</v>
      </c>
      <c r="M265" s="26">
        <v>159341</v>
      </c>
      <c r="N265" s="26">
        <v>281763</v>
      </c>
      <c r="O265" s="26">
        <v>613359</v>
      </c>
      <c r="P265" s="26" t="s">
        <v>31</v>
      </c>
      <c r="Q265" s="26" t="s">
        <v>31</v>
      </c>
      <c r="R265" s="26" t="s">
        <v>31</v>
      </c>
      <c r="S265" s="26">
        <v>63991</v>
      </c>
      <c r="T265" s="26" t="s">
        <v>31</v>
      </c>
      <c r="U265" s="26">
        <v>38712</v>
      </c>
      <c r="V265" s="26">
        <v>183782</v>
      </c>
      <c r="W265" s="26">
        <v>976</v>
      </c>
      <c r="X265" s="26" t="s">
        <v>31</v>
      </c>
      <c r="Y265" s="26">
        <v>109257</v>
      </c>
      <c r="Z265" s="26">
        <v>16852</v>
      </c>
      <c r="AA265" s="26">
        <v>146</v>
      </c>
      <c r="AB265" s="26">
        <v>0</v>
      </c>
      <c r="AC265" s="26">
        <v>0</v>
      </c>
      <c r="AD265" s="26">
        <v>165.158553596296</v>
      </c>
    </row>
    <row r="266" spans="1:30" x14ac:dyDescent="0.2">
      <c r="A266">
        <f>_xlfn.XLOOKUP(E266,Lookups!$E:$E,Lookups!$F:$F,0)</f>
        <v>0</v>
      </c>
      <c r="B266">
        <v>1</v>
      </c>
      <c r="C266" s="3" t="d">
        <v>2026-07-03</v>
      </c>
      <c r="D266" s="3"/>
      <c r="E266" s="26" t="s">
        <v>343</v>
      </c>
      <c r="F266" s="26" t="s">
        <v>27</v>
      </c>
      <c r="G266" s="26" t="s">
        <v>83</v>
      </c>
      <c r="H266" s="26" t="s">
        <v>46</v>
      </c>
      <c r="I266" s="26">
        <v>46824</v>
      </c>
      <c r="J266" s="26">
        <v>41548</v>
      </c>
      <c r="K266" s="26">
        <v>50268</v>
      </c>
      <c r="L266" s="26">
        <v>30632632</v>
      </c>
      <c r="M266" s="26">
        <v>319937</v>
      </c>
      <c r="N266" s="26">
        <v>191078</v>
      </c>
      <c r="O266" s="26">
        <v>34977</v>
      </c>
      <c r="P266" s="26">
        <v>45400</v>
      </c>
      <c r="Q266" s="26">
        <v>11301589</v>
      </c>
      <c r="R266" s="26">
        <v>78485</v>
      </c>
      <c r="S266" s="26">
        <v>40774</v>
      </c>
      <c r="T266" s="26">
        <v>554935</v>
      </c>
      <c r="U266" s="26">
        <v>3038</v>
      </c>
      <c r="V266" s="26">
        <v>14698</v>
      </c>
      <c r="W266" s="26">
        <v>69</v>
      </c>
      <c r="X266" s="26">
        <v>8</v>
      </c>
      <c r="Y266" s="26">
        <v>144637</v>
      </c>
      <c r="Z266" s="26" t="s">
        <v>31</v>
      </c>
      <c r="AA266" s="26" t="s">
        <v>31</v>
      </c>
      <c r="AB266" s="26" t="s">
        <v>31</v>
      </c>
      <c r="AC266" s="26" t="s">
        <v>31</v>
      </c>
      <c r="AD266" s="26" t="s">
        <v>31</v>
      </c>
    </row>
    <row r="267" spans="1:30" x14ac:dyDescent="0.2">
      <c r="A267">
        <f>_xlfn.XLOOKUP(E267,Lookups!$E:$E,Lookups!$F:$F,0)</f>
        <v>0</v>
      </c>
      <c r="B267">
        <v>1</v>
      </c>
      <c r="C267" s="3" t="d">
        <v>2026-07-03</v>
      </c>
      <c r="D267" s="3"/>
      <c r="E267" s="26" t="s">
        <v>395</v>
      </c>
      <c r="F267" s="26" t="s">
        <v>27</v>
      </c>
      <c r="G267" s="26" t="s">
        <v>28</v>
      </c>
      <c r="H267" s="26" t="s">
        <v>46</v>
      </c>
      <c r="I267" s="26">
        <v>47101</v>
      </c>
      <c r="J267" s="26">
        <v>51721</v>
      </c>
      <c r="K267" s="26">
        <v>33679</v>
      </c>
      <c r="L267" s="26">
        <v>22932457</v>
      </c>
      <c r="M267" s="26">
        <v>486746</v>
      </c>
      <c r="N267" s="26">
        <v>147614</v>
      </c>
      <c r="O267" s="26">
        <v>613359</v>
      </c>
      <c r="P267" s="26" t="s">
        <v>31</v>
      </c>
      <c r="Q267" s="26" t="s">
        <v>31</v>
      </c>
      <c r="R267" s="26" t="s">
        <v>31</v>
      </c>
      <c r="S267" s="26">
        <v>834709</v>
      </c>
      <c r="T267" s="26" t="s">
        <v>31</v>
      </c>
      <c r="U267" s="26" t="s">
        <v>31</v>
      </c>
      <c r="V267" s="26" t="s">
        <v>31</v>
      </c>
      <c r="W267" s="26" t="s">
        <v>31</v>
      </c>
      <c r="X267" s="26" t="s">
        <v>31</v>
      </c>
      <c r="Y267" s="26">
        <v>157325</v>
      </c>
      <c r="Z267" s="26" t="s">
        <v>31</v>
      </c>
      <c r="AA267" s="26" t="s">
        <v>31</v>
      </c>
      <c r="AB267" s="26" t="s">
        <v>31</v>
      </c>
      <c r="AC267" s="26" t="s">
        <v>31</v>
      </c>
      <c r="AD267" s="26" t="s">
        <v>31</v>
      </c>
    </row>
    <row r="268" spans="1:30" x14ac:dyDescent="0.2">
      <c r="A268">
        <f>_xlfn.XLOOKUP(E268,Lookups!$E:$E,Lookups!$F:$F,0)</f>
        <v>0</v>
      </c>
      <c r="B268">
        <v>1</v>
      </c>
      <c r="C268" s="3" t="d">
        <v>2026-07-03</v>
      </c>
      <c r="D268" s="3"/>
      <c r="E268" s="26" t="s">
        <v>341</v>
      </c>
      <c r="F268" s="26" t="s">
        <v>342</v>
      </c>
      <c r="G268" s="26" t="s">
        <v>36</v>
      </c>
      <c r="H268" s="26" t="s">
        <v>31</v>
      </c>
      <c r="I268" s="26">
        <v>47612</v>
      </c>
      <c r="J268" s="26">
        <v>112024</v>
      </c>
      <c r="K268" s="26">
        <v>50968</v>
      </c>
      <c r="L268" s="26">
        <v>7304938</v>
      </c>
      <c r="M268" s="26">
        <v>34106</v>
      </c>
      <c r="N268" s="26">
        <v>1460</v>
      </c>
      <c r="O268" s="26">
        <v>23391</v>
      </c>
      <c r="P268" s="26">
        <v>73000</v>
      </c>
      <c r="Q268" s="26">
        <v>12736886</v>
      </c>
      <c r="R268" s="26">
        <v>130588</v>
      </c>
      <c r="S268" s="26">
        <v>49553</v>
      </c>
      <c r="T268" s="26">
        <v>122451</v>
      </c>
      <c r="U268" s="26">
        <v>22996</v>
      </c>
      <c r="V268" s="26" t="s">
        <v>31</v>
      </c>
      <c r="W268" s="26">
        <v>269</v>
      </c>
      <c r="X268" s="26" t="s">
        <v>31</v>
      </c>
      <c r="Y268" s="26">
        <v>466238</v>
      </c>
      <c r="Z268" s="26" t="s">
        <v>31</v>
      </c>
      <c r="AA268" s="26" t="s">
        <v>31</v>
      </c>
      <c r="AB268" s="26" t="s">
        <v>31</v>
      </c>
      <c r="AC268" s="26" t="s">
        <v>31</v>
      </c>
      <c r="AD268" s="26" t="s">
        <v>31</v>
      </c>
    </row>
    <row r="269" spans="1:30" x14ac:dyDescent="0.2">
      <c r="A269">
        <f>_xlfn.XLOOKUP(E269,Lookups!$E:$E,Lookups!$F:$F,0)</f>
        <v>0</v>
      </c>
      <c r="B269">
        <v>1</v>
      </c>
      <c r="C269" s="3" t="d">
        <v>2026-07-03</v>
      </c>
      <c r="D269" s="3"/>
      <c r="E269" s="26" t="s">
        <v>398</v>
      </c>
      <c r="F269" s="26" t="s">
        <v>27</v>
      </c>
      <c r="G269" s="26" t="s">
        <v>28</v>
      </c>
      <c r="H269" s="26" t="s">
        <v>138</v>
      </c>
      <c r="I269" s="26">
        <v>48183</v>
      </c>
      <c r="J269" s="26">
        <v>79635</v>
      </c>
      <c r="K269" s="26">
        <v>33206</v>
      </c>
      <c r="L269" s="26">
        <v>12076287</v>
      </c>
      <c r="M269" s="26">
        <v>149690</v>
      </c>
      <c r="N269" s="26">
        <v>196078</v>
      </c>
      <c r="O269" s="26">
        <v>613359</v>
      </c>
      <c r="P269" s="26" t="s">
        <v>31</v>
      </c>
      <c r="Q269" s="26" t="s">
        <v>31</v>
      </c>
      <c r="R269" s="26" t="s">
        <v>31</v>
      </c>
      <c r="S269" s="26">
        <v>25098</v>
      </c>
      <c r="T269" s="26">
        <v>327527</v>
      </c>
      <c r="U269" s="26">
        <v>18572</v>
      </c>
      <c r="V269" s="26" t="s">
        <v>31</v>
      </c>
      <c r="W269" s="26">
        <v>30</v>
      </c>
      <c r="X269" s="26">
        <v>2</v>
      </c>
      <c r="Y269" s="26">
        <v>191818</v>
      </c>
      <c r="Z269" s="26" t="s">
        <v>31</v>
      </c>
      <c r="AA269" s="26" t="s">
        <v>31</v>
      </c>
      <c r="AB269" s="26" t="s">
        <v>31</v>
      </c>
      <c r="AC269" s="26" t="s">
        <v>31</v>
      </c>
      <c r="AD269" s="26" t="s">
        <v>31</v>
      </c>
    </row>
    <row r="270" spans="1:30" x14ac:dyDescent="0.2">
      <c r="A270">
        <f>_xlfn.XLOOKUP(E270,Lookups!$E:$E,Lookups!$F:$F,0)</f>
        <v>0</v>
      </c>
      <c r="B270">
        <v>1</v>
      </c>
      <c r="C270" s="3" t="d">
        <v>2026-07-03</v>
      </c>
      <c r="D270" s="3"/>
      <c r="E270" s="26" t="s">
        <v>339</v>
      </c>
      <c r="F270" s="26" t="s">
        <v>27</v>
      </c>
      <c r="G270" s="26" t="s">
        <v>28</v>
      </c>
      <c r="H270" s="26" t="s">
        <v>31</v>
      </c>
      <c r="I270" s="26">
        <v>48225</v>
      </c>
      <c r="J270" s="26">
        <v>53422</v>
      </c>
      <c r="K270" s="26">
        <v>51621</v>
      </c>
      <c r="L270" s="26">
        <v>21090042</v>
      </c>
      <c r="M270" s="26">
        <v>151775</v>
      </c>
      <c r="N270" s="26">
        <v>12152</v>
      </c>
      <c r="O270" s="26">
        <v>29394</v>
      </c>
      <c r="P270" s="26">
        <v>20700</v>
      </c>
      <c r="Q270" s="26">
        <v>7827169</v>
      </c>
      <c r="R270" s="26">
        <v>56579</v>
      </c>
      <c r="S270" s="26">
        <v>834709</v>
      </c>
      <c r="T270" s="26" t="s">
        <v>31</v>
      </c>
      <c r="U270" s="26" t="s">
        <v>31</v>
      </c>
      <c r="V270" s="26" t="s">
        <v>31</v>
      </c>
      <c r="W270" s="26">
        <v>31</v>
      </c>
      <c r="X270" s="26" t="s">
        <v>31</v>
      </c>
      <c r="Y270" s="26">
        <v>466238</v>
      </c>
      <c r="Z270" s="26" t="s">
        <v>31</v>
      </c>
      <c r="AA270" s="26" t="s">
        <v>31</v>
      </c>
      <c r="AB270" s="26" t="s">
        <v>31</v>
      </c>
      <c r="AC270" s="26" t="s">
        <v>31</v>
      </c>
      <c r="AD270" s="26" t="s">
        <v>31</v>
      </c>
    </row>
    <row r="271" spans="1:30" x14ac:dyDescent="0.2">
      <c r="A271">
        <f>_xlfn.XLOOKUP(E271,Lookups!$E:$E,Lookups!$F:$F,0)</f>
        <v>0</v>
      </c>
      <c r="B271">
        <v>1</v>
      </c>
      <c r="C271" s="3" t="d">
        <v>2026-07-03</v>
      </c>
      <c r="D271" s="3"/>
      <c r="E271" s="26" t="s">
        <v>330</v>
      </c>
      <c r="F271" s="26" t="s">
        <v>27</v>
      </c>
      <c r="G271" s="26" t="s">
        <v>28</v>
      </c>
      <c r="H271" s="26" t="s">
        <v>46</v>
      </c>
      <c r="I271" s="26">
        <v>48306</v>
      </c>
      <c r="J271" s="26">
        <v>15177</v>
      </c>
      <c r="K271" s="26">
        <v>53975</v>
      </c>
      <c r="L271" s="26">
        <v>157884255</v>
      </c>
      <c r="M271" s="26">
        <v>1453131</v>
      </c>
      <c r="N271" s="26">
        <v>7222523</v>
      </c>
      <c r="O271" s="26">
        <v>613359</v>
      </c>
      <c r="P271" s="26" t="s">
        <v>31</v>
      </c>
      <c r="Q271" s="26" t="s">
        <v>31</v>
      </c>
      <c r="R271" s="26" t="s">
        <v>31</v>
      </c>
      <c r="S271" s="26">
        <v>180445</v>
      </c>
      <c r="T271" s="26" t="s">
        <v>31</v>
      </c>
      <c r="U271" s="26">
        <v>24733</v>
      </c>
      <c r="V271" s="26" t="s">
        <v>31</v>
      </c>
      <c r="W271" s="26">
        <v>52</v>
      </c>
      <c r="X271" s="26" t="s">
        <v>31</v>
      </c>
      <c r="Y271" s="26">
        <v>278733</v>
      </c>
      <c r="Z271" s="26" t="s">
        <v>31</v>
      </c>
      <c r="AA271" s="26" t="s">
        <v>31</v>
      </c>
      <c r="AB271" s="26" t="s">
        <v>31</v>
      </c>
      <c r="AC271" s="26" t="s">
        <v>31</v>
      </c>
      <c r="AD271" s="26" t="s">
        <v>31</v>
      </c>
    </row>
    <row r="272" spans="1:30" x14ac:dyDescent="0.2">
      <c r="A272">
        <f>_xlfn.XLOOKUP(E272,Lookups!$E:$E,Lookups!$F:$F,0)</f>
        <v>0</v>
      </c>
      <c r="B272">
        <v>1</v>
      </c>
      <c r="C272" s="3" t="d">
        <v>2026-07-03</v>
      </c>
      <c r="D272" s="3"/>
      <c r="E272" s="26" t="s">
        <v>589</v>
      </c>
      <c r="F272" s="26" t="s">
        <v>27</v>
      </c>
      <c r="G272" s="26" t="s">
        <v>28</v>
      </c>
      <c r="H272" s="26" t="s">
        <v>31</v>
      </c>
      <c r="I272" s="26">
        <v>48360</v>
      </c>
      <c r="J272" s="26">
        <v>166885</v>
      </c>
      <c r="K272" s="26">
        <v>9544</v>
      </c>
      <c r="L272" s="26">
        <v>6085129</v>
      </c>
      <c r="M272" s="26">
        <v>25517</v>
      </c>
      <c r="N272" s="26">
        <v>105438</v>
      </c>
      <c r="O272" s="26">
        <v>32086</v>
      </c>
      <c r="P272" s="26">
        <v>114000</v>
      </c>
      <c r="Q272" s="26">
        <v>27387136</v>
      </c>
      <c r="R272" s="26">
        <v>189280</v>
      </c>
      <c r="S272" s="26">
        <v>21894</v>
      </c>
      <c r="T272" s="26">
        <v>680029</v>
      </c>
      <c r="U272" s="26">
        <v>54767</v>
      </c>
      <c r="V272" s="26">
        <v>292597</v>
      </c>
      <c r="W272" s="26">
        <v>852</v>
      </c>
      <c r="X272" s="26" t="s">
        <v>31</v>
      </c>
      <c r="Y272" s="26">
        <v>239176</v>
      </c>
      <c r="Z272" s="26">
        <v>61541</v>
      </c>
      <c r="AA272" s="26">
        <v>39</v>
      </c>
      <c r="AB272" s="26">
        <v>0</v>
      </c>
      <c r="AC272" s="26">
        <v>0</v>
      </c>
      <c r="AD272" s="26">
        <v>37.632849036122998</v>
      </c>
    </row>
    <row r="273" spans="1:30" x14ac:dyDescent="0.2">
      <c r="A273">
        <f>_xlfn.XLOOKUP(E273,Lookups!$E:$E,Lookups!$F:$F,0)</f>
        <v>0</v>
      </c>
      <c r="B273">
        <v>1</v>
      </c>
      <c r="C273" s="3" t="d">
        <v>2026-07-03</v>
      </c>
      <c r="D273" s="3"/>
      <c r="E273" s="26" t="s">
        <v>280</v>
      </c>
      <c r="F273" s="26" t="s">
        <v>27</v>
      </c>
      <c r="G273" s="26" t="s">
        <v>28</v>
      </c>
      <c r="H273" s="26" t="s">
        <v>37</v>
      </c>
      <c r="I273" s="26">
        <v>48663</v>
      </c>
      <c r="J273" s="26">
        <v>50410</v>
      </c>
      <c r="K273" s="26">
        <v>84446</v>
      </c>
      <c r="L273" s="26">
        <v>19980821</v>
      </c>
      <c r="M273" s="26">
        <v>204083</v>
      </c>
      <c r="N273" s="26">
        <v>2270467</v>
      </c>
      <c r="O273" s="26">
        <v>51346</v>
      </c>
      <c r="P273" s="26">
        <v>10900</v>
      </c>
      <c r="Q273" s="26">
        <v>2042074</v>
      </c>
      <c r="R273" s="26">
        <v>28147</v>
      </c>
      <c r="S273" s="26">
        <v>39993</v>
      </c>
      <c r="T273" s="26">
        <v>24293</v>
      </c>
      <c r="U273" s="26">
        <v>56590</v>
      </c>
      <c r="V273" s="26">
        <v>210972</v>
      </c>
      <c r="W273" s="26">
        <v>1036</v>
      </c>
      <c r="X273" s="26" t="s">
        <v>31</v>
      </c>
      <c r="Y273" s="26">
        <v>248078</v>
      </c>
      <c r="Z273" s="26">
        <v>17220</v>
      </c>
      <c r="AA273" s="26">
        <v>120</v>
      </c>
      <c r="AB273" s="26">
        <v>0</v>
      </c>
      <c r="AC273" s="26">
        <v>0</v>
      </c>
      <c r="AD273" s="26">
        <v>130.30148095838999</v>
      </c>
    </row>
    <row r="274" spans="1:30" x14ac:dyDescent="0.2">
      <c r="A274">
        <f>_xlfn.XLOOKUP(E274,Lookups!$E:$E,Lookups!$F:$F,0)</f>
        <v>0</v>
      </c>
      <c r="B274">
        <v>1</v>
      </c>
      <c r="C274" s="3" t="d">
        <v>2026-07-03</v>
      </c>
      <c r="D274" s="3"/>
      <c r="E274" s="26" t="s">
        <v>590</v>
      </c>
      <c r="F274" s="26" t="s">
        <v>27</v>
      </c>
      <c r="G274" s="26" t="s">
        <v>28</v>
      </c>
      <c r="H274" s="26" t="s">
        <v>95</v>
      </c>
      <c r="I274" s="26">
        <v>48992</v>
      </c>
      <c r="J274" s="26">
        <v>258348</v>
      </c>
      <c r="K274" s="26">
        <v>5742</v>
      </c>
      <c r="L274" s="26">
        <v>986550</v>
      </c>
      <c r="M274" s="26">
        <v>16083</v>
      </c>
      <c r="N274" s="26">
        <v>882</v>
      </c>
      <c r="O274" s="26">
        <v>53509</v>
      </c>
      <c r="P274" s="26">
        <v>26100</v>
      </c>
      <c r="Q274" s="26">
        <v>4605567</v>
      </c>
      <c r="R274" s="26">
        <v>117555</v>
      </c>
      <c r="S274" s="26">
        <v>7196</v>
      </c>
      <c r="T274" s="26">
        <v>2089440</v>
      </c>
      <c r="U274" s="26">
        <v>113207</v>
      </c>
      <c r="V274" s="26">
        <v>742987</v>
      </c>
      <c r="W274" s="26">
        <v>41</v>
      </c>
      <c r="X274" s="26">
        <v>39</v>
      </c>
      <c r="Y274" s="26">
        <v>413905</v>
      </c>
      <c r="Z274" s="26" t="s">
        <v>31</v>
      </c>
      <c r="AA274" s="26" t="s">
        <v>31</v>
      </c>
      <c r="AB274" s="26" t="s">
        <v>31</v>
      </c>
      <c r="AC274" s="26" t="s">
        <v>31</v>
      </c>
      <c r="AD274" s="26" t="s">
        <v>31</v>
      </c>
    </row>
    <row r="275" spans="1:30" x14ac:dyDescent="0.2">
      <c r="A275">
        <f>_xlfn.XLOOKUP(E275,Lookups!$E:$E,Lookups!$F:$F,0)</f>
        <v>0</v>
      </c>
      <c r="B275">
        <v>1</v>
      </c>
      <c r="C275" s="3" t="d">
        <v>2026-07-03</v>
      </c>
      <c r="D275" s="3"/>
      <c r="E275" s="26" t="s">
        <v>591</v>
      </c>
      <c r="F275" s="26" t="s">
        <v>27</v>
      </c>
      <c r="G275" s="26" t="s">
        <v>28</v>
      </c>
      <c r="H275" s="26" t="s">
        <v>50</v>
      </c>
      <c r="I275" s="26">
        <v>49177</v>
      </c>
      <c r="J275" s="26">
        <v>21486</v>
      </c>
      <c r="K275" s="26">
        <v>161104</v>
      </c>
      <c r="L275" s="26">
        <v>71160595</v>
      </c>
      <c r="M275" s="26">
        <v>483160</v>
      </c>
      <c r="N275" s="26">
        <v>1668585</v>
      </c>
      <c r="O275" s="26">
        <v>613359</v>
      </c>
      <c r="P275" s="26" t="s">
        <v>31</v>
      </c>
      <c r="Q275" s="26" t="s">
        <v>31</v>
      </c>
      <c r="R275" s="26" t="s">
        <v>31</v>
      </c>
      <c r="S275" s="26">
        <v>834709</v>
      </c>
      <c r="T275" s="26" t="s">
        <v>31</v>
      </c>
      <c r="U275" s="26" t="s">
        <v>31</v>
      </c>
      <c r="V275" s="26" t="s">
        <v>31</v>
      </c>
      <c r="W275" s="26">
        <v>746</v>
      </c>
      <c r="X275" s="26" t="s">
        <v>31</v>
      </c>
      <c r="Y275" s="26">
        <v>384508</v>
      </c>
      <c r="Z275" s="26">
        <v>14760</v>
      </c>
      <c r="AA275" s="26">
        <v>71</v>
      </c>
      <c r="AB275" s="26">
        <v>0</v>
      </c>
      <c r="AC275" s="26">
        <v>0</v>
      </c>
      <c r="AD275" s="26">
        <v>112.038071526116</v>
      </c>
    </row>
    <row r="276" spans="1:30" x14ac:dyDescent="0.2">
      <c r="A276">
        <f>_xlfn.XLOOKUP(E276,Lookups!$E:$E,Lookups!$F:$F,0)</f>
        <v>0</v>
      </c>
      <c r="B276">
        <v>1</v>
      </c>
      <c r="C276" s="3" t="d">
        <v>2026-07-03</v>
      </c>
      <c r="D276" s="3"/>
      <c r="E276" s="26" t="s">
        <v>592</v>
      </c>
      <c r="F276" s="26" t="s">
        <v>593</v>
      </c>
      <c r="G276" s="26" t="s">
        <v>28</v>
      </c>
      <c r="H276" s="26" t="s">
        <v>95</v>
      </c>
      <c r="I276" s="26">
        <v>49238</v>
      </c>
      <c r="J276" s="26">
        <v>179208</v>
      </c>
      <c r="K276" s="26">
        <v>13625</v>
      </c>
      <c r="L276" s="26">
        <v>1509602</v>
      </c>
      <c r="M276" s="26">
        <v>9437</v>
      </c>
      <c r="N276" s="26">
        <v>14381</v>
      </c>
      <c r="O276" s="26">
        <v>22679</v>
      </c>
      <c r="P276" s="26">
        <v>87300</v>
      </c>
      <c r="Q276" s="26">
        <v>14880032</v>
      </c>
      <c r="R276" s="26">
        <v>166838</v>
      </c>
      <c r="S276" s="26">
        <v>26011</v>
      </c>
      <c r="T276" s="26">
        <v>34514</v>
      </c>
      <c r="U276" s="26">
        <v>148891</v>
      </c>
      <c r="V276" s="26">
        <v>7036</v>
      </c>
      <c r="W276" s="26">
        <v>227</v>
      </c>
      <c r="X276" s="26">
        <v>167</v>
      </c>
      <c r="Y276" s="26">
        <v>323286</v>
      </c>
      <c r="Z276" s="26" t="s">
        <v>31</v>
      </c>
      <c r="AA276" s="26" t="s">
        <v>31</v>
      </c>
      <c r="AB276" s="26" t="s">
        <v>31</v>
      </c>
      <c r="AC276" s="26" t="s">
        <v>31</v>
      </c>
      <c r="AD276" s="26" t="s">
        <v>31</v>
      </c>
    </row>
    <row r="277" spans="1:30" x14ac:dyDescent="0.2">
      <c r="A277">
        <f>_xlfn.XLOOKUP(E277,Lookups!$E:$E,Lookups!$F:$F,0)</f>
        <v>0</v>
      </c>
      <c r="B277">
        <v>1</v>
      </c>
      <c r="C277" s="3" t="d">
        <v>2026-07-03</v>
      </c>
      <c r="D277" s="3"/>
      <c r="E277" s="26" t="s">
        <v>368</v>
      </c>
      <c r="F277" s="26" t="s">
        <v>27</v>
      </c>
      <c r="G277" s="26" t="s">
        <v>28</v>
      </c>
      <c r="H277" s="26" t="s">
        <v>187</v>
      </c>
      <c r="I277" s="26">
        <v>49349</v>
      </c>
      <c r="J277" s="26">
        <v>54871</v>
      </c>
      <c r="K277" s="26">
        <v>42347</v>
      </c>
      <c r="L277" s="26">
        <v>47668321</v>
      </c>
      <c r="M277" s="26">
        <v>229732</v>
      </c>
      <c r="N277" s="26">
        <v>649789</v>
      </c>
      <c r="O277" s="26">
        <v>53608</v>
      </c>
      <c r="P277" s="26">
        <v>13500</v>
      </c>
      <c r="Q277" s="26">
        <v>6352366</v>
      </c>
      <c r="R277" s="26">
        <v>32476</v>
      </c>
      <c r="S277" s="26">
        <v>55666</v>
      </c>
      <c r="T277" s="26" t="s">
        <v>31</v>
      </c>
      <c r="U277" s="26">
        <v>40464</v>
      </c>
      <c r="V277" s="26">
        <v>69960</v>
      </c>
      <c r="W277" s="26">
        <v>1193</v>
      </c>
      <c r="X277" s="26">
        <v>92</v>
      </c>
      <c r="Y277" s="26">
        <v>81548</v>
      </c>
      <c r="Z277" s="26">
        <v>13825</v>
      </c>
      <c r="AA277" s="26">
        <v>207</v>
      </c>
      <c r="AB277" s="26">
        <v>0</v>
      </c>
      <c r="AC277" s="26">
        <v>0</v>
      </c>
      <c r="AD277" s="26">
        <v>354.85314977874702</v>
      </c>
    </row>
    <row r="278" spans="1:30" x14ac:dyDescent="0.2">
      <c r="A278">
        <f>_xlfn.XLOOKUP(E278,Lookups!$E:$E,Lookups!$F:$F,0)</f>
        <v>0</v>
      </c>
      <c r="B278">
        <v>1</v>
      </c>
      <c r="C278" s="3" t="d">
        <v>2026-07-03</v>
      </c>
      <c r="D278" s="3"/>
      <c r="E278" s="26" t="s">
        <v>347</v>
      </c>
      <c r="F278" s="26" t="s">
        <v>27</v>
      </c>
      <c r="G278" s="26" t="s">
        <v>36</v>
      </c>
      <c r="H278" s="26" t="s">
        <v>53</v>
      </c>
      <c r="I278" s="26">
        <v>49567</v>
      </c>
      <c r="J278" s="26">
        <v>51027</v>
      </c>
      <c r="K278" s="26">
        <v>48543</v>
      </c>
      <c r="L278" s="26">
        <v>33799602</v>
      </c>
      <c r="M278" s="26">
        <v>387797</v>
      </c>
      <c r="N278" s="26">
        <v>1894780</v>
      </c>
      <c r="O278" s="26">
        <v>519568</v>
      </c>
      <c r="P278" s="26">
        <v>9</v>
      </c>
      <c r="Q278" s="26">
        <v>502</v>
      </c>
      <c r="R278" s="26">
        <v>10</v>
      </c>
      <c r="S278" s="26">
        <v>59058</v>
      </c>
      <c r="T278" s="26" t="s">
        <v>31</v>
      </c>
      <c r="U278" s="26">
        <v>18516</v>
      </c>
      <c r="V278" s="26">
        <v>16319</v>
      </c>
      <c r="W278" s="26">
        <v>384</v>
      </c>
      <c r="X278" s="26" t="s">
        <v>31</v>
      </c>
      <c r="Y278" s="26">
        <v>163125</v>
      </c>
      <c r="Z278" s="26">
        <v>15058</v>
      </c>
      <c r="AA278" s="26">
        <v>109</v>
      </c>
      <c r="AB278" s="26">
        <v>1</v>
      </c>
      <c r="AC278" s="26">
        <v>11</v>
      </c>
      <c r="AD278" s="26">
        <v>153.769068400983</v>
      </c>
    </row>
    <row r="279" spans="1:30" x14ac:dyDescent="0.2">
      <c r="A279">
        <f>_xlfn.XLOOKUP(E279,Lookups!$E:$E,Lookups!$F:$F,0)</f>
        <v>0</v>
      </c>
      <c r="B279">
        <v>1</v>
      </c>
      <c r="C279" s="3" t="d">
        <v>2026-07-03</v>
      </c>
      <c r="D279" s="3"/>
      <c r="E279" s="26" t="s">
        <v>198</v>
      </c>
      <c r="F279" s="26" t="s">
        <v>27</v>
      </c>
      <c r="G279" s="26" t="s">
        <v>28</v>
      </c>
      <c r="H279" s="26" t="s">
        <v>37</v>
      </c>
      <c r="I279" s="26">
        <v>49645</v>
      </c>
      <c r="J279" s="26">
        <v>59862</v>
      </c>
      <c r="K279" s="26">
        <v>173799</v>
      </c>
      <c r="L279" s="26">
        <v>21769836</v>
      </c>
      <c r="M279" s="26">
        <v>114121</v>
      </c>
      <c r="N279" s="26">
        <v>372766</v>
      </c>
      <c r="O279" s="26">
        <v>67314</v>
      </c>
      <c r="P279" s="26">
        <v>26800</v>
      </c>
      <c r="Q279" s="26">
        <v>5001595</v>
      </c>
      <c r="R279" s="26">
        <v>53827</v>
      </c>
      <c r="S279" s="26">
        <v>38961</v>
      </c>
      <c r="T279" s="26">
        <v>70127</v>
      </c>
      <c r="U279" s="26">
        <v>68366</v>
      </c>
      <c r="V279" s="26">
        <v>633586</v>
      </c>
      <c r="W279" s="26">
        <v>4854</v>
      </c>
      <c r="X279" s="26">
        <v>782</v>
      </c>
      <c r="Y279" s="26">
        <v>129598</v>
      </c>
      <c r="Z279" s="26">
        <v>33109</v>
      </c>
      <c r="AA279" s="26">
        <v>69</v>
      </c>
      <c r="AB279" s="26">
        <v>0</v>
      </c>
      <c r="AC279" s="26">
        <v>0</v>
      </c>
      <c r="AD279" s="26">
        <v>120.037404146066</v>
      </c>
    </row>
    <row r="280" spans="1:30" x14ac:dyDescent="0.2">
      <c r="A280">
        <f>_xlfn.XLOOKUP(E280,Lookups!$E:$E,Lookups!$F:$F,0)</f>
        <v>0</v>
      </c>
      <c r="B280">
        <v>1</v>
      </c>
      <c r="C280" s="3" t="d">
        <v>2026-07-03</v>
      </c>
      <c r="D280" s="3"/>
      <c r="E280" s="26" t="s">
        <v>316</v>
      </c>
      <c r="F280" s="26" t="s">
        <v>27</v>
      </c>
      <c r="G280" s="26" t="s">
        <v>28</v>
      </c>
      <c r="H280" s="26" t="s">
        <v>29</v>
      </c>
      <c r="I280" s="26">
        <v>49755</v>
      </c>
      <c r="J280" s="26">
        <v>71215</v>
      </c>
      <c r="K280" s="26">
        <v>60574</v>
      </c>
      <c r="L280" s="26">
        <v>36782042</v>
      </c>
      <c r="M280" s="26">
        <v>104007</v>
      </c>
      <c r="N280" s="26">
        <v>356466</v>
      </c>
      <c r="O280" s="26">
        <v>42197</v>
      </c>
      <c r="P280" s="26">
        <v>6790</v>
      </c>
      <c r="Q280" s="26">
        <v>19448212</v>
      </c>
      <c r="R280" s="26">
        <v>118353</v>
      </c>
      <c r="S280" s="26">
        <v>91715</v>
      </c>
      <c r="T280" s="26">
        <v>3414</v>
      </c>
      <c r="U280" s="26">
        <v>49879</v>
      </c>
      <c r="V280" s="26">
        <v>17999</v>
      </c>
      <c r="W280" s="26">
        <v>216</v>
      </c>
      <c r="X280" s="26" t="s">
        <v>31</v>
      </c>
      <c r="Y280" s="26">
        <v>110831</v>
      </c>
      <c r="Z280" s="26">
        <v>23103</v>
      </c>
      <c r="AA280" s="26">
        <v>118</v>
      </c>
      <c r="AB280" s="26">
        <v>3</v>
      </c>
      <c r="AC280" s="26">
        <v>31</v>
      </c>
      <c r="AD280" s="26">
        <v>177.731789504034</v>
      </c>
    </row>
    <row r="281" spans="1:30" x14ac:dyDescent="0.2">
      <c r="A281">
        <f>_xlfn.XLOOKUP(E281,Lookups!$E:$E,Lookups!$F:$F,0)</f>
        <v>0</v>
      </c>
      <c r="B281">
        <v>1</v>
      </c>
      <c r="C281" s="3" t="d">
        <v>2026-07-03</v>
      </c>
      <c r="D281" s="3"/>
      <c r="E281" s="26" t="s">
        <v>594</v>
      </c>
      <c r="F281" s="26" t="s">
        <v>27</v>
      </c>
      <c r="G281" s="26" t="s">
        <v>28</v>
      </c>
      <c r="H281" s="26" t="s">
        <v>46</v>
      </c>
      <c r="I281" s="26">
        <v>49833</v>
      </c>
      <c r="J281" s="26">
        <v>74903</v>
      </c>
      <c r="K281" s="26">
        <v>15290</v>
      </c>
      <c r="L281" s="26">
        <v>19162174</v>
      </c>
      <c r="M281" s="26">
        <v>269057</v>
      </c>
      <c r="N281" s="26">
        <v>353900</v>
      </c>
      <c r="O281" s="26">
        <v>90447</v>
      </c>
      <c r="P281" s="26">
        <v>2000</v>
      </c>
      <c r="Q281" s="26">
        <v>235539</v>
      </c>
      <c r="R281" s="26">
        <v>4257</v>
      </c>
      <c r="S281" s="26">
        <v>33049</v>
      </c>
      <c r="T281" s="26">
        <v>184994</v>
      </c>
      <c r="U281" s="26">
        <v>6897</v>
      </c>
      <c r="V281" s="26">
        <v>165881</v>
      </c>
      <c r="W281" s="26">
        <v>73</v>
      </c>
      <c r="X281" s="26" t="s">
        <v>31</v>
      </c>
      <c r="Y281" s="26">
        <v>206987</v>
      </c>
      <c r="Z281" s="26">
        <v>68535</v>
      </c>
      <c r="AA281" s="26">
        <v>16</v>
      </c>
      <c r="AB281" s="26">
        <v>0</v>
      </c>
      <c r="AC281" s="26">
        <v>0</v>
      </c>
      <c r="AD281" s="26">
        <v>12.316167801040001</v>
      </c>
    </row>
    <row r="282" spans="1:30" x14ac:dyDescent="0.2">
      <c r="A282">
        <f>_xlfn.XLOOKUP(E282,Lookups!$E:$E,Lookups!$F:$F,0)</f>
        <v>0</v>
      </c>
      <c r="B282">
        <v>1</v>
      </c>
      <c r="C282" s="3" t="d">
        <v>2026-07-03</v>
      </c>
      <c r="D282" s="3"/>
      <c r="E282" s="26" t="s">
        <v>419</v>
      </c>
      <c r="F282" s="26" t="s">
        <v>27</v>
      </c>
      <c r="G282" s="26" t="s">
        <v>28</v>
      </c>
      <c r="H282" s="26" t="s">
        <v>46</v>
      </c>
      <c r="I282" s="26">
        <v>50115</v>
      </c>
      <c r="J282" s="26">
        <v>93361</v>
      </c>
      <c r="K282" s="26">
        <v>26043</v>
      </c>
      <c r="L282" s="26">
        <v>15576204</v>
      </c>
      <c r="M282" s="26">
        <v>97752</v>
      </c>
      <c r="N282" s="26">
        <v>350070</v>
      </c>
      <c r="O282" s="26">
        <v>27557</v>
      </c>
      <c r="P282" s="26">
        <v>52800</v>
      </c>
      <c r="Q282" s="26">
        <v>92152149</v>
      </c>
      <c r="R282" s="26">
        <v>621502</v>
      </c>
      <c r="S282" s="26">
        <v>58931</v>
      </c>
      <c r="T282" s="26">
        <v>58329</v>
      </c>
      <c r="U282" s="26">
        <v>31844</v>
      </c>
      <c r="V282" s="26" t="s">
        <v>31</v>
      </c>
      <c r="W282" s="26">
        <v>6136</v>
      </c>
      <c r="X282" s="26" t="s">
        <v>31</v>
      </c>
      <c r="Y282" s="26">
        <v>44511</v>
      </c>
      <c r="Z282" s="26">
        <v>33253</v>
      </c>
      <c r="AA282" s="26">
        <v>102</v>
      </c>
      <c r="AB282" s="26">
        <v>0</v>
      </c>
      <c r="AC282" s="26">
        <v>0</v>
      </c>
      <c r="AD282" s="26">
        <v>97.243724870097395</v>
      </c>
    </row>
    <row r="283" spans="1:30" x14ac:dyDescent="0.2">
      <c r="A283">
        <f>_xlfn.XLOOKUP(E283,Lookups!$E:$E,Lookups!$F:$F,0)</f>
        <v>0</v>
      </c>
      <c r="B283">
        <v>1</v>
      </c>
      <c r="C283" s="3" t="d">
        <v>2026-07-03</v>
      </c>
      <c r="D283" s="3"/>
      <c r="E283" s="26" t="s">
        <v>317</v>
      </c>
      <c r="F283" s="26" t="s">
        <v>27</v>
      </c>
      <c r="G283" s="26" t="s">
        <v>28</v>
      </c>
      <c r="H283" s="26" t="s">
        <v>187</v>
      </c>
      <c r="I283" s="26">
        <v>50224</v>
      </c>
      <c r="J283" s="26">
        <v>39566</v>
      </c>
      <c r="K283" s="26">
        <v>58777</v>
      </c>
      <c r="L283" s="26">
        <v>99828313</v>
      </c>
      <c r="M283" s="26">
        <v>268372</v>
      </c>
      <c r="N283" s="26">
        <v>3590652</v>
      </c>
      <c r="O283" s="26">
        <v>613359</v>
      </c>
      <c r="P283" s="26" t="s">
        <v>31</v>
      </c>
      <c r="Q283" s="26" t="s">
        <v>31</v>
      </c>
      <c r="R283" s="26" t="s">
        <v>31</v>
      </c>
      <c r="S283" s="26">
        <v>834709</v>
      </c>
      <c r="T283" s="26" t="s">
        <v>31</v>
      </c>
      <c r="U283" s="26" t="s">
        <v>31</v>
      </c>
      <c r="V283" s="26" t="s">
        <v>31</v>
      </c>
      <c r="W283" s="26">
        <v>5056</v>
      </c>
      <c r="X283" s="26" t="s">
        <v>31</v>
      </c>
      <c r="Y283" s="26">
        <v>52924</v>
      </c>
      <c r="Z283" s="26" t="s">
        <v>31</v>
      </c>
      <c r="AA283" s="26" t="s">
        <v>31</v>
      </c>
      <c r="AB283" s="26" t="s">
        <v>31</v>
      </c>
      <c r="AC283" s="26" t="s">
        <v>31</v>
      </c>
      <c r="AD283" s="26" t="s">
        <v>31</v>
      </c>
    </row>
    <row r="284" spans="1:30" x14ac:dyDescent="0.2">
      <c r="A284">
        <f>_xlfn.XLOOKUP(E284,Lookups!$E:$E,Lookups!$F:$F,0)</f>
        <v>0</v>
      </c>
      <c r="B284">
        <v>1</v>
      </c>
      <c r="C284" s="3" t="d">
        <v>2026-07-03</v>
      </c>
      <c r="D284" s="3"/>
      <c r="E284" s="26" t="s">
        <v>595</v>
      </c>
      <c r="F284" s="26" t="s">
        <v>27</v>
      </c>
      <c r="G284" s="26" t="s">
        <v>36</v>
      </c>
      <c r="H284" s="26" t="s">
        <v>46</v>
      </c>
      <c r="I284" s="26">
        <v>50232</v>
      </c>
      <c r="J284" s="26">
        <v>92690</v>
      </c>
      <c r="K284" s="26">
        <v>14599</v>
      </c>
      <c r="L284" s="26">
        <v>26553087</v>
      </c>
      <c r="M284" s="26">
        <v>95693</v>
      </c>
      <c r="N284" s="26">
        <v>962014</v>
      </c>
      <c r="O284" s="26">
        <v>613359</v>
      </c>
      <c r="P284" s="26" t="s">
        <v>31</v>
      </c>
      <c r="Q284" s="26" t="s">
        <v>31</v>
      </c>
      <c r="R284" s="26" t="s">
        <v>31</v>
      </c>
      <c r="S284" s="26">
        <v>16280</v>
      </c>
      <c r="T284" s="26" t="s">
        <v>31</v>
      </c>
      <c r="U284" s="26">
        <v>95447</v>
      </c>
      <c r="V284" s="26">
        <v>487291</v>
      </c>
      <c r="W284" s="26">
        <v>28</v>
      </c>
      <c r="X284" s="26" t="s">
        <v>31</v>
      </c>
      <c r="Y284" s="26">
        <v>466238</v>
      </c>
      <c r="Z284" s="26" t="s">
        <v>31</v>
      </c>
      <c r="AA284" s="26" t="s">
        <v>31</v>
      </c>
      <c r="AB284" s="26" t="s">
        <v>31</v>
      </c>
      <c r="AC284" s="26" t="s">
        <v>31</v>
      </c>
      <c r="AD284" s="26" t="s">
        <v>31</v>
      </c>
    </row>
    <row r="285" spans="1:30" x14ac:dyDescent="0.2">
      <c r="A285">
        <f>_xlfn.XLOOKUP(E285,Lookups!$E:$E,Lookups!$F:$F,0)</f>
        <v>0</v>
      </c>
      <c r="B285">
        <v>1</v>
      </c>
      <c r="C285" s="3" t="d">
        <v>2026-07-03</v>
      </c>
      <c r="D285" s="3"/>
      <c r="E285" s="26" t="s">
        <v>303</v>
      </c>
      <c r="F285" s="26" t="s">
        <v>27</v>
      </c>
      <c r="G285" s="26" t="s">
        <v>28</v>
      </c>
      <c r="H285" s="26" t="s">
        <v>46</v>
      </c>
      <c r="I285" s="26">
        <v>50754</v>
      </c>
      <c r="J285" s="26">
        <v>36786</v>
      </c>
      <c r="K285" s="26">
        <v>67437</v>
      </c>
      <c r="L285" s="26">
        <v>17160935</v>
      </c>
      <c r="M285" s="26">
        <v>489087</v>
      </c>
      <c r="N285" s="26">
        <v>2966754</v>
      </c>
      <c r="O285" s="26">
        <v>613359</v>
      </c>
      <c r="P285" s="26" t="s">
        <v>31</v>
      </c>
      <c r="Q285" s="26" t="s">
        <v>31</v>
      </c>
      <c r="R285" s="26" t="s">
        <v>31</v>
      </c>
      <c r="S285" s="26">
        <v>834709</v>
      </c>
      <c r="T285" s="26" t="s">
        <v>31</v>
      </c>
      <c r="U285" s="26" t="s">
        <v>31</v>
      </c>
      <c r="V285" s="26" t="s">
        <v>31</v>
      </c>
      <c r="W285" s="26">
        <v>85</v>
      </c>
      <c r="X285" s="26">
        <v>17</v>
      </c>
      <c r="Y285" s="26">
        <v>406884</v>
      </c>
      <c r="Z285" s="26" t="s">
        <v>31</v>
      </c>
      <c r="AA285" s="26" t="s">
        <v>31</v>
      </c>
      <c r="AB285" s="26" t="s">
        <v>31</v>
      </c>
      <c r="AC285" s="26" t="s">
        <v>31</v>
      </c>
      <c r="AD285" s="26" t="s">
        <v>31</v>
      </c>
    </row>
    <row r="286" spans="1:30" x14ac:dyDescent="0.2">
      <c r="A286">
        <f>_xlfn.XLOOKUP(E286,Lookups!$E:$E,Lookups!$F:$F,0)</f>
        <v>0</v>
      </c>
      <c r="B286">
        <v>1</v>
      </c>
      <c r="C286" s="3" t="d">
        <v>2026-07-03</v>
      </c>
      <c r="D286" s="3"/>
      <c r="E286" s="26" t="s">
        <v>441</v>
      </c>
      <c r="F286" s="26" t="s">
        <v>27</v>
      </c>
      <c r="G286" s="26" t="s">
        <v>77</v>
      </c>
      <c r="H286" s="26" t="s">
        <v>37</v>
      </c>
      <c r="I286" s="26">
        <v>50802</v>
      </c>
      <c r="J286" s="26">
        <v>129170</v>
      </c>
      <c r="K286" s="26">
        <v>21775</v>
      </c>
      <c r="L286" s="26">
        <v>5161930</v>
      </c>
      <c r="M286" s="26">
        <v>59522</v>
      </c>
      <c r="N286" s="26">
        <v>378201</v>
      </c>
      <c r="O286" s="26">
        <v>47745</v>
      </c>
      <c r="P286" s="26">
        <v>67800</v>
      </c>
      <c r="Q286" s="26">
        <v>7741506</v>
      </c>
      <c r="R286" s="26">
        <v>226342</v>
      </c>
      <c r="S286" s="26">
        <v>18554</v>
      </c>
      <c r="T286" s="26">
        <v>235794</v>
      </c>
      <c r="U286" s="26">
        <v>184762</v>
      </c>
      <c r="V286" s="26">
        <v>68227</v>
      </c>
      <c r="W286" s="26">
        <v>473</v>
      </c>
      <c r="X286" s="26">
        <v>9085</v>
      </c>
      <c r="Y286" s="26">
        <v>123819</v>
      </c>
      <c r="Z286" s="26" t="s">
        <v>31</v>
      </c>
      <c r="AA286" s="26" t="s">
        <v>31</v>
      </c>
      <c r="AB286" s="26" t="s">
        <v>31</v>
      </c>
      <c r="AC286" s="26" t="s">
        <v>31</v>
      </c>
      <c r="AD286" s="26" t="s">
        <v>31</v>
      </c>
    </row>
    <row r="287" spans="1:30" x14ac:dyDescent="0.2">
      <c r="A287">
        <f>_xlfn.XLOOKUP(E287,Lookups!$E:$E,Lookups!$F:$F,0)</f>
        <v>0</v>
      </c>
      <c r="B287">
        <v>1</v>
      </c>
      <c r="C287" s="3" t="d">
        <v>2026-07-03</v>
      </c>
      <c r="D287" s="3"/>
      <c r="E287" s="26" t="s">
        <v>596</v>
      </c>
      <c r="F287" s="26" t="s">
        <v>27</v>
      </c>
      <c r="G287" s="26" t="s">
        <v>28</v>
      </c>
      <c r="H287" s="26" t="s">
        <v>46</v>
      </c>
      <c r="I287" s="26">
        <v>50841</v>
      </c>
      <c r="J287" s="26">
        <v>87113</v>
      </c>
      <c r="K287" s="26">
        <v>10343</v>
      </c>
      <c r="L287" s="26">
        <v>6703063</v>
      </c>
      <c r="M287" s="26">
        <v>226019</v>
      </c>
      <c r="N287" s="26">
        <v>52503</v>
      </c>
      <c r="O287" s="26">
        <v>613359</v>
      </c>
      <c r="P287" s="26" t="s">
        <v>31</v>
      </c>
      <c r="Q287" s="26" t="s">
        <v>31</v>
      </c>
      <c r="R287" s="26" t="s">
        <v>31</v>
      </c>
      <c r="S287" s="26">
        <v>26770</v>
      </c>
      <c r="T287" s="26">
        <v>158126</v>
      </c>
      <c r="U287" s="26">
        <v>7442</v>
      </c>
      <c r="V287" s="26">
        <v>98672</v>
      </c>
      <c r="W287" s="26">
        <v>31</v>
      </c>
      <c r="X287" s="26" t="s">
        <v>31</v>
      </c>
      <c r="Y287" s="26">
        <v>219788</v>
      </c>
      <c r="Z287" s="26">
        <v>23247</v>
      </c>
      <c r="AA287" s="26">
        <v>80</v>
      </c>
      <c r="AB287" s="26">
        <v>0</v>
      </c>
      <c r="AC287" s="26">
        <v>0</v>
      </c>
      <c r="AD287" s="26">
        <v>66.712553017703399</v>
      </c>
    </row>
    <row r="288" spans="1:30" x14ac:dyDescent="0.2">
      <c r="A288">
        <f>_xlfn.XLOOKUP(E288,Lookups!$E:$E,Lookups!$F:$F,0)</f>
        <v>0</v>
      </c>
      <c r="B288">
        <v>1</v>
      </c>
      <c r="C288" s="3" t="d">
        <v>2026-07-03</v>
      </c>
      <c r="D288" s="3"/>
      <c r="E288" s="26" t="s">
        <v>461</v>
      </c>
      <c r="F288" s="26" t="s">
        <v>27</v>
      </c>
      <c r="G288" s="26" t="s">
        <v>28</v>
      </c>
      <c r="H288" s="26" t="s">
        <v>31</v>
      </c>
      <c r="I288" s="26">
        <v>51571</v>
      </c>
      <c r="J288" s="26">
        <v>132833</v>
      </c>
      <c r="K288" s="26">
        <v>17990</v>
      </c>
      <c r="L288" s="26">
        <v>5738684</v>
      </c>
      <c r="M288" s="26">
        <v>39307</v>
      </c>
      <c r="N288" s="26">
        <v>204439</v>
      </c>
      <c r="O288" s="26">
        <v>67724</v>
      </c>
      <c r="P288" s="26">
        <v>5460</v>
      </c>
      <c r="Q288" s="26">
        <v>7151985</v>
      </c>
      <c r="R288" s="26">
        <v>54018</v>
      </c>
      <c r="S288" s="26">
        <v>30937</v>
      </c>
      <c r="T288" s="26" t="s">
        <v>31</v>
      </c>
      <c r="U288" s="26">
        <v>130796</v>
      </c>
      <c r="V288" s="26">
        <v>184779</v>
      </c>
      <c r="W288" s="26">
        <v>2521</v>
      </c>
      <c r="X288" s="26">
        <v>11513</v>
      </c>
      <c r="Y288" s="26">
        <v>225929</v>
      </c>
      <c r="Z288" s="26">
        <v>87234</v>
      </c>
      <c r="AA288" s="26">
        <v>32</v>
      </c>
      <c r="AB288" s="26">
        <v>0</v>
      </c>
      <c r="AC288" s="26">
        <v>0</v>
      </c>
      <c r="AD288" s="26">
        <v>41.815907130419397</v>
      </c>
    </row>
    <row r="289" spans="1:30" x14ac:dyDescent="0.2">
      <c r="A289">
        <f>_xlfn.XLOOKUP(E289,Lookups!$E:$E,Lookups!$F:$F,0)</f>
        <v>0</v>
      </c>
      <c r="B289">
        <v>1</v>
      </c>
      <c r="C289" s="3" t="d">
        <v>2026-07-03</v>
      </c>
      <c r="D289" s="3"/>
      <c r="E289" s="26" t="s">
        <v>401</v>
      </c>
      <c r="F289" s="26" t="s">
        <v>27</v>
      </c>
      <c r="G289" s="26" t="s">
        <v>28</v>
      </c>
      <c r="H289" s="26" t="s">
        <v>37</v>
      </c>
      <c r="I289" s="26">
        <v>51688</v>
      </c>
      <c r="J289" s="26">
        <v>86985</v>
      </c>
      <c r="K289" s="26">
        <v>31476</v>
      </c>
      <c r="L289" s="26">
        <v>57933702</v>
      </c>
      <c r="M289" s="26">
        <v>18555</v>
      </c>
      <c r="N289" s="26">
        <v>1632304</v>
      </c>
      <c r="O289" s="26">
        <v>240940</v>
      </c>
      <c r="P289" s="26">
        <v>3750</v>
      </c>
      <c r="Q289" s="26" t="s">
        <v>31</v>
      </c>
      <c r="R289" s="26" t="s">
        <v>31</v>
      </c>
      <c r="S289" s="26">
        <v>38928</v>
      </c>
      <c r="T289" s="26">
        <v>260</v>
      </c>
      <c r="U289" s="26">
        <v>251038</v>
      </c>
      <c r="V289" s="26">
        <v>164551</v>
      </c>
      <c r="W289" s="26">
        <v>566</v>
      </c>
      <c r="X289" s="26" t="s">
        <v>31</v>
      </c>
      <c r="Y289" s="26">
        <v>206438</v>
      </c>
      <c r="Z289" s="26" t="s">
        <v>31</v>
      </c>
      <c r="AA289" s="26" t="s">
        <v>31</v>
      </c>
      <c r="AB289" s="26" t="s">
        <v>31</v>
      </c>
      <c r="AC289" s="26" t="s">
        <v>31</v>
      </c>
      <c r="AD289" s="26" t="s">
        <v>31</v>
      </c>
    </row>
    <row r="290" spans="1:30" x14ac:dyDescent="0.2">
      <c r="A290">
        <f>_xlfn.XLOOKUP(E290,Lookups!$E:$E,Lookups!$F:$F,0)</f>
        <v>0</v>
      </c>
      <c r="B290">
        <v>1</v>
      </c>
      <c r="C290" s="3" t="d">
        <v>2026-07-03</v>
      </c>
      <c r="D290" s="3"/>
      <c r="E290" s="26" t="s">
        <v>212</v>
      </c>
      <c r="F290" s="26" t="s">
        <v>27</v>
      </c>
      <c r="G290" s="26" t="s">
        <v>36</v>
      </c>
      <c r="H290" s="26" t="s">
        <v>46</v>
      </c>
      <c r="I290" s="26">
        <v>52212</v>
      </c>
      <c r="J290" s="26">
        <v>97112</v>
      </c>
      <c r="K290" s="26">
        <v>150907</v>
      </c>
      <c r="L290" s="26">
        <v>25292298</v>
      </c>
      <c r="M290" s="26">
        <v>1366</v>
      </c>
      <c r="N290" s="26">
        <v>142996</v>
      </c>
      <c r="O290" s="26">
        <v>39162</v>
      </c>
      <c r="P290" s="26">
        <v>53500</v>
      </c>
      <c r="Q290" s="26">
        <v>7203131</v>
      </c>
      <c r="R290" s="26">
        <v>34904</v>
      </c>
      <c r="S290" s="26">
        <v>99715</v>
      </c>
      <c r="T290" s="26">
        <v>36205</v>
      </c>
      <c r="U290" s="26">
        <v>5503</v>
      </c>
      <c r="V290" s="26">
        <v>79814</v>
      </c>
      <c r="W290" s="26">
        <v>4978</v>
      </c>
      <c r="X290" s="26" t="s">
        <v>31</v>
      </c>
      <c r="Y290" s="26">
        <v>35651</v>
      </c>
      <c r="Z290" s="26" t="s">
        <v>31</v>
      </c>
      <c r="AA290" s="26" t="s">
        <v>31</v>
      </c>
      <c r="AB290" s="26" t="s">
        <v>31</v>
      </c>
      <c r="AC290" s="26" t="s">
        <v>31</v>
      </c>
      <c r="AD290" s="26" t="s">
        <v>31</v>
      </c>
    </row>
    <row r="291" spans="1:30" x14ac:dyDescent="0.2">
      <c r="A291">
        <f>_xlfn.XLOOKUP(E291,Lookups!$E:$E,Lookups!$F:$F,0)</f>
        <v>0</v>
      </c>
      <c r="B291">
        <v>1</v>
      </c>
      <c r="C291" s="3" t="d">
        <v>2026-07-03</v>
      </c>
      <c r="D291" s="3"/>
      <c r="E291" s="26" t="s">
        <v>192</v>
      </c>
      <c r="F291" s="26" t="s">
        <v>27</v>
      </c>
      <c r="G291" s="26" t="s">
        <v>36</v>
      </c>
      <c r="H291" s="26" t="s">
        <v>44</v>
      </c>
      <c r="I291" s="26">
        <v>52313</v>
      </c>
      <c r="J291" s="26">
        <v>34031</v>
      </c>
      <c r="K291" s="26">
        <v>184350</v>
      </c>
      <c r="L291" s="26">
        <v>27713875</v>
      </c>
      <c r="M291" s="26">
        <v>209106</v>
      </c>
      <c r="N291" s="26">
        <v>852393</v>
      </c>
      <c r="O291" s="26">
        <v>210479</v>
      </c>
      <c r="P291" s="26">
        <v>1920</v>
      </c>
      <c r="Q291" s="26">
        <v>320128</v>
      </c>
      <c r="R291" s="26">
        <v>3820</v>
      </c>
      <c r="S291" s="26">
        <v>59153</v>
      </c>
      <c r="T291" s="26">
        <v>929</v>
      </c>
      <c r="U291" s="26">
        <v>63193</v>
      </c>
      <c r="V291" s="26">
        <v>145802</v>
      </c>
      <c r="W291" s="26">
        <v>4444</v>
      </c>
      <c r="X291" s="26" t="s">
        <v>31</v>
      </c>
      <c r="Y291" s="26">
        <v>435986</v>
      </c>
      <c r="Z291" s="26">
        <v>16562</v>
      </c>
      <c r="AA291" s="26">
        <v>86</v>
      </c>
      <c r="AB291" s="26">
        <v>1</v>
      </c>
      <c r="AC291" s="26">
        <v>2</v>
      </c>
      <c r="AD291" s="26">
        <v>117.918333624346</v>
      </c>
    </row>
    <row r="292" spans="1:30" x14ac:dyDescent="0.2">
      <c r="A292">
        <f>_xlfn.XLOOKUP(E292,Lookups!$E:$E,Lookups!$F:$F,0)</f>
        <v>0</v>
      </c>
      <c r="B292">
        <v>1</v>
      </c>
      <c r="C292" s="3" t="d">
        <v>2026-07-03</v>
      </c>
      <c r="D292" s="3"/>
      <c r="E292" s="26" t="s">
        <v>271</v>
      </c>
      <c r="F292" s="26" t="s">
        <v>27</v>
      </c>
      <c r="G292" s="26" t="s">
        <v>28</v>
      </c>
      <c r="H292" s="26" t="s">
        <v>57</v>
      </c>
      <c r="I292" s="26">
        <v>52340</v>
      </c>
      <c r="J292" s="26">
        <v>42466</v>
      </c>
      <c r="K292" s="26">
        <v>91421</v>
      </c>
      <c r="L292" s="26">
        <v>37728486</v>
      </c>
      <c r="M292" s="26">
        <v>273442</v>
      </c>
      <c r="N292" s="26">
        <v>707519</v>
      </c>
      <c r="O292" s="26">
        <v>506366</v>
      </c>
      <c r="P292" s="26">
        <v>25</v>
      </c>
      <c r="Q292" s="26">
        <v>655</v>
      </c>
      <c r="R292" s="26">
        <v>10</v>
      </c>
      <c r="S292" s="26">
        <v>71798</v>
      </c>
      <c r="T292" s="26">
        <v>134</v>
      </c>
      <c r="U292" s="26">
        <v>24584</v>
      </c>
      <c r="V292" s="26">
        <v>2143</v>
      </c>
      <c r="W292" s="26">
        <v>241</v>
      </c>
      <c r="X292" s="26">
        <v>17</v>
      </c>
      <c r="Y292" s="26">
        <v>115617</v>
      </c>
      <c r="Z292" s="26">
        <v>13238</v>
      </c>
      <c r="AA292" s="26">
        <v>66</v>
      </c>
      <c r="AB292" s="26">
        <v>0</v>
      </c>
      <c r="AC292" s="26">
        <v>0</v>
      </c>
      <c r="AD292" s="26">
        <v>123.837191805028</v>
      </c>
    </row>
    <row r="293" spans="1:30" x14ac:dyDescent="0.2">
      <c r="A293">
        <f>_xlfn.XLOOKUP(E293,Lookups!$E:$E,Lookups!$F:$F,0)</f>
        <v>0</v>
      </c>
      <c r="B293">
        <v>1</v>
      </c>
      <c r="C293" s="3" t="d">
        <v>2026-07-03</v>
      </c>
      <c r="D293" s="3"/>
      <c r="E293" s="26" t="s">
        <v>367</v>
      </c>
      <c r="F293" s="26" t="s">
        <v>27</v>
      </c>
      <c r="G293" s="26" t="s">
        <v>28</v>
      </c>
      <c r="H293" s="26" t="s">
        <v>138</v>
      </c>
      <c r="I293" s="26">
        <v>52634</v>
      </c>
      <c r="J293" s="26">
        <v>44156</v>
      </c>
      <c r="K293" s="26">
        <v>42459</v>
      </c>
      <c r="L293" s="26">
        <v>37463840</v>
      </c>
      <c r="M293" s="26">
        <v>195785</v>
      </c>
      <c r="N293" s="26">
        <v>1325196</v>
      </c>
      <c r="O293" s="26">
        <v>78480</v>
      </c>
      <c r="P293" s="26">
        <v>7260</v>
      </c>
      <c r="Q293" s="26">
        <v>610610</v>
      </c>
      <c r="R293" s="26">
        <v>11149</v>
      </c>
      <c r="S293" s="26">
        <v>66150</v>
      </c>
      <c r="T293" s="26">
        <v>78455</v>
      </c>
      <c r="U293" s="26">
        <v>29699</v>
      </c>
      <c r="V293" s="26">
        <v>1962</v>
      </c>
      <c r="W293" s="26">
        <v>80</v>
      </c>
      <c r="X293" s="26" t="s">
        <v>31</v>
      </c>
      <c r="Y293" s="26">
        <v>167115</v>
      </c>
      <c r="Z293" s="26">
        <v>15305</v>
      </c>
      <c r="AA293" s="26">
        <v>103</v>
      </c>
      <c r="AB293" s="26">
        <v>0</v>
      </c>
      <c r="AC293" s="26">
        <v>0</v>
      </c>
      <c r="AD293" s="26">
        <v>128.00176134593599</v>
      </c>
    </row>
    <row r="294" spans="1:30" x14ac:dyDescent="0.2">
      <c r="A294">
        <f>_xlfn.XLOOKUP(E294,Lookups!$E:$E,Lookups!$F:$F,0)</f>
        <v>0</v>
      </c>
      <c r="B294">
        <v>1</v>
      </c>
      <c r="C294" s="3" t="d">
        <v>2026-07-03</v>
      </c>
      <c r="D294" s="3"/>
      <c r="E294" s="26" t="s">
        <v>332</v>
      </c>
      <c r="F294" s="26" t="s">
        <v>220</v>
      </c>
      <c r="G294" s="26" t="s">
        <v>28</v>
      </c>
      <c r="H294" s="26" t="s">
        <v>46</v>
      </c>
      <c r="I294" s="26">
        <v>52803</v>
      </c>
      <c r="J294" s="26">
        <v>68353</v>
      </c>
      <c r="K294" s="26">
        <v>53577</v>
      </c>
      <c r="L294" s="26">
        <v>16041534</v>
      </c>
      <c r="M294" s="26">
        <v>198894</v>
      </c>
      <c r="N294" s="26">
        <v>189289</v>
      </c>
      <c r="O294" s="26">
        <v>120066</v>
      </c>
      <c r="P294" s="26">
        <v>4170</v>
      </c>
      <c r="Q294" s="26">
        <v>712181</v>
      </c>
      <c r="R294" s="26">
        <v>5760</v>
      </c>
      <c r="S294" s="26">
        <v>8669</v>
      </c>
      <c r="T294" s="26">
        <v>339917</v>
      </c>
      <c r="U294" s="26">
        <v>3003</v>
      </c>
      <c r="V294" s="26">
        <v>340784</v>
      </c>
      <c r="W294" s="26">
        <v>168</v>
      </c>
      <c r="X294" s="26">
        <v>63</v>
      </c>
      <c r="Y294" s="26">
        <v>96927</v>
      </c>
      <c r="Z294" s="26">
        <v>61026</v>
      </c>
      <c r="AA294" s="26">
        <v>22</v>
      </c>
      <c r="AB294" s="26">
        <v>0</v>
      </c>
      <c r="AC294" s="26">
        <v>0</v>
      </c>
      <c r="AD294" s="26">
        <v>19.210877978581799</v>
      </c>
    </row>
    <row r="295" spans="1:30" x14ac:dyDescent="0.2">
      <c r="A295">
        <f>_xlfn.XLOOKUP(E295,Lookups!$E:$E,Lookups!$F:$F,0)</f>
        <v>0</v>
      </c>
      <c r="B295">
        <v>1</v>
      </c>
      <c r="C295" s="3" t="d">
        <v>2026-07-03</v>
      </c>
      <c r="D295" s="3"/>
      <c r="E295" s="26" t="s">
        <v>327</v>
      </c>
      <c r="F295" s="26" t="s">
        <v>27</v>
      </c>
      <c r="G295" s="26" t="s">
        <v>28</v>
      </c>
      <c r="H295" s="26" t="s">
        <v>46</v>
      </c>
      <c r="I295" s="26">
        <v>52991</v>
      </c>
      <c r="J295" s="26">
        <v>40104</v>
      </c>
      <c r="K295" s="26">
        <v>55913</v>
      </c>
      <c r="L295" s="26">
        <v>19937026</v>
      </c>
      <c r="M295" s="26">
        <v>458578</v>
      </c>
      <c r="N295" s="26">
        <v>628679</v>
      </c>
      <c r="O295" s="26">
        <v>613359</v>
      </c>
      <c r="P295" s="26" t="s">
        <v>31</v>
      </c>
      <c r="Q295" s="26" t="s">
        <v>31</v>
      </c>
      <c r="R295" s="26" t="s">
        <v>31</v>
      </c>
      <c r="S295" s="26">
        <v>834709</v>
      </c>
      <c r="T295" s="26" t="s">
        <v>31</v>
      </c>
      <c r="U295" s="26" t="s">
        <v>31</v>
      </c>
      <c r="V295" s="26" t="s">
        <v>31</v>
      </c>
      <c r="W295" s="26">
        <v>104</v>
      </c>
      <c r="X295" s="26">
        <v>4</v>
      </c>
      <c r="Y295" s="26">
        <v>142374</v>
      </c>
      <c r="Z295" s="26">
        <v>31476</v>
      </c>
      <c r="AA295" s="26">
        <v>49</v>
      </c>
      <c r="AB295" s="26">
        <v>0</v>
      </c>
      <c r="AC295" s="26">
        <v>0</v>
      </c>
      <c r="AD295" s="26">
        <v>54.204752402141096</v>
      </c>
    </row>
    <row r="296" spans="1:30" x14ac:dyDescent="0.2">
      <c r="A296">
        <f>_xlfn.XLOOKUP(E296,Lookups!$E:$E,Lookups!$F:$F,0)</f>
        <v>0</v>
      </c>
      <c r="B296">
        <v>1</v>
      </c>
      <c r="C296" s="3" t="d">
        <v>2026-07-03</v>
      </c>
      <c r="D296" s="3"/>
      <c r="E296" s="26" t="s">
        <v>258</v>
      </c>
      <c r="F296" s="26" t="s">
        <v>27</v>
      </c>
      <c r="G296" s="26" t="s">
        <v>28</v>
      </c>
      <c r="H296" s="26" t="s">
        <v>46</v>
      </c>
      <c r="I296" s="26">
        <v>53074</v>
      </c>
      <c r="J296" s="26">
        <v>57577</v>
      </c>
      <c r="K296" s="26">
        <v>102490</v>
      </c>
      <c r="L296" s="26">
        <v>28892814</v>
      </c>
      <c r="M296" s="26">
        <v>151952</v>
      </c>
      <c r="N296" s="26">
        <v>445050</v>
      </c>
      <c r="O296" s="26">
        <v>36780</v>
      </c>
      <c r="P296" s="26">
        <v>93900</v>
      </c>
      <c r="Q296" s="26">
        <v>29178265</v>
      </c>
      <c r="R296" s="26">
        <v>178737</v>
      </c>
      <c r="S296" s="26">
        <v>136185</v>
      </c>
      <c r="T296" s="26">
        <v>692</v>
      </c>
      <c r="U296" s="26">
        <v>28815</v>
      </c>
      <c r="V296" s="26" t="s">
        <v>31</v>
      </c>
      <c r="W296" s="26">
        <v>4098</v>
      </c>
      <c r="X296" s="26" t="s">
        <v>31</v>
      </c>
      <c r="Y296" s="26">
        <v>153989</v>
      </c>
      <c r="Z296" s="26">
        <v>28226</v>
      </c>
      <c r="AA296" s="26">
        <v>75</v>
      </c>
      <c r="AB296" s="26">
        <v>0</v>
      </c>
      <c r="AC296" s="26">
        <v>0</v>
      </c>
      <c r="AD296" s="26">
        <v>58.908220341331898</v>
      </c>
    </row>
    <row r="297" spans="1:30" x14ac:dyDescent="0.2">
      <c r="A297">
        <f>_xlfn.XLOOKUP(E297,Lookups!$E:$E,Lookups!$F:$F,0)</f>
        <v>0</v>
      </c>
      <c r="B297">
        <v>1</v>
      </c>
      <c r="C297" s="3" t="d">
        <v>2026-07-03</v>
      </c>
      <c r="D297" s="3"/>
      <c r="E297" s="26" t="s">
        <v>154</v>
      </c>
      <c r="F297" s="26" t="s">
        <v>27</v>
      </c>
      <c r="G297" s="26" t="s">
        <v>28</v>
      </c>
      <c r="H297" s="26" t="s">
        <v>46</v>
      </c>
      <c r="I297" s="26">
        <v>53544</v>
      </c>
      <c r="J297" s="26">
        <v>33348</v>
      </c>
      <c r="K297" s="26">
        <v>272552</v>
      </c>
      <c r="L297" s="26">
        <v>66647797</v>
      </c>
      <c r="M297" s="26">
        <v>206597</v>
      </c>
      <c r="N297" s="26">
        <v>311524</v>
      </c>
      <c r="O297" s="26">
        <v>613359</v>
      </c>
      <c r="P297" s="26" t="s">
        <v>31</v>
      </c>
      <c r="Q297" s="26" t="s">
        <v>31</v>
      </c>
      <c r="R297" s="26" t="s">
        <v>31</v>
      </c>
      <c r="S297" s="26">
        <v>834709</v>
      </c>
      <c r="T297" s="26" t="s">
        <v>31</v>
      </c>
      <c r="U297" s="26" t="s">
        <v>31</v>
      </c>
      <c r="V297" s="26" t="s">
        <v>31</v>
      </c>
      <c r="W297" s="26">
        <v>842</v>
      </c>
      <c r="X297" s="26">
        <v>106</v>
      </c>
      <c r="Y297" s="26">
        <v>126476</v>
      </c>
      <c r="Z297" s="26" t="s">
        <v>31</v>
      </c>
      <c r="AA297" s="26" t="s">
        <v>31</v>
      </c>
      <c r="AB297" s="26" t="s">
        <v>31</v>
      </c>
      <c r="AC297" s="26" t="s">
        <v>31</v>
      </c>
      <c r="AD297" s="26" t="s">
        <v>31</v>
      </c>
    </row>
    <row r="298" spans="1:30" x14ac:dyDescent="0.2">
      <c r="A298">
        <f>_xlfn.XLOOKUP(E298,Lookups!$E:$E,Lookups!$F:$F,0)</f>
        <v>0</v>
      </c>
      <c r="B298">
        <v>1</v>
      </c>
      <c r="C298" s="3" t="d">
        <v>2026-07-03</v>
      </c>
      <c r="D298" s="3"/>
      <c r="E298" s="26" t="s">
        <v>597</v>
      </c>
      <c r="F298" s="26" t="s">
        <v>27</v>
      </c>
      <c r="G298" s="26" t="s">
        <v>36</v>
      </c>
      <c r="H298" s="26" t="s">
        <v>37</v>
      </c>
      <c r="I298" s="26">
        <v>53643</v>
      </c>
      <c r="J298" s="26">
        <v>108280</v>
      </c>
      <c r="K298" s="26">
        <v>15079</v>
      </c>
      <c r="L298" s="26">
        <v>23466059</v>
      </c>
      <c r="M298" s="26">
        <v>65397</v>
      </c>
      <c r="N298" s="26">
        <v>294353</v>
      </c>
      <c r="O298" s="26">
        <v>33406</v>
      </c>
      <c r="P298" s="26">
        <v>16600</v>
      </c>
      <c r="Q298" s="26">
        <v>5624361</v>
      </c>
      <c r="R298" s="26">
        <v>30295</v>
      </c>
      <c r="S298" s="26">
        <v>40605</v>
      </c>
      <c r="T298" s="26">
        <v>72050</v>
      </c>
      <c r="U298" s="26">
        <v>115510</v>
      </c>
      <c r="V298" s="26">
        <v>564985</v>
      </c>
      <c r="W298" s="26">
        <v>627</v>
      </c>
      <c r="X298" s="26" t="s">
        <v>31</v>
      </c>
      <c r="Y298" s="26">
        <v>178405</v>
      </c>
      <c r="Z298" s="26">
        <v>36509</v>
      </c>
      <c r="AA298" s="26">
        <v>40</v>
      </c>
      <c r="AB298" s="26">
        <v>0</v>
      </c>
      <c r="AC298" s="26">
        <v>0</v>
      </c>
      <c r="AD298" s="26">
        <v>40.939340679967103</v>
      </c>
    </row>
    <row r="299" spans="1:30" x14ac:dyDescent="0.2">
      <c r="A299">
        <f>_xlfn.XLOOKUP(E299,Lookups!$E:$E,Lookups!$F:$F,0)</f>
        <v>0</v>
      </c>
      <c r="B299">
        <v>1</v>
      </c>
      <c r="C299" s="3" t="d">
        <v>2026-07-03</v>
      </c>
      <c r="D299" s="3"/>
      <c r="E299" s="26" t="s">
        <v>598</v>
      </c>
      <c r="F299" s="26" t="s">
        <v>27</v>
      </c>
      <c r="G299" s="26" t="s">
        <v>28</v>
      </c>
      <c r="H299" s="26" t="s">
        <v>297</v>
      </c>
      <c r="I299" s="26">
        <v>54173</v>
      </c>
      <c r="J299" s="26">
        <v>74546</v>
      </c>
      <c r="K299" s="26">
        <v>5188</v>
      </c>
      <c r="L299" s="26">
        <v>60583971</v>
      </c>
      <c r="M299" s="26">
        <v>42884</v>
      </c>
      <c r="N299" s="26">
        <v>3201836</v>
      </c>
      <c r="O299" s="26">
        <v>613359</v>
      </c>
      <c r="P299" s="26" t="s">
        <v>31</v>
      </c>
      <c r="Q299" s="26" t="s">
        <v>31</v>
      </c>
      <c r="R299" s="26" t="s">
        <v>31</v>
      </c>
      <c r="S299" s="26">
        <v>42139</v>
      </c>
      <c r="T299" s="26">
        <v>521</v>
      </c>
      <c r="U299" s="26">
        <v>42074</v>
      </c>
      <c r="V299" s="26" t="s">
        <v>31</v>
      </c>
      <c r="W299" s="26">
        <v>19</v>
      </c>
      <c r="X299" s="26" t="s">
        <v>31</v>
      </c>
      <c r="Y299" s="26">
        <v>410410</v>
      </c>
      <c r="Z299" s="26" t="s">
        <v>31</v>
      </c>
      <c r="AA299" s="26" t="s">
        <v>31</v>
      </c>
      <c r="AB299" s="26" t="s">
        <v>31</v>
      </c>
      <c r="AC299" s="26" t="s">
        <v>31</v>
      </c>
      <c r="AD299" s="26" t="s">
        <v>31</v>
      </c>
    </row>
    <row r="300" spans="1:30" x14ac:dyDescent="0.2">
      <c r="A300">
        <f>_xlfn.XLOOKUP(E300,Lookups!$E:$E,Lookups!$F:$F,0)</f>
        <v>0</v>
      </c>
      <c r="B300">
        <v>1</v>
      </c>
      <c r="C300" s="3" t="d">
        <v>2026-07-03</v>
      </c>
      <c r="D300" s="3"/>
      <c r="E300" s="26" t="s">
        <v>599</v>
      </c>
      <c r="F300" s="26" t="s">
        <v>342</v>
      </c>
      <c r="G300" s="26" t="s">
        <v>36</v>
      </c>
      <c r="H300" s="26" t="s">
        <v>46</v>
      </c>
      <c r="I300" s="26">
        <v>54259</v>
      </c>
      <c r="J300" s="26">
        <v>184826</v>
      </c>
      <c r="K300" s="26">
        <v>13762</v>
      </c>
      <c r="L300" s="26">
        <v>2377211</v>
      </c>
      <c r="M300" s="26">
        <v>12909</v>
      </c>
      <c r="N300" s="26">
        <v>3273</v>
      </c>
      <c r="O300" s="26">
        <v>45358</v>
      </c>
      <c r="P300" s="26">
        <v>25700</v>
      </c>
      <c r="Q300" s="26">
        <v>2614113</v>
      </c>
      <c r="R300" s="26">
        <v>36466</v>
      </c>
      <c r="S300" s="26">
        <v>35865</v>
      </c>
      <c r="T300" s="26">
        <v>92361</v>
      </c>
      <c r="U300" s="26">
        <v>33144</v>
      </c>
      <c r="V300" s="26">
        <v>263863</v>
      </c>
      <c r="W300" s="26">
        <v>62</v>
      </c>
      <c r="X300" s="26" t="s">
        <v>31</v>
      </c>
      <c r="Y300" s="26">
        <v>222001</v>
      </c>
      <c r="Z300" s="26" t="s">
        <v>31</v>
      </c>
      <c r="AA300" s="26" t="s">
        <v>31</v>
      </c>
      <c r="AB300" s="26" t="s">
        <v>31</v>
      </c>
      <c r="AC300" s="26" t="s">
        <v>31</v>
      </c>
      <c r="AD300" s="26" t="s">
        <v>31</v>
      </c>
    </row>
    <row r="301" spans="1:30" x14ac:dyDescent="0.2">
      <c r="A301">
        <f>_xlfn.XLOOKUP(E301,Lookups!$E:$E,Lookups!$F:$F,0)</f>
        <v>0</v>
      </c>
      <c r="B301">
        <v>1</v>
      </c>
      <c r="C301" s="3" t="d">
        <v>2026-07-03</v>
      </c>
      <c r="D301" s="3"/>
      <c r="E301" s="26" t="s">
        <v>286</v>
      </c>
      <c r="F301" s="26" t="s">
        <v>27</v>
      </c>
      <c r="G301" s="26" t="s">
        <v>36</v>
      </c>
      <c r="H301" s="26" t="s">
        <v>46</v>
      </c>
      <c r="I301" s="26">
        <v>54277</v>
      </c>
      <c r="J301" s="26">
        <v>44078</v>
      </c>
      <c r="K301" s="26">
        <v>79767</v>
      </c>
      <c r="L301" s="26">
        <v>32172902</v>
      </c>
      <c r="M301" s="26">
        <v>493763</v>
      </c>
      <c r="N301" s="26">
        <v>714943</v>
      </c>
      <c r="O301" s="26">
        <v>613359</v>
      </c>
      <c r="P301" s="26" t="s">
        <v>31</v>
      </c>
      <c r="Q301" s="26" t="s">
        <v>31</v>
      </c>
      <c r="R301" s="26" t="s">
        <v>31</v>
      </c>
      <c r="S301" s="26">
        <v>81449</v>
      </c>
      <c r="T301" s="26">
        <v>27172</v>
      </c>
      <c r="U301" s="26">
        <v>7817</v>
      </c>
      <c r="V301" s="26">
        <v>46735</v>
      </c>
      <c r="W301" s="26">
        <v>180</v>
      </c>
      <c r="X301" s="26">
        <v>21</v>
      </c>
      <c r="Y301" s="26">
        <v>177035</v>
      </c>
      <c r="Z301" s="26" t="s">
        <v>31</v>
      </c>
      <c r="AA301" s="26" t="s">
        <v>31</v>
      </c>
      <c r="AB301" s="26" t="s">
        <v>31</v>
      </c>
      <c r="AC301" s="26" t="s">
        <v>31</v>
      </c>
      <c r="AD301" s="26" t="s">
        <v>31</v>
      </c>
    </row>
    <row r="302" spans="1:30" x14ac:dyDescent="0.2">
      <c r="A302">
        <f>_xlfn.XLOOKUP(E302,Lookups!$E:$E,Lookups!$F:$F,0)</f>
        <v>0</v>
      </c>
      <c r="B302">
        <v>1</v>
      </c>
      <c r="C302" s="3" t="d">
        <v>2026-07-03</v>
      </c>
      <c r="D302" s="3"/>
      <c r="E302" s="26" t="s">
        <v>310</v>
      </c>
      <c r="F302" s="26" t="s">
        <v>27</v>
      </c>
      <c r="G302" s="26" t="s">
        <v>77</v>
      </c>
      <c r="H302" s="26" t="s">
        <v>95</v>
      </c>
      <c r="I302" s="26">
        <v>54315</v>
      </c>
      <c r="J302" s="26">
        <v>92616</v>
      </c>
      <c r="K302" s="26">
        <v>64465</v>
      </c>
      <c r="L302" s="26">
        <v>9102236</v>
      </c>
      <c r="M302" s="26">
        <v>52541</v>
      </c>
      <c r="N302" s="26">
        <v>130757</v>
      </c>
      <c r="O302" s="26">
        <v>613359</v>
      </c>
      <c r="P302" s="26" t="s">
        <v>31</v>
      </c>
      <c r="Q302" s="26" t="s">
        <v>31</v>
      </c>
      <c r="R302" s="26" t="s">
        <v>31</v>
      </c>
      <c r="S302" s="26">
        <v>15988</v>
      </c>
      <c r="T302" s="26" t="s">
        <v>31</v>
      </c>
      <c r="U302" s="26">
        <v>321076</v>
      </c>
      <c r="V302" s="26" t="s">
        <v>31</v>
      </c>
      <c r="W302" s="26">
        <v>122</v>
      </c>
      <c r="X302" s="26">
        <v>52</v>
      </c>
      <c r="Y302" s="26">
        <v>466238</v>
      </c>
      <c r="Z302" s="26" t="s">
        <v>31</v>
      </c>
      <c r="AA302" s="26" t="s">
        <v>31</v>
      </c>
      <c r="AB302" s="26" t="s">
        <v>31</v>
      </c>
      <c r="AC302" s="26" t="s">
        <v>31</v>
      </c>
      <c r="AD302" s="26" t="s">
        <v>31</v>
      </c>
    </row>
    <row r="303" spans="1:30" x14ac:dyDescent="0.2">
      <c r="A303">
        <f>_xlfn.XLOOKUP(E303,Lookups!$E:$E,Lookups!$F:$F,0)</f>
        <v>0</v>
      </c>
      <c r="B303">
        <v>1</v>
      </c>
      <c r="C303" s="3" t="d">
        <v>2026-07-03</v>
      </c>
      <c r="D303" s="3"/>
      <c r="E303" s="26" t="s">
        <v>356</v>
      </c>
      <c r="F303" s="26" t="s">
        <v>35</v>
      </c>
      <c r="G303" s="26" t="s">
        <v>36</v>
      </c>
      <c r="H303" s="26" t="s">
        <v>46</v>
      </c>
      <c r="I303" s="26">
        <v>54328</v>
      </c>
      <c r="J303" s="26">
        <v>39459</v>
      </c>
      <c r="K303" s="26">
        <v>44691</v>
      </c>
      <c r="L303" s="26">
        <v>17005880</v>
      </c>
      <c r="M303" s="26">
        <v>740571</v>
      </c>
      <c r="N303" s="26">
        <v>93322</v>
      </c>
      <c r="O303" s="26">
        <v>613359</v>
      </c>
      <c r="P303" s="26" t="s">
        <v>31</v>
      </c>
      <c r="Q303" s="26" t="s">
        <v>31</v>
      </c>
      <c r="R303" s="26" t="s">
        <v>31</v>
      </c>
      <c r="S303" s="26">
        <v>834709</v>
      </c>
      <c r="T303" s="26" t="s">
        <v>31</v>
      </c>
      <c r="U303" s="26" t="s">
        <v>31</v>
      </c>
      <c r="V303" s="26" t="s">
        <v>31</v>
      </c>
      <c r="W303" s="26">
        <v>109</v>
      </c>
      <c r="X303" s="26">
        <v>76</v>
      </c>
      <c r="Y303" s="26">
        <v>466238</v>
      </c>
      <c r="Z303" s="26" t="s">
        <v>31</v>
      </c>
      <c r="AA303" s="26" t="s">
        <v>31</v>
      </c>
      <c r="AB303" s="26" t="s">
        <v>31</v>
      </c>
      <c r="AC303" s="26" t="s">
        <v>31</v>
      </c>
      <c r="AD303" s="26" t="s">
        <v>31</v>
      </c>
    </row>
    <row r="304" spans="1:30" x14ac:dyDescent="0.2">
      <c r="A304">
        <f>_xlfn.XLOOKUP(E304,Lookups!$E:$E,Lookups!$F:$F,0)</f>
        <v>0</v>
      </c>
      <c r="B304">
        <v>1</v>
      </c>
      <c r="C304" s="3" t="d">
        <v>2026-07-03</v>
      </c>
      <c r="D304" s="3"/>
      <c r="E304" s="26" t="s">
        <v>452</v>
      </c>
      <c r="F304" s="26" t="s">
        <v>27</v>
      </c>
      <c r="G304" s="26" t="s">
        <v>28</v>
      </c>
      <c r="H304" s="26" t="s">
        <v>46</v>
      </c>
      <c r="I304" s="26">
        <v>54864</v>
      </c>
      <c r="J304" s="26">
        <v>160407</v>
      </c>
      <c r="K304" s="26">
        <v>19173</v>
      </c>
      <c r="L304" s="26">
        <v>3099011</v>
      </c>
      <c r="M304" s="26">
        <v>26813</v>
      </c>
      <c r="N304" s="26">
        <v>69600</v>
      </c>
      <c r="O304" s="26">
        <v>63304</v>
      </c>
      <c r="P304" s="26">
        <v>8960</v>
      </c>
      <c r="Q304" s="26">
        <v>2875399</v>
      </c>
      <c r="R304" s="26">
        <v>22607</v>
      </c>
      <c r="S304" s="26">
        <v>22470</v>
      </c>
      <c r="T304" s="26">
        <v>132910</v>
      </c>
      <c r="U304" s="26">
        <v>110057</v>
      </c>
      <c r="V304" s="26">
        <v>531666</v>
      </c>
      <c r="W304" s="26">
        <v>250</v>
      </c>
      <c r="X304" s="26">
        <v>101</v>
      </c>
      <c r="Y304" s="26">
        <v>35026</v>
      </c>
      <c r="Z304" s="26">
        <v>95434</v>
      </c>
      <c r="AA304" s="26">
        <v>14</v>
      </c>
      <c r="AB304" s="26">
        <v>0</v>
      </c>
      <c r="AC304" s="26">
        <v>0</v>
      </c>
      <c r="AD304" s="26">
        <v>10.479600524240601</v>
      </c>
    </row>
    <row r="305" spans="1:30" x14ac:dyDescent="0.2">
      <c r="A305">
        <f>_xlfn.XLOOKUP(E305,Lookups!$E:$E,Lookups!$F:$F,0)</f>
        <v>0</v>
      </c>
      <c r="B305">
        <v>1</v>
      </c>
      <c r="C305" s="3" t="d">
        <v>2026-07-03</v>
      </c>
      <c r="D305" s="3"/>
      <c r="E305" s="26" t="s">
        <v>254</v>
      </c>
      <c r="F305" s="26" t="s">
        <v>27</v>
      </c>
      <c r="G305" s="26" t="s">
        <v>28</v>
      </c>
      <c r="H305" s="26" t="s">
        <v>109</v>
      </c>
      <c r="I305" s="26">
        <v>55009</v>
      </c>
      <c r="J305" s="26">
        <v>67526</v>
      </c>
      <c r="K305" s="26">
        <v>106097</v>
      </c>
      <c r="L305" s="26">
        <v>21939291</v>
      </c>
      <c r="M305" s="26">
        <v>109248</v>
      </c>
      <c r="N305" s="26">
        <v>304208</v>
      </c>
      <c r="O305" s="26">
        <v>302226</v>
      </c>
      <c r="P305" s="26">
        <v>876</v>
      </c>
      <c r="Q305" s="26">
        <v>62673</v>
      </c>
      <c r="R305" s="26">
        <v>1016</v>
      </c>
      <c r="S305" s="26">
        <v>31342</v>
      </c>
      <c r="T305" s="26">
        <v>119726</v>
      </c>
      <c r="U305" s="26">
        <v>107798</v>
      </c>
      <c r="V305" s="26">
        <v>52560</v>
      </c>
      <c r="W305" s="26">
        <v>74</v>
      </c>
      <c r="X305" s="26" t="s">
        <v>31</v>
      </c>
      <c r="Y305" s="26">
        <v>196571</v>
      </c>
      <c r="Z305" s="26">
        <v>30327</v>
      </c>
      <c r="AA305" s="26">
        <v>66</v>
      </c>
      <c r="AB305" s="26">
        <v>0</v>
      </c>
      <c r="AC305" s="26">
        <v>0</v>
      </c>
      <c r="AD305" s="26">
        <v>49.700481801811897</v>
      </c>
    </row>
    <row r="306" spans="1:30" x14ac:dyDescent="0.2">
      <c r="A306">
        <f>_xlfn.XLOOKUP(E306,Lookups!$E:$E,Lookups!$F:$F,0)</f>
        <v>0</v>
      </c>
      <c r="B306">
        <v>1</v>
      </c>
      <c r="C306" s="3" t="d">
        <v>2026-07-03</v>
      </c>
      <c r="D306" s="3"/>
      <c r="E306" s="26" t="s">
        <v>313</v>
      </c>
      <c r="F306" s="26" t="s">
        <v>27</v>
      </c>
      <c r="G306" s="26" t="s">
        <v>314</v>
      </c>
      <c r="H306" s="26" t="s">
        <v>40</v>
      </c>
      <c r="I306" s="26">
        <v>55131</v>
      </c>
      <c r="J306" s="26">
        <v>68160</v>
      </c>
      <c r="K306" s="26">
        <v>62016</v>
      </c>
      <c r="L306" s="26">
        <v>44766032</v>
      </c>
      <c r="M306" s="26">
        <v>82970</v>
      </c>
      <c r="N306" s="26">
        <v>746408</v>
      </c>
      <c r="O306" s="26">
        <v>279325</v>
      </c>
      <c r="P306" s="26">
        <v>2190</v>
      </c>
      <c r="Q306" s="26">
        <v>2787</v>
      </c>
      <c r="R306" s="26">
        <v>58</v>
      </c>
      <c r="S306" s="26">
        <v>24281</v>
      </c>
      <c r="T306" s="26" t="s">
        <v>31</v>
      </c>
      <c r="U306" s="26">
        <v>303994</v>
      </c>
      <c r="V306" s="26">
        <v>37470</v>
      </c>
      <c r="W306" s="26">
        <v>333</v>
      </c>
      <c r="X306" s="26" t="s">
        <v>31</v>
      </c>
      <c r="Y306" s="26">
        <v>161873</v>
      </c>
      <c r="Z306" s="26">
        <v>25755</v>
      </c>
      <c r="AA306" s="26">
        <v>68</v>
      </c>
      <c r="AB306" s="26">
        <v>1</v>
      </c>
      <c r="AC306" s="26">
        <v>3</v>
      </c>
      <c r="AD306" s="26">
        <v>91.451932347780499</v>
      </c>
    </row>
    <row r="307" spans="1:30" x14ac:dyDescent="0.2">
      <c r="A307">
        <f>_xlfn.XLOOKUP(E307,Lookups!$E:$E,Lookups!$F:$F,0)</f>
        <v>0</v>
      </c>
      <c r="B307">
        <v>1</v>
      </c>
      <c r="C307" s="3" t="d">
        <v>2026-07-03</v>
      </c>
      <c r="D307" s="3"/>
      <c r="E307" s="26" t="s">
        <v>168</v>
      </c>
      <c r="F307" s="26" t="s">
        <v>27</v>
      </c>
      <c r="G307" s="26" t="s">
        <v>28</v>
      </c>
      <c r="H307" s="26" t="s">
        <v>40</v>
      </c>
      <c r="I307" s="26">
        <v>55153</v>
      </c>
      <c r="J307" s="26">
        <v>38316</v>
      </c>
      <c r="K307" s="26">
        <v>227083</v>
      </c>
      <c r="L307" s="26">
        <v>37226938</v>
      </c>
      <c r="M307" s="26">
        <v>384592</v>
      </c>
      <c r="N307" s="26">
        <v>627887</v>
      </c>
      <c r="O307" s="26">
        <v>394617</v>
      </c>
      <c r="P307" s="26">
        <v>603</v>
      </c>
      <c r="Q307" s="26">
        <v>50</v>
      </c>
      <c r="R307" s="26">
        <v>2</v>
      </c>
      <c r="S307" s="26">
        <v>234026</v>
      </c>
      <c r="T307" s="26">
        <v>3206</v>
      </c>
      <c r="U307" s="26" t="s">
        <v>31</v>
      </c>
      <c r="V307" s="26">
        <v>28996</v>
      </c>
      <c r="W307" s="26">
        <v>2088</v>
      </c>
      <c r="X307" s="26" t="s">
        <v>31</v>
      </c>
      <c r="Y307" s="26">
        <v>315764</v>
      </c>
      <c r="Z307" s="26">
        <v>15772</v>
      </c>
      <c r="AA307" s="26">
        <v>94</v>
      </c>
      <c r="AB307" s="26">
        <v>0</v>
      </c>
      <c r="AC307" s="26">
        <v>0</v>
      </c>
      <c r="AD307" s="26">
        <v>155.392559192471</v>
      </c>
    </row>
    <row r="308" spans="1:30" x14ac:dyDescent="0.2">
      <c r="A308">
        <f>_xlfn.XLOOKUP(E308,Lookups!$E:$E,Lookups!$F:$F,0)</f>
        <v>0</v>
      </c>
      <c r="B308">
        <v>1</v>
      </c>
      <c r="C308" s="3" t="d">
        <v>2026-07-03</v>
      </c>
      <c r="D308" s="3"/>
      <c r="E308" s="26" t="s">
        <v>276</v>
      </c>
      <c r="F308" s="26" t="s">
        <v>27</v>
      </c>
      <c r="G308" s="26" t="s">
        <v>28</v>
      </c>
      <c r="H308" s="26" t="s">
        <v>37</v>
      </c>
      <c r="I308" s="26">
        <v>56425</v>
      </c>
      <c r="J308" s="26">
        <v>83105</v>
      </c>
      <c r="K308" s="26">
        <v>86770</v>
      </c>
      <c r="L308" s="26">
        <v>13122894</v>
      </c>
      <c r="M308" s="26">
        <v>80026</v>
      </c>
      <c r="N308" s="26">
        <v>278972</v>
      </c>
      <c r="O308" s="26">
        <v>613359</v>
      </c>
      <c r="P308" s="26" t="s">
        <v>31</v>
      </c>
      <c r="Q308" s="26" t="s">
        <v>31</v>
      </c>
      <c r="R308" s="26" t="s">
        <v>31</v>
      </c>
      <c r="S308" s="26">
        <v>24620</v>
      </c>
      <c r="T308" s="26" t="s">
        <v>31</v>
      </c>
      <c r="U308" s="26">
        <v>433089</v>
      </c>
      <c r="V308" s="26">
        <v>703494</v>
      </c>
      <c r="W308" s="26">
        <v>955</v>
      </c>
      <c r="X308" s="26" t="s">
        <v>31</v>
      </c>
      <c r="Y308" s="26">
        <v>102837</v>
      </c>
      <c r="Z308" s="26">
        <v>32683</v>
      </c>
      <c r="AA308" s="26">
        <v>72</v>
      </c>
      <c r="AB308" s="26">
        <v>0</v>
      </c>
      <c r="AC308" s="26">
        <v>0</v>
      </c>
      <c r="AD308" s="26">
        <v>65.383217342846095</v>
      </c>
    </row>
    <row r="309" spans="1:30" x14ac:dyDescent="0.2">
      <c r="A309">
        <f>_xlfn.XLOOKUP(E309,Lookups!$E:$E,Lookups!$F:$F,0)</f>
        <v>0</v>
      </c>
      <c r="B309">
        <v>1</v>
      </c>
      <c r="C309" s="3" t="d">
        <v>2026-07-03</v>
      </c>
      <c r="D309" s="3"/>
      <c r="E309" s="26" t="s">
        <v>600</v>
      </c>
      <c r="F309" s="26" t="s">
        <v>27</v>
      </c>
      <c r="G309" s="26" t="s">
        <v>28</v>
      </c>
      <c r="H309" s="26" t="s">
        <v>95</v>
      </c>
      <c r="I309" s="26">
        <v>56621</v>
      </c>
      <c r="J309" s="26">
        <v>217094</v>
      </c>
      <c r="K309" s="26">
        <v>848</v>
      </c>
      <c r="L309" s="26">
        <v>487158</v>
      </c>
      <c r="M309" s="26">
        <v>345</v>
      </c>
      <c r="N309" s="26">
        <v>1449</v>
      </c>
      <c r="O309" s="26">
        <v>19584</v>
      </c>
      <c r="P309" s="26">
        <v>50200</v>
      </c>
      <c r="Q309" s="26">
        <v>22472924</v>
      </c>
      <c r="R309" s="26">
        <v>163528</v>
      </c>
      <c r="S309" s="26">
        <v>834709</v>
      </c>
      <c r="T309" s="26" t="s">
        <v>31</v>
      </c>
      <c r="U309" s="26" t="s">
        <v>31</v>
      </c>
      <c r="V309" s="26" t="s">
        <v>31</v>
      </c>
      <c r="W309" s="26">
        <v>8</v>
      </c>
      <c r="X309" s="26" t="s">
        <v>31</v>
      </c>
      <c r="Y309" s="26">
        <v>466238</v>
      </c>
      <c r="Z309" s="26" t="s">
        <v>31</v>
      </c>
      <c r="AA309" s="26" t="s">
        <v>31</v>
      </c>
      <c r="AB309" s="26" t="s">
        <v>31</v>
      </c>
      <c r="AC309" s="26" t="s">
        <v>31</v>
      </c>
      <c r="AD309" s="26" t="s">
        <v>31</v>
      </c>
    </row>
    <row r="310" spans="1:30" x14ac:dyDescent="0.2">
      <c r="A310">
        <f>_xlfn.XLOOKUP(E310,Lookups!$E:$E,Lookups!$F:$F,0)</f>
        <v>0</v>
      </c>
      <c r="B310">
        <v>1</v>
      </c>
      <c r="C310" s="3" t="d">
        <v>2026-07-03</v>
      </c>
      <c r="D310" s="3"/>
      <c r="E310" s="26" t="s">
        <v>410</v>
      </c>
      <c r="F310" s="26" t="s">
        <v>27</v>
      </c>
      <c r="G310" s="26" t="s">
        <v>28</v>
      </c>
      <c r="H310" s="26" t="s">
        <v>118</v>
      </c>
      <c r="I310" s="26">
        <v>56629</v>
      </c>
      <c r="J310" s="26">
        <v>110691</v>
      </c>
      <c r="K310" s="26">
        <v>29316</v>
      </c>
      <c r="L310" s="26">
        <v>34408155</v>
      </c>
      <c r="M310" s="26">
        <v>25648</v>
      </c>
      <c r="N310" s="26">
        <v>618993</v>
      </c>
      <c r="O310" s="26">
        <v>31563</v>
      </c>
      <c r="P310" s="26">
        <v>3250</v>
      </c>
      <c r="Q310" s="26">
        <v>73851009</v>
      </c>
      <c r="R310" s="26">
        <v>371391</v>
      </c>
      <c r="S310" s="26">
        <v>52302</v>
      </c>
      <c r="T310" s="26">
        <v>216082</v>
      </c>
      <c r="U310" s="26">
        <v>126685</v>
      </c>
      <c r="V310" s="26">
        <v>11350</v>
      </c>
      <c r="W310" s="26">
        <v>153</v>
      </c>
      <c r="X310" s="26" t="s">
        <v>31</v>
      </c>
      <c r="Y310" s="26">
        <v>102187</v>
      </c>
      <c r="Z310" s="26">
        <v>23181</v>
      </c>
      <c r="AA310" s="26">
        <v>66</v>
      </c>
      <c r="AB310" s="26">
        <v>0</v>
      </c>
      <c r="AC310" s="26">
        <v>0</v>
      </c>
      <c r="AD310" s="26">
        <v>114.014244348178</v>
      </c>
    </row>
    <row r="311" spans="1:30" x14ac:dyDescent="0.2">
      <c r="A311">
        <f>_xlfn.XLOOKUP(E311,Lookups!$E:$E,Lookups!$F:$F,0)</f>
        <v>0</v>
      </c>
      <c r="B311">
        <v>1</v>
      </c>
      <c r="C311" s="3" t="d">
        <v>2026-07-03</v>
      </c>
      <c r="D311" s="3"/>
      <c r="E311" s="26" t="s">
        <v>601</v>
      </c>
      <c r="F311" s="26" t="s">
        <v>602</v>
      </c>
      <c r="G311" s="26" t="s">
        <v>28</v>
      </c>
      <c r="H311" s="26" t="s">
        <v>40</v>
      </c>
      <c r="I311" s="26">
        <v>56651</v>
      </c>
      <c r="J311" s="26">
        <v>31853</v>
      </c>
      <c r="K311" s="26">
        <v>2485</v>
      </c>
      <c r="L311" s="26">
        <v>27543642</v>
      </c>
      <c r="M311" s="26">
        <v>862412</v>
      </c>
      <c r="N311" s="26">
        <v>849099</v>
      </c>
      <c r="O311" s="26">
        <v>79099</v>
      </c>
      <c r="P311" s="26">
        <v>3740</v>
      </c>
      <c r="Q311" s="26">
        <v>1796489</v>
      </c>
      <c r="R311" s="26">
        <v>19652</v>
      </c>
      <c r="S311" s="26">
        <v>60226</v>
      </c>
      <c r="T311" s="26" t="s">
        <v>31</v>
      </c>
      <c r="U311" s="26">
        <v>20558</v>
      </c>
      <c r="V311" s="26" t="s">
        <v>31</v>
      </c>
      <c r="W311" s="26">
        <v>57</v>
      </c>
      <c r="X311" s="26">
        <v>1164</v>
      </c>
      <c r="Y311" s="26">
        <v>81936</v>
      </c>
      <c r="Z311" s="26">
        <v>6248</v>
      </c>
      <c r="AA311" s="26">
        <v>45</v>
      </c>
      <c r="AB311" s="26">
        <v>3</v>
      </c>
      <c r="AC311" s="26">
        <v>38</v>
      </c>
      <c r="AD311" s="26">
        <v>449.86340815306301</v>
      </c>
    </row>
    <row r="312" spans="1:30" x14ac:dyDescent="0.2">
      <c r="A312">
        <f>_xlfn.XLOOKUP(E312,Lookups!$E:$E,Lookups!$F:$F,0)</f>
        <v>0</v>
      </c>
      <c r="B312">
        <v>1</v>
      </c>
      <c r="C312" s="3" t="d">
        <v>2026-07-03</v>
      </c>
      <c r="D312" s="3"/>
      <c r="E312" s="26" t="s">
        <v>425</v>
      </c>
      <c r="F312" s="26" t="s">
        <v>27</v>
      </c>
      <c r="G312" s="26" t="s">
        <v>28</v>
      </c>
      <c r="H312" s="26" t="s">
        <v>44</v>
      </c>
      <c r="I312" s="26">
        <v>56658</v>
      </c>
      <c r="J312" s="26">
        <v>122440</v>
      </c>
      <c r="K312" s="26">
        <v>24716</v>
      </c>
      <c r="L312" s="26">
        <v>12889389</v>
      </c>
      <c r="M312" s="26">
        <v>33775</v>
      </c>
      <c r="N312" s="26">
        <v>107724</v>
      </c>
      <c r="O312" s="26">
        <v>292665</v>
      </c>
      <c r="P312" s="26">
        <v>1100</v>
      </c>
      <c r="Q312" s="26">
        <v>88146</v>
      </c>
      <c r="R312" s="26">
        <v>2924</v>
      </c>
      <c r="S312" s="26">
        <v>19132</v>
      </c>
      <c r="T312" s="26">
        <v>1000000</v>
      </c>
      <c r="U312" s="26">
        <v>292102</v>
      </c>
      <c r="V312" s="26">
        <v>54501</v>
      </c>
      <c r="W312" s="26">
        <v>25</v>
      </c>
      <c r="X312" s="26" t="s">
        <v>31</v>
      </c>
      <c r="Y312" s="26">
        <v>126545</v>
      </c>
      <c r="Z312" s="26">
        <v>22446</v>
      </c>
      <c r="AA312" s="26">
        <v>43</v>
      </c>
      <c r="AB312" s="26">
        <v>1</v>
      </c>
      <c r="AC312" s="26">
        <v>18</v>
      </c>
      <c r="AD312" s="26">
        <v>65.944185250784201</v>
      </c>
    </row>
    <row r="313" spans="1:30" x14ac:dyDescent="0.2">
      <c r="A313">
        <f>_xlfn.XLOOKUP(E313,Lookups!$E:$E,Lookups!$F:$F,0)</f>
        <v>0</v>
      </c>
      <c r="B313">
        <v>1</v>
      </c>
      <c r="C313" s="3" t="d">
        <v>2026-07-03</v>
      </c>
      <c r="D313" s="3"/>
      <c r="E313" s="26" t="s">
        <v>209</v>
      </c>
      <c r="F313" s="26" t="s">
        <v>27</v>
      </c>
      <c r="G313" s="26" t="s">
        <v>28</v>
      </c>
      <c r="H313" s="26" t="s">
        <v>46</v>
      </c>
      <c r="I313" s="26">
        <v>56869</v>
      </c>
      <c r="J313" s="26">
        <v>45835</v>
      </c>
      <c r="K313" s="26">
        <v>152637</v>
      </c>
      <c r="L313" s="26">
        <v>42202653</v>
      </c>
      <c r="M313" s="26">
        <v>116145</v>
      </c>
      <c r="N313" s="26">
        <v>261663</v>
      </c>
      <c r="O313" s="26">
        <v>96638</v>
      </c>
      <c r="P313" s="26">
        <v>70000</v>
      </c>
      <c r="Q313" s="26" t="s">
        <v>31</v>
      </c>
      <c r="R313" s="26" t="s">
        <v>31</v>
      </c>
      <c r="S313" s="26">
        <v>98547</v>
      </c>
      <c r="T313" s="26">
        <v>4484</v>
      </c>
      <c r="U313" s="26">
        <v>14503</v>
      </c>
      <c r="V313" s="26">
        <v>169793</v>
      </c>
      <c r="W313" s="26">
        <v>244</v>
      </c>
      <c r="X313" s="26" t="s">
        <v>31</v>
      </c>
      <c r="Y313" s="26">
        <v>89048</v>
      </c>
      <c r="Z313" s="26">
        <v>32788</v>
      </c>
      <c r="AA313" s="26">
        <v>34</v>
      </c>
      <c r="AB313" s="26">
        <v>0</v>
      </c>
      <c r="AC313" s="26">
        <v>0</v>
      </c>
      <c r="AD313" s="26">
        <v>36.063204983923796</v>
      </c>
    </row>
    <row r="314" spans="1:30" x14ac:dyDescent="0.2">
      <c r="A314">
        <f>_xlfn.XLOOKUP(E314,Lookups!$E:$E,Lookups!$F:$F,0)</f>
        <v>0</v>
      </c>
      <c r="B314">
        <v>1</v>
      </c>
      <c r="C314" s="3" t="d">
        <v>2026-07-03</v>
      </c>
      <c r="D314" s="3"/>
      <c r="E314" s="26" t="s">
        <v>603</v>
      </c>
      <c r="F314" s="26" t="s">
        <v>593</v>
      </c>
      <c r="G314" s="26" t="s">
        <v>36</v>
      </c>
      <c r="H314" s="26" t="s">
        <v>95</v>
      </c>
      <c r="I314" s="26">
        <v>56939</v>
      </c>
      <c r="J314" s="26">
        <v>186202</v>
      </c>
      <c r="K314" s="26">
        <v>2807</v>
      </c>
      <c r="L314" s="26">
        <v>1219503</v>
      </c>
      <c r="M314" s="26">
        <v>65012</v>
      </c>
      <c r="N314" s="26">
        <v>9</v>
      </c>
      <c r="O314" s="26">
        <v>18546</v>
      </c>
      <c r="P314" s="26">
        <v>44000</v>
      </c>
      <c r="Q314" s="26">
        <v>18540862</v>
      </c>
      <c r="R314" s="26">
        <v>81724</v>
      </c>
      <c r="S314" s="26">
        <v>32732</v>
      </c>
      <c r="T314" s="26">
        <v>188780</v>
      </c>
      <c r="U314" s="26" t="s">
        <v>31</v>
      </c>
      <c r="V314" s="26">
        <v>9227</v>
      </c>
      <c r="W314" s="26">
        <v>55</v>
      </c>
      <c r="X314" s="26" t="s">
        <v>31</v>
      </c>
      <c r="Y314" s="26">
        <v>274427</v>
      </c>
      <c r="Z314" s="26" t="s">
        <v>31</v>
      </c>
      <c r="AA314" s="26" t="s">
        <v>31</v>
      </c>
      <c r="AB314" s="26" t="s">
        <v>31</v>
      </c>
      <c r="AC314" s="26" t="s">
        <v>31</v>
      </c>
      <c r="AD314" s="26" t="s">
        <v>31</v>
      </c>
    </row>
    <row r="315" spans="1:30" x14ac:dyDescent="0.2">
      <c r="A315">
        <f>_xlfn.XLOOKUP(E315,Lookups!$E:$E,Lookups!$F:$F,0)</f>
        <v>0</v>
      </c>
      <c r="B315">
        <v>1</v>
      </c>
      <c r="C315" s="3" t="d">
        <v>2026-07-03</v>
      </c>
      <c r="D315" s="3"/>
      <c r="E315" s="26" t="s">
        <v>263</v>
      </c>
      <c r="F315" s="26" t="s">
        <v>27</v>
      </c>
      <c r="G315" s="26" t="s">
        <v>28</v>
      </c>
      <c r="H315" s="26" t="s">
        <v>46</v>
      </c>
      <c r="I315" s="26">
        <v>57151</v>
      </c>
      <c r="J315" s="26">
        <v>43547</v>
      </c>
      <c r="K315" s="26">
        <v>96549</v>
      </c>
      <c r="L315" s="26">
        <v>48484181</v>
      </c>
      <c r="M315" s="26">
        <v>343207</v>
      </c>
      <c r="N315" s="26">
        <v>352686</v>
      </c>
      <c r="O315" s="26">
        <v>613359</v>
      </c>
      <c r="P315" s="26" t="s">
        <v>31</v>
      </c>
      <c r="Q315" s="26" t="s">
        <v>31</v>
      </c>
      <c r="R315" s="26" t="s">
        <v>31</v>
      </c>
      <c r="S315" s="26">
        <v>270642</v>
      </c>
      <c r="T315" s="26">
        <v>42164</v>
      </c>
      <c r="U315" s="26" t="s">
        <v>31</v>
      </c>
      <c r="V315" s="26" t="s">
        <v>31</v>
      </c>
      <c r="W315" s="26">
        <v>89</v>
      </c>
      <c r="X315" s="26">
        <v>56</v>
      </c>
      <c r="Y315" s="26">
        <v>308871</v>
      </c>
      <c r="Z315" s="26" t="s">
        <v>31</v>
      </c>
      <c r="AA315" s="26" t="s">
        <v>31</v>
      </c>
      <c r="AB315" s="26" t="s">
        <v>31</v>
      </c>
      <c r="AC315" s="26" t="s">
        <v>31</v>
      </c>
      <c r="AD315" s="26" t="s">
        <v>31</v>
      </c>
    </row>
    <row r="316" spans="1:30" x14ac:dyDescent="0.2">
      <c r="A316">
        <f>_xlfn.XLOOKUP(E316,Lookups!$E:$E,Lookups!$F:$F,0)</f>
        <v>0</v>
      </c>
      <c r="B316">
        <v>1</v>
      </c>
      <c r="C316" s="3" t="d">
        <v>2026-07-03</v>
      </c>
      <c r="D316" s="3"/>
      <c r="E316" s="26" t="s">
        <v>302</v>
      </c>
      <c r="F316" s="26" t="s">
        <v>27</v>
      </c>
      <c r="G316" s="26" t="s">
        <v>28</v>
      </c>
      <c r="H316" s="26" t="s">
        <v>95</v>
      </c>
      <c r="I316" s="26">
        <v>57210</v>
      </c>
      <c r="J316" s="26">
        <v>86155</v>
      </c>
      <c r="K316" s="26">
        <v>67248</v>
      </c>
      <c r="L316" s="26">
        <v>19407749</v>
      </c>
      <c r="M316" s="26">
        <v>73690</v>
      </c>
      <c r="N316" s="26">
        <v>824809</v>
      </c>
      <c r="O316" s="26">
        <v>82936</v>
      </c>
      <c r="P316" s="26">
        <v>11400</v>
      </c>
      <c r="Q316" s="26">
        <v>2500584</v>
      </c>
      <c r="R316" s="26">
        <v>26567</v>
      </c>
      <c r="S316" s="26">
        <v>36108</v>
      </c>
      <c r="T316" s="26">
        <v>126335</v>
      </c>
      <c r="U316" s="26">
        <v>131170</v>
      </c>
      <c r="V316" s="26">
        <v>140542</v>
      </c>
      <c r="W316" s="26">
        <v>412</v>
      </c>
      <c r="X316" s="26">
        <v>2285</v>
      </c>
      <c r="Y316" s="26">
        <v>120112</v>
      </c>
      <c r="Z316" s="26">
        <v>47181</v>
      </c>
      <c r="AA316" s="26">
        <v>45</v>
      </c>
      <c r="AB316" s="26">
        <v>1</v>
      </c>
      <c r="AC316" s="26">
        <v>8</v>
      </c>
      <c r="AD316" s="26">
        <v>30.8579018746386</v>
      </c>
    </row>
    <row r="317" spans="1:30" x14ac:dyDescent="0.2">
      <c r="A317">
        <f>_xlfn.XLOOKUP(E317,Lookups!$E:$E,Lookups!$F:$F,0)</f>
        <v>0</v>
      </c>
      <c r="B317">
        <v>1</v>
      </c>
      <c r="C317" s="3" t="d">
        <v>2026-07-03</v>
      </c>
      <c r="D317" s="3"/>
      <c r="E317" s="26" t="s">
        <v>389</v>
      </c>
      <c r="F317" s="26" t="s">
        <v>27</v>
      </c>
      <c r="G317" s="26" t="s">
        <v>28</v>
      </c>
      <c r="H317" s="26" t="s">
        <v>31</v>
      </c>
      <c r="I317" s="26">
        <v>57320</v>
      </c>
      <c r="J317" s="26">
        <v>56045</v>
      </c>
      <c r="K317" s="26">
        <v>34911</v>
      </c>
      <c r="L317" s="26">
        <v>22243003</v>
      </c>
      <c r="M317" s="26">
        <v>303719</v>
      </c>
      <c r="N317" s="26">
        <v>562987</v>
      </c>
      <c r="O317" s="26">
        <v>613359</v>
      </c>
      <c r="P317" s="26" t="s">
        <v>31</v>
      </c>
      <c r="Q317" s="26" t="s">
        <v>31</v>
      </c>
      <c r="R317" s="26" t="s">
        <v>31</v>
      </c>
      <c r="S317" s="26">
        <v>834709</v>
      </c>
      <c r="T317" s="26" t="s">
        <v>31</v>
      </c>
      <c r="U317" s="26" t="s">
        <v>31</v>
      </c>
      <c r="V317" s="26" t="s">
        <v>31</v>
      </c>
      <c r="W317" s="26" t="s">
        <v>31</v>
      </c>
      <c r="X317" s="26">
        <v>239</v>
      </c>
      <c r="Y317" s="26">
        <v>190223</v>
      </c>
      <c r="Z317" s="26" t="s">
        <v>31</v>
      </c>
      <c r="AA317" s="26" t="s">
        <v>31</v>
      </c>
      <c r="AB317" s="26" t="s">
        <v>31</v>
      </c>
      <c r="AC317" s="26" t="s">
        <v>31</v>
      </c>
      <c r="AD317" s="26" t="s">
        <v>31</v>
      </c>
    </row>
    <row r="318" spans="1:30" x14ac:dyDescent="0.2">
      <c r="A318">
        <f>_xlfn.XLOOKUP(E318,Lookups!$E:$E,Lookups!$F:$F,0)</f>
        <v>0</v>
      </c>
      <c r="B318">
        <v>1</v>
      </c>
      <c r="C318" s="3" t="d">
        <v>2026-07-03</v>
      </c>
      <c r="D318" s="3"/>
      <c r="E318" s="26" t="s">
        <v>279</v>
      </c>
      <c r="F318" s="26" t="s">
        <v>27</v>
      </c>
      <c r="G318" s="26" t="s">
        <v>28</v>
      </c>
      <c r="H318" s="26" t="s">
        <v>62</v>
      </c>
      <c r="I318" s="26">
        <v>57377</v>
      </c>
      <c r="J318" s="26">
        <v>67517</v>
      </c>
      <c r="K318" s="26">
        <v>84595</v>
      </c>
      <c r="L318" s="26">
        <v>28796987</v>
      </c>
      <c r="M318" s="26">
        <v>100132</v>
      </c>
      <c r="N318" s="26">
        <v>333098</v>
      </c>
      <c r="O318" s="26">
        <v>125672</v>
      </c>
      <c r="P318" s="26">
        <v>9640</v>
      </c>
      <c r="Q318" s="26">
        <v>794139</v>
      </c>
      <c r="R318" s="26">
        <v>19465</v>
      </c>
      <c r="S318" s="26">
        <v>47836</v>
      </c>
      <c r="T318" s="26">
        <v>80781</v>
      </c>
      <c r="U318" s="26">
        <v>151177</v>
      </c>
      <c r="V318" s="26">
        <v>28435</v>
      </c>
      <c r="W318" s="26">
        <v>278</v>
      </c>
      <c r="X318" s="26" t="s">
        <v>31</v>
      </c>
      <c r="Y318" s="26">
        <v>106570</v>
      </c>
      <c r="Z318" s="26">
        <v>31094</v>
      </c>
      <c r="AA318" s="26">
        <v>88</v>
      </c>
      <c r="AB318" s="26">
        <v>0</v>
      </c>
      <c r="AC318" s="26">
        <v>0</v>
      </c>
      <c r="AD318" s="26">
        <v>73.9225457891079</v>
      </c>
    </row>
    <row r="319" spans="1:30" x14ac:dyDescent="0.2">
      <c r="A319">
        <f>_xlfn.XLOOKUP(E319,Lookups!$E:$E,Lookups!$F:$F,0)</f>
        <v>0</v>
      </c>
      <c r="B319">
        <v>1</v>
      </c>
      <c r="C319" s="3" t="d">
        <v>2026-07-03</v>
      </c>
      <c r="D319" s="3"/>
      <c r="E319" s="26" t="s">
        <v>392</v>
      </c>
      <c r="F319" s="26" t="s">
        <v>27</v>
      </c>
      <c r="G319" s="26" t="s">
        <v>28</v>
      </c>
      <c r="H319" s="26" t="s">
        <v>138</v>
      </c>
      <c r="I319" s="26">
        <v>57543</v>
      </c>
      <c r="J319" s="26">
        <v>48305</v>
      </c>
      <c r="K319" s="26">
        <v>33942</v>
      </c>
      <c r="L319" s="26">
        <v>17511430</v>
      </c>
      <c r="M319" s="26">
        <v>286611</v>
      </c>
      <c r="N319" s="26">
        <v>3483392</v>
      </c>
      <c r="O319" s="26">
        <v>613359</v>
      </c>
      <c r="P319" s="26" t="s">
        <v>31</v>
      </c>
      <c r="Q319" s="26" t="s">
        <v>31</v>
      </c>
      <c r="R319" s="26" t="s">
        <v>31</v>
      </c>
      <c r="S319" s="26">
        <v>834709</v>
      </c>
      <c r="T319" s="26" t="s">
        <v>31</v>
      </c>
      <c r="U319" s="26" t="s">
        <v>31</v>
      </c>
      <c r="V319" s="26" t="s">
        <v>31</v>
      </c>
      <c r="W319" s="26">
        <v>62</v>
      </c>
      <c r="X319" s="26" t="s">
        <v>31</v>
      </c>
      <c r="Y319" s="26">
        <v>338080</v>
      </c>
      <c r="Z319" s="26">
        <v>9338</v>
      </c>
      <c r="AA319" s="26">
        <v>151</v>
      </c>
      <c r="AB319" s="26">
        <v>0</v>
      </c>
      <c r="AC319" s="26">
        <v>0</v>
      </c>
      <c r="AD319" s="26">
        <v>248.92257751944999</v>
      </c>
    </row>
    <row r="320" spans="1:30" x14ac:dyDescent="0.2">
      <c r="A320">
        <f>_xlfn.XLOOKUP(E320,Lookups!$E:$E,Lookups!$F:$F,0)</f>
        <v>0</v>
      </c>
      <c r="B320">
        <v>1</v>
      </c>
      <c r="C320" s="3" t="d">
        <v>2026-07-03</v>
      </c>
      <c r="D320" s="3"/>
      <c r="E320" s="26" t="s">
        <v>315</v>
      </c>
      <c r="F320" s="26" t="s">
        <v>27</v>
      </c>
      <c r="G320" s="26" t="s">
        <v>28</v>
      </c>
      <c r="H320" s="26" t="s">
        <v>46</v>
      </c>
      <c r="I320" s="26">
        <v>58027</v>
      </c>
      <c r="J320" s="26">
        <v>36820</v>
      </c>
      <c r="K320" s="26">
        <v>62022</v>
      </c>
      <c r="L320" s="26">
        <v>31711995</v>
      </c>
      <c r="M320" s="26">
        <v>520521</v>
      </c>
      <c r="N320" s="26">
        <v>2947603</v>
      </c>
      <c r="O320" s="26">
        <v>613359</v>
      </c>
      <c r="P320" s="26" t="s">
        <v>31</v>
      </c>
      <c r="Q320" s="26" t="s">
        <v>31</v>
      </c>
      <c r="R320" s="26" t="s">
        <v>31</v>
      </c>
      <c r="S320" s="26">
        <v>834709</v>
      </c>
      <c r="T320" s="26" t="s">
        <v>31</v>
      </c>
      <c r="U320" s="26" t="s">
        <v>31</v>
      </c>
      <c r="V320" s="26" t="s">
        <v>31</v>
      </c>
      <c r="W320" s="26">
        <v>19</v>
      </c>
      <c r="X320" s="26" t="s">
        <v>31</v>
      </c>
      <c r="Y320" s="26">
        <v>466238</v>
      </c>
      <c r="Z320" s="26" t="s">
        <v>31</v>
      </c>
      <c r="AA320" s="26" t="s">
        <v>31</v>
      </c>
      <c r="AB320" s="26" t="s">
        <v>31</v>
      </c>
      <c r="AC320" s="26" t="s">
        <v>31</v>
      </c>
      <c r="AD320" s="26" t="s">
        <v>31</v>
      </c>
    </row>
    <row r="321" spans="1:30" x14ac:dyDescent="0.2">
      <c r="A321">
        <f>_xlfn.XLOOKUP(E321,Lookups!$E:$E,Lookups!$F:$F,0)</f>
        <v>0</v>
      </c>
      <c r="B321">
        <v>1</v>
      </c>
      <c r="C321" s="3" t="d">
        <v>2026-07-03</v>
      </c>
      <c r="D321" s="3"/>
      <c r="E321" s="26" t="s">
        <v>366</v>
      </c>
      <c r="F321" s="26" t="s">
        <v>27</v>
      </c>
      <c r="G321" s="26" t="s">
        <v>36</v>
      </c>
      <c r="H321" s="26" t="s">
        <v>72</v>
      </c>
      <c r="I321" s="26">
        <v>58063</v>
      </c>
      <c r="J321" s="26">
        <v>73507</v>
      </c>
      <c r="K321" s="26">
        <v>42687</v>
      </c>
      <c r="L321" s="26">
        <v>16379868</v>
      </c>
      <c r="M321" s="26">
        <v>158174</v>
      </c>
      <c r="N321" s="26">
        <v>172757</v>
      </c>
      <c r="O321" s="26">
        <v>35286</v>
      </c>
      <c r="P321" s="26">
        <v>33700</v>
      </c>
      <c r="Q321" s="26">
        <v>19578512</v>
      </c>
      <c r="R321" s="26">
        <v>102938</v>
      </c>
      <c r="S321" s="26">
        <v>80233</v>
      </c>
      <c r="T321" s="26">
        <v>108170</v>
      </c>
      <c r="U321" s="26">
        <v>59199</v>
      </c>
      <c r="V321" s="26">
        <v>10533</v>
      </c>
      <c r="W321" s="26">
        <v>3430</v>
      </c>
      <c r="X321" s="26" t="s">
        <v>31</v>
      </c>
      <c r="Y321" s="26">
        <v>466238</v>
      </c>
      <c r="Z321" s="26">
        <v>64814</v>
      </c>
      <c r="AA321" s="26">
        <v>21</v>
      </c>
      <c r="AB321" s="26">
        <v>0</v>
      </c>
      <c r="AC321" s="26">
        <v>0</v>
      </c>
      <c r="AD321" s="26">
        <v>19.517381007773999</v>
      </c>
    </row>
    <row r="322" spans="1:30" x14ac:dyDescent="0.2">
      <c r="A322">
        <f>_xlfn.XLOOKUP(E322,Lookups!$E:$E,Lookups!$F:$F,0)</f>
        <v>0</v>
      </c>
      <c r="B322">
        <v>1</v>
      </c>
      <c r="C322" s="3" t="d">
        <v>2026-07-03</v>
      </c>
      <c r="D322" s="3"/>
      <c r="E322" s="26" t="s">
        <v>423</v>
      </c>
      <c r="F322" s="26" t="s">
        <v>342</v>
      </c>
      <c r="G322" s="26" t="s">
        <v>77</v>
      </c>
      <c r="H322" s="26" t="s">
        <v>31</v>
      </c>
      <c r="I322" s="26">
        <v>58146</v>
      </c>
      <c r="J322" s="26">
        <v>141015</v>
      </c>
      <c r="K322" s="26">
        <v>25100</v>
      </c>
      <c r="L322" s="26">
        <v>4719947</v>
      </c>
      <c r="M322" s="26">
        <v>32857</v>
      </c>
      <c r="N322" s="26">
        <v>21171</v>
      </c>
      <c r="O322" s="26">
        <v>29437</v>
      </c>
      <c r="P322" s="26">
        <v>53800</v>
      </c>
      <c r="Q322" s="26">
        <v>6520430</v>
      </c>
      <c r="R322" s="26">
        <v>113795</v>
      </c>
      <c r="S322" s="26">
        <v>22040</v>
      </c>
      <c r="T322" s="26">
        <v>150539</v>
      </c>
      <c r="U322" s="26">
        <v>18054</v>
      </c>
      <c r="V322" s="26">
        <v>185446</v>
      </c>
      <c r="W322" s="26">
        <v>144</v>
      </c>
      <c r="X322" s="26" t="s">
        <v>31</v>
      </c>
      <c r="Y322" s="26">
        <v>74176</v>
      </c>
      <c r="Z322" s="26" t="s">
        <v>31</v>
      </c>
      <c r="AA322" s="26" t="s">
        <v>31</v>
      </c>
      <c r="AB322" s="26" t="s">
        <v>31</v>
      </c>
      <c r="AC322" s="26" t="s">
        <v>31</v>
      </c>
      <c r="AD322" s="26" t="s">
        <v>31</v>
      </c>
    </row>
    <row r="323" spans="1:30" x14ac:dyDescent="0.2">
      <c r="A323">
        <f>_xlfn.XLOOKUP(E323,Lookups!$E:$E,Lookups!$F:$F,0)</f>
        <v>0</v>
      </c>
      <c r="B323">
        <v>1</v>
      </c>
      <c r="C323" s="3" t="d">
        <v>2026-07-03</v>
      </c>
      <c r="D323" s="3"/>
      <c r="E323" s="26" t="s">
        <v>604</v>
      </c>
      <c r="F323" s="26" t="s">
        <v>27</v>
      </c>
      <c r="G323" s="26" t="s">
        <v>28</v>
      </c>
      <c r="H323" s="26" t="s">
        <v>46</v>
      </c>
      <c r="I323" s="26">
        <v>58267</v>
      </c>
      <c r="J323" s="26">
        <v>57573</v>
      </c>
      <c r="K323" s="26">
        <v>6629</v>
      </c>
      <c r="L323" s="26">
        <v>43919697</v>
      </c>
      <c r="M323" s="26">
        <v>367284</v>
      </c>
      <c r="N323" s="26">
        <v>1914689</v>
      </c>
      <c r="O323" s="26">
        <v>393188</v>
      </c>
      <c r="P323" s="26">
        <v>51</v>
      </c>
      <c r="Q323" s="26">
        <v>926</v>
      </c>
      <c r="R323" s="26">
        <v>27</v>
      </c>
      <c r="S323" s="26">
        <v>267923</v>
      </c>
      <c r="T323" s="26">
        <v>6095</v>
      </c>
      <c r="U323" s="26">
        <v>4772</v>
      </c>
      <c r="V323" s="26">
        <v>822</v>
      </c>
      <c r="W323" s="26">
        <v>11</v>
      </c>
      <c r="X323" s="26" t="s">
        <v>31</v>
      </c>
      <c r="Y323" s="26">
        <v>322792</v>
      </c>
      <c r="Z323" s="26">
        <v>39381</v>
      </c>
      <c r="AA323" s="26">
        <v>37</v>
      </c>
      <c r="AB323" s="26">
        <v>0</v>
      </c>
      <c r="AC323" s="26">
        <v>0</v>
      </c>
      <c r="AD323" s="26">
        <v>35.683404575345001</v>
      </c>
    </row>
    <row r="324" spans="1:30" x14ac:dyDescent="0.2">
      <c r="A324">
        <f>_xlfn.XLOOKUP(E324,Lookups!$E:$E,Lookups!$F:$F,0)</f>
        <v>0</v>
      </c>
      <c r="B324">
        <v>1</v>
      </c>
      <c r="C324" s="3" t="d">
        <v>2026-07-03</v>
      </c>
      <c r="D324" s="3"/>
      <c r="E324" s="26" t="s">
        <v>272</v>
      </c>
      <c r="F324" s="26" t="s">
        <v>27</v>
      </c>
      <c r="G324" s="26" t="s">
        <v>28</v>
      </c>
      <c r="H324" s="26" t="s">
        <v>40</v>
      </c>
      <c r="I324" s="26">
        <v>58361</v>
      </c>
      <c r="J324" s="26">
        <v>48356</v>
      </c>
      <c r="K324" s="26">
        <v>89808</v>
      </c>
      <c r="L324" s="26">
        <v>29287487</v>
      </c>
      <c r="M324" s="26">
        <v>284016</v>
      </c>
      <c r="N324" s="26">
        <v>385088</v>
      </c>
      <c r="O324" s="26">
        <v>58721</v>
      </c>
      <c r="P324" s="26">
        <v>28100</v>
      </c>
      <c r="Q324" s="26">
        <v>4689879</v>
      </c>
      <c r="R324" s="26">
        <v>69464</v>
      </c>
      <c r="S324" s="26">
        <v>168124</v>
      </c>
      <c r="T324" s="26">
        <v>17800</v>
      </c>
      <c r="U324" s="26">
        <v>10441</v>
      </c>
      <c r="V324" s="26">
        <v>12589</v>
      </c>
      <c r="W324" s="26">
        <v>6034</v>
      </c>
      <c r="X324" s="26">
        <v>48</v>
      </c>
      <c r="Y324" s="26">
        <v>98033</v>
      </c>
      <c r="Z324" s="26">
        <v>70362</v>
      </c>
      <c r="AA324" s="26">
        <v>41</v>
      </c>
      <c r="AB324" s="26">
        <v>0</v>
      </c>
      <c r="AC324" s="26">
        <v>0</v>
      </c>
      <c r="AD324" s="26">
        <v>18.207661777882301</v>
      </c>
    </row>
    <row r="325" spans="1:30" x14ac:dyDescent="0.2">
      <c r="A325">
        <f>_xlfn.XLOOKUP(E325,Lookups!$E:$E,Lookups!$F:$F,0)</f>
        <v>0</v>
      </c>
      <c r="B325">
        <v>1</v>
      </c>
      <c r="C325" s="3" t="d">
        <v>2026-07-03</v>
      </c>
      <c r="D325" s="3"/>
      <c r="E325" s="26" t="s">
        <v>605</v>
      </c>
      <c r="F325" s="26" t="s">
        <v>27</v>
      </c>
      <c r="G325" s="26" t="s">
        <v>28</v>
      </c>
      <c r="H325" s="26" t="s">
        <v>31</v>
      </c>
      <c r="I325" s="26">
        <v>58471</v>
      </c>
      <c r="J325" s="26">
        <v>41612</v>
      </c>
      <c r="K325" s="26">
        <v>11757</v>
      </c>
      <c r="L325" s="26">
        <v>18187218</v>
      </c>
      <c r="M325" s="26">
        <v>639490</v>
      </c>
      <c r="N325" s="26">
        <v>1701548</v>
      </c>
      <c r="O325" s="26">
        <v>613359</v>
      </c>
      <c r="P325" s="26" t="s">
        <v>31</v>
      </c>
      <c r="Q325" s="26" t="s">
        <v>31</v>
      </c>
      <c r="R325" s="26" t="s">
        <v>31</v>
      </c>
      <c r="S325" s="26">
        <v>834709</v>
      </c>
      <c r="T325" s="26" t="s">
        <v>31</v>
      </c>
      <c r="U325" s="26" t="s">
        <v>31</v>
      </c>
      <c r="V325" s="26" t="s">
        <v>31</v>
      </c>
      <c r="W325" s="26" t="s">
        <v>31</v>
      </c>
      <c r="X325" s="26">
        <v>34</v>
      </c>
      <c r="Y325" s="26">
        <v>466238</v>
      </c>
      <c r="Z325" s="26">
        <v>57531</v>
      </c>
      <c r="AA325" s="26">
        <v>17</v>
      </c>
      <c r="AB325" s="26">
        <v>0</v>
      </c>
      <c r="AC325" s="26">
        <v>0</v>
      </c>
      <c r="AD325" s="26">
        <v>10.965672894273601</v>
      </c>
    </row>
    <row r="326" spans="1:30" x14ac:dyDescent="0.2">
      <c r="A326">
        <f>_xlfn.XLOOKUP(E326,Lookups!$E:$E,Lookups!$F:$F,0)</f>
        <v>0</v>
      </c>
      <c r="B326">
        <v>1</v>
      </c>
      <c r="C326" s="3" t="d">
        <v>2026-07-03</v>
      </c>
      <c r="D326" s="3"/>
      <c r="E326" s="26" t="s">
        <v>221</v>
      </c>
      <c r="F326" s="26" t="s">
        <v>27</v>
      </c>
      <c r="G326" s="26" t="s">
        <v>28</v>
      </c>
      <c r="H326" s="26" t="s">
        <v>37</v>
      </c>
      <c r="I326" s="26">
        <v>58503</v>
      </c>
      <c r="J326" s="26">
        <v>47097</v>
      </c>
      <c r="K326" s="26">
        <v>133852</v>
      </c>
      <c r="L326" s="26">
        <v>20305486</v>
      </c>
      <c r="M326" s="26">
        <v>262726</v>
      </c>
      <c r="N326" s="26">
        <v>583071</v>
      </c>
      <c r="O326" s="26">
        <v>52618</v>
      </c>
      <c r="P326" s="26">
        <v>35200</v>
      </c>
      <c r="Q326" s="26">
        <v>9715990</v>
      </c>
      <c r="R326" s="26">
        <v>67720</v>
      </c>
      <c r="S326" s="26">
        <v>834709</v>
      </c>
      <c r="T326" s="26" t="s">
        <v>31</v>
      </c>
      <c r="U326" s="26" t="s">
        <v>31</v>
      </c>
      <c r="V326" s="26" t="s">
        <v>31</v>
      </c>
      <c r="W326" s="26">
        <v>71</v>
      </c>
      <c r="X326" s="26" t="s">
        <v>31</v>
      </c>
      <c r="Y326" s="26">
        <v>158964</v>
      </c>
      <c r="Z326" s="26" t="s">
        <v>31</v>
      </c>
      <c r="AA326" s="26" t="s">
        <v>31</v>
      </c>
      <c r="AB326" s="26" t="s">
        <v>31</v>
      </c>
      <c r="AC326" s="26" t="s">
        <v>31</v>
      </c>
      <c r="AD326" s="26" t="s">
        <v>31</v>
      </c>
    </row>
    <row r="327" spans="1:30" x14ac:dyDescent="0.2">
      <c r="A327">
        <f>_xlfn.XLOOKUP(E327,Lookups!$E:$E,Lookups!$F:$F,0)</f>
        <v>0</v>
      </c>
      <c r="B327">
        <v>1</v>
      </c>
      <c r="C327" s="3" t="d">
        <v>2026-07-03</v>
      </c>
      <c r="D327" s="3"/>
      <c r="E327" s="26" t="s">
        <v>195</v>
      </c>
      <c r="F327" s="26" t="s">
        <v>27</v>
      </c>
      <c r="G327" s="26" t="s">
        <v>28</v>
      </c>
      <c r="H327" s="26" t="s">
        <v>46</v>
      </c>
      <c r="I327" s="26">
        <v>58651</v>
      </c>
      <c r="J327" s="26">
        <v>51266</v>
      </c>
      <c r="K327" s="26">
        <v>179788</v>
      </c>
      <c r="L327" s="26">
        <v>29427510</v>
      </c>
      <c r="M327" s="26">
        <v>103800</v>
      </c>
      <c r="N327" s="26">
        <v>741031</v>
      </c>
      <c r="O327" s="26">
        <v>613359</v>
      </c>
      <c r="P327" s="26" t="s">
        <v>31</v>
      </c>
      <c r="Q327" s="26" t="s">
        <v>31</v>
      </c>
      <c r="R327" s="26" t="s">
        <v>31</v>
      </c>
      <c r="S327" s="26">
        <v>79318</v>
      </c>
      <c r="T327" s="26" t="s">
        <v>31</v>
      </c>
      <c r="U327" s="26">
        <v>59507</v>
      </c>
      <c r="V327" s="26">
        <v>180575</v>
      </c>
      <c r="W327" s="26">
        <v>1088</v>
      </c>
      <c r="X327" s="26" t="s">
        <v>31</v>
      </c>
      <c r="Y327" s="26">
        <v>280829</v>
      </c>
      <c r="Z327" s="26">
        <v>27602</v>
      </c>
      <c r="AA327" s="26">
        <v>75</v>
      </c>
      <c r="AB327" s="26">
        <v>0</v>
      </c>
      <c r="AC327" s="26">
        <v>0</v>
      </c>
      <c r="AD327" s="26">
        <v>85.318765337048404</v>
      </c>
    </row>
    <row r="328" spans="1:30" x14ac:dyDescent="0.2">
      <c r="A328">
        <f>_xlfn.XLOOKUP(E328,Lookups!$E:$E,Lookups!$F:$F,0)</f>
        <v>0</v>
      </c>
      <c r="B328">
        <v>1</v>
      </c>
      <c r="C328" s="3" t="d">
        <v>2026-07-03</v>
      </c>
      <c r="D328" s="3"/>
      <c r="E328" s="26" t="s">
        <v>288</v>
      </c>
      <c r="F328" s="26" t="s">
        <v>27</v>
      </c>
      <c r="G328" s="26" t="s">
        <v>28</v>
      </c>
      <c r="H328" s="26" t="s">
        <v>46</v>
      </c>
      <c r="I328" s="26">
        <v>59467</v>
      </c>
      <c r="J328" s="26">
        <v>70866</v>
      </c>
      <c r="K328" s="26">
        <v>78821</v>
      </c>
      <c r="L328" s="26">
        <v>19400883</v>
      </c>
      <c r="M328" s="26">
        <v>111945</v>
      </c>
      <c r="N328" s="26">
        <v>340791</v>
      </c>
      <c r="O328" s="26">
        <v>86434</v>
      </c>
      <c r="P328" s="26">
        <v>21000</v>
      </c>
      <c r="Q328" s="26">
        <v>989344</v>
      </c>
      <c r="R328" s="26">
        <v>14501</v>
      </c>
      <c r="S328" s="26">
        <v>55333</v>
      </c>
      <c r="T328" s="26">
        <v>3170</v>
      </c>
      <c r="U328" s="26">
        <v>42710</v>
      </c>
      <c r="V328" s="26">
        <v>402897</v>
      </c>
      <c r="W328" s="26">
        <v>3112</v>
      </c>
      <c r="X328" s="26">
        <v>45</v>
      </c>
      <c r="Y328" s="26">
        <v>42764</v>
      </c>
      <c r="Z328" s="26">
        <v>22957</v>
      </c>
      <c r="AA328" s="26">
        <v>114</v>
      </c>
      <c r="AB328" s="26">
        <v>0</v>
      </c>
      <c r="AC328" s="26">
        <v>0</v>
      </c>
      <c r="AD328" s="26">
        <v>84.676709569340304</v>
      </c>
    </row>
    <row r="329" spans="1:30" x14ac:dyDescent="0.2">
      <c r="A329">
        <f>_xlfn.XLOOKUP(E329,Lookups!$E:$E,Lookups!$F:$F,0)</f>
        <v>0</v>
      </c>
      <c r="B329">
        <v>1</v>
      </c>
      <c r="C329" s="3" t="d">
        <v>2026-07-03</v>
      </c>
      <c r="D329" s="3"/>
      <c r="E329" s="26" t="s">
        <v>319</v>
      </c>
      <c r="F329" s="26" t="s">
        <v>27</v>
      </c>
      <c r="G329" s="26" t="s">
        <v>28</v>
      </c>
      <c r="H329" s="26" t="s">
        <v>46</v>
      </c>
      <c r="I329" s="26">
        <v>59812</v>
      </c>
      <c r="J329" s="26">
        <v>54246</v>
      </c>
      <c r="K329" s="26">
        <v>57880</v>
      </c>
      <c r="L329" s="26">
        <v>22095944</v>
      </c>
      <c r="M329" s="26">
        <v>180763</v>
      </c>
      <c r="N329" s="26">
        <v>373632</v>
      </c>
      <c r="O329" s="26">
        <v>613359</v>
      </c>
      <c r="P329" s="26" t="s">
        <v>31</v>
      </c>
      <c r="Q329" s="26" t="s">
        <v>31</v>
      </c>
      <c r="R329" s="26" t="s">
        <v>31</v>
      </c>
      <c r="S329" s="26">
        <v>28100</v>
      </c>
      <c r="T329" s="26">
        <v>183900</v>
      </c>
      <c r="U329" s="26" t="s">
        <v>31</v>
      </c>
      <c r="V329" s="26">
        <v>262186</v>
      </c>
      <c r="W329" s="26">
        <v>212</v>
      </c>
      <c r="X329" s="26" t="s">
        <v>31</v>
      </c>
      <c r="Y329" s="26">
        <v>248063</v>
      </c>
      <c r="Z329" s="26">
        <v>48398</v>
      </c>
      <c r="AA329" s="26">
        <v>13</v>
      </c>
      <c r="AB329" s="26">
        <v>0</v>
      </c>
      <c r="AC329" s="26">
        <v>0</v>
      </c>
      <c r="AD329" s="26">
        <v>17.966466572809299</v>
      </c>
    </row>
    <row r="330" spans="1:30" x14ac:dyDescent="0.2">
      <c r="A330">
        <f>_xlfn.XLOOKUP(E330,Lookups!$E:$E,Lookups!$F:$F,0)</f>
        <v>0</v>
      </c>
      <c r="B330">
        <v>1</v>
      </c>
      <c r="C330" s="3" t="d">
        <v>2026-07-03</v>
      </c>
      <c r="D330" s="3"/>
      <c r="E330" s="26" t="s">
        <v>606</v>
      </c>
      <c r="F330" s="26" t="s">
        <v>27</v>
      </c>
      <c r="G330" s="26" t="s">
        <v>28</v>
      </c>
      <c r="H330" s="26" t="s">
        <v>46</v>
      </c>
      <c r="I330" s="26">
        <v>59940</v>
      </c>
      <c r="J330" s="26">
        <v>56799</v>
      </c>
      <c r="K330" s="26">
        <v>3391</v>
      </c>
      <c r="L330" s="26">
        <v>138143591</v>
      </c>
      <c r="M330" s="26">
        <v>20741</v>
      </c>
      <c r="N330" s="26">
        <v>2955943</v>
      </c>
      <c r="O330" s="26">
        <v>613359</v>
      </c>
      <c r="P330" s="26" t="s">
        <v>31</v>
      </c>
      <c r="Q330" s="26" t="s">
        <v>31</v>
      </c>
      <c r="R330" s="26" t="s">
        <v>31</v>
      </c>
      <c r="S330" s="26">
        <v>834709</v>
      </c>
      <c r="T330" s="26" t="s">
        <v>31</v>
      </c>
      <c r="U330" s="26" t="s">
        <v>31</v>
      </c>
      <c r="V330" s="26" t="s">
        <v>31</v>
      </c>
      <c r="W330" s="26" t="s">
        <v>31</v>
      </c>
      <c r="X330" s="26" t="s">
        <v>31</v>
      </c>
      <c r="Y330" s="26">
        <v>466238</v>
      </c>
      <c r="Z330" s="26">
        <v>21174</v>
      </c>
      <c r="AA330" s="26">
        <v>39</v>
      </c>
      <c r="AB330" s="26">
        <v>0</v>
      </c>
      <c r="AC330" s="26">
        <v>0</v>
      </c>
      <c r="AD330" s="26">
        <v>68.830399513421099</v>
      </c>
    </row>
    <row r="331" spans="1:30" x14ac:dyDescent="0.2">
      <c r="A331">
        <f>_xlfn.XLOOKUP(E331,Lookups!$E:$E,Lookups!$F:$F,0)</f>
        <v>0</v>
      </c>
      <c r="B331">
        <v>1</v>
      </c>
      <c r="C331" s="3" t="d">
        <v>2026-07-03</v>
      </c>
      <c r="D331" s="3"/>
      <c r="E331" s="26" t="s">
        <v>299</v>
      </c>
      <c r="F331" s="26" t="s">
        <v>27</v>
      </c>
      <c r="G331" s="26" t="s">
        <v>28</v>
      </c>
      <c r="H331" s="26" t="s">
        <v>132</v>
      </c>
      <c r="I331" s="26">
        <v>60178</v>
      </c>
      <c r="J331" s="26">
        <v>71803</v>
      </c>
      <c r="K331" s="26">
        <v>69286</v>
      </c>
      <c r="L331" s="26">
        <v>19701795</v>
      </c>
      <c r="M331" s="26">
        <v>65083</v>
      </c>
      <c r="N331" s="26">
        <v>464904</v>
      </c>
      <c r="O331" s="26">
        <v>56946</v>
      </c>
      <c r="P331" s="26">
        <v>16600</v>
      </c>
      <c r="Q331" s="26">
        <v>4506172</v>
      </c>
      <c r="R331" s="26">
        <v>35820</v>
      </c>
      <c r="S331" s="26">
        <v>26166</v>
      </c>
      <c r="T331" s="26">
        <v>378072</v>
      </c>
      <c r="U331" s="26">
        <v>165569</v>
      </c>
      <c r="V331" s="26">
        <v>5612</v>
      </c>
      <c r="W331" s="26">
        <v>140</v>
      </c>
      <c r="X331" s="26" t="s">
        <v>31</v>
      </c>
      <c r="Y331" s="26">
        <v>138123</v>
      </c>
      <c r="Z331" s="26">
        <v>25555</v>
      </c>
      <c r="AA331" s="26">
        <v>38</v>
      </c>
      <c r="AB331" s="26">
        <v>0</v>
      </c>
      <c r="AC331" s="26">
        <v>0</v>
      </c>
      <c r="AD331" s="26">
        <v>54.026208360531903</v>
      </c>
    </row>
    <row r="332" spans="1:30" x14ac:dyDescent="0.2">
      <c r="A332">
        <f>_xlfn.XLOOKUP(E332,Lookups!$E:$E,Lookups!$F:$F,0)</f>
        <v>0</v>
      </c>
      <c r="B332">
        <v>1</v>
      </c>
      <c r="C332" s="3" t="d">
        <v>2026-07-03</v>
      </c>
      <c r="D332" s="3"/>
      <c r="E332" s="26" t="s">
        <v>607</v>
      </c>
      <c r="F332" s="26" t="s">
        <v>31</v>
      </c>
      <c r="G332" s="26" t="s">
        <v>36</v>
      </c>
      <c r="H332" s="26" t="s">
        <v>72</v>
      </c>
      <c r="I332" s="26">
        <v>60191</v>
      </c>
      <c r="J332" s="26">
        <v>59004</v>
      </c>
      <c r="K332" s="26">
        <v>6193</v>
      </c>
      <c r="L332" s="26">
        <v>60702943</v>
      </c>
      <c r="M332" s="26">
        <v>254047</v>
      </c>
      <c r="N332" s="26">
        <v>3293247</v>
      </c>
      <c r="O332" s="26">
        <v>613359</v>
      </c>
      <c r="P332" s="26" t="s">
        <v>31</v>
      </c>
      <c r="Q332" s="26" t="s">
        <v>31</v>
      </c>
      <c r="R332" s="26" t="s">
        <v>31</v>
      </c>
      <c r="S332" s="26">
        <v>834709</v>
      </c>
      <c r="T332" s="26" t="s">
        <v>31</v>
      </c>
      <c r="U332" s="26" t="s">
        <v>31</v>
      </c>
      <c r="V332" s="26" t="s">
        <v>31</v>
      </c>
      <c r="W332" s="26" t="s">
        <v>31</v>
      </c>
      <c r="X332" s="26" t="s">
        <v>31</v>
      </c>
      <c r="Y332" s="26">
        <v>466238</v>
      </c>
      <c r="Z332" s="26" t="s">
        <v>31</v>
      </c>
      <c r="AA332" s="26" t="s">
        <v>31</v>
      </c>
      <c r="AB332" s="26" t="s">
        <v>31</v>
      </c>
      <c r="AC332" s="26" t="s">
        <v>31</v>
      </c>
      <c r="AD332" s="26" t="s">
        <v>31</v>
      </c>
    </row>
    <row r="333" spans="1:30" x14ac:dyDescent="0.2">
      <c r="A333">
        <f>_xlfn.XLOOKUP(E333,Lookups!$E:$E,Lookups!$F:$F,0)</f>
        <v>0</v>
      </c>
      <c r="B333">
        <v>1</v>
      </c>
      <c r="C333" s="3" t="d">
        <v>2026-07-03</v>
      </c>
      <c r="D333" s="3"/>
      <c r="E333" s="26" t="s">
        <v>608</v>
      </c>
      <c r="F333" s="26" t="s">
        <v>27</v>
      </c>
      <c r="G333" s="26" t="s">
        <v>28</v>
      </c>
      <c r="H333" s="26" t="s">
        <v>31</v>
      </c>
      <c r="I333" s="26">
        <v>60550</v>
      </c>
      <c r="J333" s="26">
        <v>268008</v>
      </c>
      <c r="K333" s="26">
        <v>3563</v>
      </c>
      <c r="L333" s="26">
        <v>784137</v>
      </c>
      <c r="M333" s="26">
        <v>7543</v>
      </c>
      <c r="N333" s="26">
        <v>9540</v>
      </c>
      <c r="O333" s="26">
        <v>31799</v>
      </c>
      <c r="P333" s="26">
        <v>12100</v>
      </c>
      <c r="Q333" s="26">
        <v>6363571</v>
      </c>
      <c r="R333" s="26">
        <v>52527</v>
      </c>
      <c r="S333" s="26">
        <v>17141</v>
      </c>
      <c r="T333" s="26">
        <v>110414</v>
      </c>
      <c r="U333" s="26">
        <v>4541</v>
      </c>
      <c r="V333" s="26">
        <v>62001</v>
      </c>
      <c r="W333" s="26">
        <v>26</v>
      </c>
      <c r="X333" s="26">
        <v>24</v>
      </c>
      <c r="Y333" s="26">
        <v>382578</v>
      </c>
      <c r="Z333" s="26">
        <v>143571</v>
      </c>
      <c r="AA333" s="26">
        <v>1</v>
      </c>
      <c r="AB333" s="26">
        <v>0</v>
      </c>
      <c r="AC333" s="26">
        <v>0</v>
      </c>
      <c r="AD333" s="26">
        <v>1.96540143399536</v>
      </c>
    </row>
    <row r="334" spans="1:30" x14ac:dyDescent="0.2">
      <c r="A334">
        <f>_xlfn.XLOOKUP(E334,Lookups!$E:$E,Lookups!$F:$F,0)</f>
        <v>0</v>
      </c>
      <c r="B334">
        <v>1</v>
      </c>
      <c r="C334" s="3" t="d">
        <v>2026-07-03</v>
      </c>
      <c r="D334" s="3"/>
      <c r="E334" s="26" t="s">
        <v>412</v>
      </c>
      <c r="F334" s="26" t="s">
        <v>27</v>
      </c>
      <c r="G334" s="26" t="s">
        <v>28</v>
      </c>
      <c r="H334" s="26" t="s">
        <v>40</v>
      </c>
      <c r="I334" s="26">
        <v>60671</v>
      </c>
      <c r="J334" s="26">
        <v>62389</v>
      </c>
      <c r="K334" s="26">
        <v>28637</v>
      </c>
      <c r="L334" s="26">
        <v>40233032</v>
      </c>
      <c r="M334" s="26">
        <v>101817</v>
      </c>
      <c r="N334" s="26">
        <v>3120167</v>
      </c>
      <c r="O334" s="26">
        <v>56114</v>
      </c>
      <c r="P334" s="26">
        <v>19700</v>
      </c>
      <c r="Q334" s="26">
        <v>2897059</v>
      </c>
      <c r="R334" s="26">
        <v>72114</v>
      </c>
      <c r="S334" s="26">
        <v>86602</v>
      </c>
      <c r="T334" s="26">
        <v>95</v>
      </c>
      <c r="U334" s="26">
        <v>36186</v>
      </c>
      <c r="V334" s="26">
        <v>38130</v>
      </c>
      <c r="W334" s="26">
        <v>2231</v>
      </c>
      <c r="X334" s="26">
        <v>4341</v>
      </c>
      <c r="Y334" s="26">
        <v>59416</v>
      </c>
      <c r="Z334" s="26">
        <v>13565</v>
      </c>
      <c r="AA334" s="26">
        <v>309</v>
      </c>
      <c r="AB334" s="26">
        <v>4</v>
      </c>
      <c r="AC334" s="26">
        <v>38</v>
      </c>
      <c r="AD334" s="26">
        <v>493.84729244917997</v>
      </c>
    </row>
    <row r="335" spans="1:30" x14ac:dyDescent="0.2">
      <c r="A335">
        <f>_xlfn.XLOOKUP(E335,Lookups!$E:$E,Lookups!$F:$F,0)</f>
        <v>0</v>
      </c>
      <c r="B335">
        <v>1</v>
      </c>
      <c r="C335" s="3" t="d">
        <v>2026-07-03</v>
      </c>
      <c r="D335" s="3"/>
      <c r="E335" s="26" t="s">
        <v>437</v>
      </c>
      <c r="F335" s="26" t="s">
        <v>27</v>
      </c>
      <c r="G335" s="26" t="s">
        <v>28</v>
      </c>
      <c r="H335" s="26" t="s">
        <v>118</v>
      </c>
      <c r="I335" s="26">
        <v>60978</v>
      </c>
      <c r="J335" s="26">
        <v>84944</v>
      </c>
      <c r="K335" s="26">
        <v>22506</v>
      </c>
      <c r="L335" s="26">
        <v>24649258</v>
      </c>
      <c r="M335" s="26">
        <v>110805</v>
      </c>
      <c r="N335" s="26">
        <v>296895</v>
      </c>
      <c r="O335" s="26">
        <v>76893</v>
      </c>
      <c r="P335" s="26">
        <v>6040</v>
      </c>
      <c r="Q335" s="26">
        <v>168838</v>
      </c>
      <c r="R335" s="26">
        <v>3098</v>
      </c>
      <c r="S335" s="26">
        <v>36162</v>
      </c>
      <c r="T335" s="26">
        <v>127945</v>
      </c>
      <c r="U335" s="26">
        <v>43921</v>
      </c>
      <c r="V335" s="26">
        <v>59730</v>
      </c>
      <c r="W335" s="26">
        <v>61</v>
      </c>
      <c r="X335" s="26" t="s">
        <v>31</v>
      </c>
      <c r="Y335" s="26">
        <v>97376</v>
      </c>
      <c r="Z335" s="26">
        <v>16212</v>
      </c>
      <c r="AA335" s="26">
        <v>73</v>
      </c>
      <c r="AB335" s="26">
        <v>0</v>
      </c>
      <c r="AC335" s="26">
        <v>0</v>
      </c>
      <c r="AD335" s="26">
        <v>101.094683999762</v>
      </c>
    </row>
    <row r="336" spans="1:30" x14ac:dyDescent="0.2">
      <c r="A336">
        <f>_xlfn.XLOOKUP(E336,Lookups!$E:$E,Lookups!$F:$F,0)</f>
        <v>0</v>
      </c>
      <c r="B336">
        <v>1</v>
      </c>
      <c r="C336" s="3" t="d">
        <v>2026-07-03</v>
      </c>
      <c r="D336" s="3"/>
      <c r="E336" s="26" t="s">
        <v>282</v>
      </c>
      <c r="F336" s="26" t="s">
        <v>35</v>
      </c>
      <c r="G336" s="26" t="s">
        <v>36</v>
      </c>
      <c r="H336" s="26" t="s">
        <v>31</v>
      </c>
      <c r="I336" s="26">
        <v>61216</v>
      </c>
      <c r="J336" s="26">
        <v>21633</v>
      </c>
      <c r="K336" s="26">
        <v>83286</v>
      </c>
      <c r="L336" s="26">
        <v>41760392</v>
      </c>
      <c r="M336" s="26">
        <v>567710</v>
      </c>
      <c r="N336" s="26">
        <v>116349</v>
      </c>
      <c r="O336" s="26">
        <v>141915</v>
      </c>
      <c r="P336" s="26">
        <v>460</v>
      </c>
      <c r="Q336" s="26">
        <v>122201</v>
      </c>
      <c r="R336" s="26">
        <v>242</v>
      </c>
      <c r="S336" s="26">
        <v>253061</v>
      </c>
      <c r="T336" s="26" t="s">
        <v>31</v>
      </c>
      <c r="U336" s="26">
        <v>14603</v>
      </c>
      <c r="V336" s="26" t="s">
        <v>31</v>
      </c>
      <c r="W336" s="26">
        <v>15</v>
      </c>
      <c r="X336" s="26">
        <v>1</v>
      </c>
      <c r="Y336" s="26">
        <v>466238</v>
      </c>
      <c r="Z336" s="26" t="s">
        <v>31</v>
      </c>
      <c r="AA336" s="26" t="s">
        <v>31</v>
      </c>
      <c r="AB336" s="26" t="s">
        <v>31</v>
      </c>
      <c r="AC336" s="26" t="s">
        <v>31</v>
      </c>
      <c r="AD336" s="26" t="s">
        <v>31</v>
      </c>
    </row>
    <row r="337" spans="1:30" x14ac:dyDescent="0.2">
      <c r="A337">
        <f>_xlfn.XLOOKUP(E337,Lookups!$E:$E,Lookups!$F:$F,0)</f>
        <v>0</v>
      </c>
      <c r="B337">
        <v>1</v>
      </c>
      <c r="C337" s="3" t="d">
        <v>2026-07-03</v>
      </c>
      <c r="D337" s="3"/>
      <c r="E337" s="26" t="s">
        <v>457</v>
      </c>
      <c r="F337" s="26" t="s">
        <v>27</v>
      </c>
      <c r="G337" s="26" t="s">
        <v>28</v>
      </c>
      <c r="H337" s="26" t="s">
        <v>46</v>
      </c>
      <c r="I337" s="26">
        <v>61297</v>
      </c>
      <c r="J337" s="26">
        <v>75053</v>
      </c>
      <c r="K337" s="26">
        <v>18321</v>
      </c>
      <c r="L337" s="26">
        <v>11397247</v>
      </c>
      <c r="M337" s="26">
        <v>186685</v>
      </c>
      <c r="N337" s="26">
        <v>34482</v>
      </c>
      <c r="O337" s="26">
        <v>67009</v>
      </c>
      <c r="P337" s="26">
        <v>12600</v>
      </c>
      <c r="Q337" s="26">
        <v>365350</v>
      </c>
      <c r="R337" s="26">
        <v>6922</v>
      </c>
      <c r="S337" s="26">
        <v>38217</v>
      </c>
      <c r="T337" s="26">
        <v>89549</v>
      </c>
      <c r="U337" s="26">
        <v>24650</v>
      </c>
      <c r="V337" s="26">
        <v>190287</v>
      </c>
      <c r="W337" s="26">
        <v>23</v>
      </c>
      <c r="X337" s="26" t="s">
        <v>31</v>
      </c>
      <c r="Y337" s="26">
        <v>296645</v>
      </c>
      <c r="Z337" s="26">
        <v>72180</v>
      </c>
      <c r="AA337" s="26">
        <v>10</v>
      </c>
      <c r="AB337" s="26">
        <v>0</v>
      </c>
      <c r="AC337" s="26">
        <v>0</v>
      </c>
      <c r="AD337" s="26">
        <v>9.4599756471591405</v>
      </c>
    </row>
    <row r="338" spans="1:30" x14ac:dyDescent="0.2">
      <c r="A338">
        <f>_xlfn.XLOOKUP(E338,Lookups!$E:$E,Lookups!$F:$F,0)</f>
        <v>0</v>
      </c>
      <c r="B338">
        <v>1</v>
      </c>
      <c r="C338" s="3" t="d">
        <v>2026-07-03</v>
      </c>
      <c r="D338" s="3"/>
      <c r="E338" s="26" t="s">
        <v>427</v>
      </c>
      <c r="F338" s="26" t="s">
        <v>428</v>
      </c>
      <c r="G338" s="26" t="s">
        <v>28</v>
      </c>
      <c r="H338" s="26" t="s">
        <v>31</v>
      </c>
      <c r="I338" s="26">
        <v>61442</v>
      </c>
      <c r="J338" s="26">
        <v>50916</v>
      </c>
      <c r="K338" s="26">
        <v>24109</v>
      </c>
      <c r="L338" s="26">
        <v>23260139</v>
      </c>
      <c r="M338" s="26">
        <v>257590</v>
      </c>
      <c r="N338" s="26">
        <v>287454</v>
      </c>
      <c r="O338" s="26">
        <v>47952</v>
      </c>
      <c r="P338" s="26">
        <v>80300</v>
      </c>
      <c r="Q338" s="26">
        <v>20379256</v>
      </c>
      <c r="R338" s="26">
        <v>149038</v>
      </c>
      <c r="S338" s="26">
        <v>112416</v>
      </c>
      <c r="T338" s="26">
        <v>517</v>
      </c>
      <c r="U338" s="26">
        <v>35765</v>
      </c>
      <c r="V338" s="26">
        <v>22665</v>
      </c>
      <c r="W338" s="26">
        <v>910</v>
      </c>
      <c r="X338" s="26" t="s">
        <v>31</v>
      </c>
      <c r="Y338" s="26">
        <v>34855</v>
      </c>
      <c r="Z338" s="26">
        <v>11742</v>
      </c>
      <c r="AA338" s="26">
        <v>7</v>
      </c>
      <c r="AB338" s="26">
        <v>1</v>
      </c>
      <c r="AC338" s="26">
        <v>13</v>
      </c>
      <c r="AD338" s="26">
        <v>127.674655620276</v>
      </c>
    </row>
    <row r="339" spans="1:30" x14ac:dyDescent="0.2">
      <c r="A339">
        <f>_xlfn.XLOOKUP(E339,Lookups!$E:$E,Lookups!$F:$F,0)</f>
        <v>0</v>
      </c>
      <c r="B339">
        <v>1</v>
      </c>
      <c r="C339" s="3" t="d">
        <v>2026-07-03</v>
      </c>
      <c r="D339" s="3"/>
      <c r="E339" s="26" t="s">
        <v>609</v>
      </c>
      <c r="F339" s="26" t="s">
        <v>27</v>
      </c>
      <c r="G339" s="26" t="s">
        <v>77</v>
      </c>
      <c r="H339" s="26" t="s">
        <v>31</v>
      </c>
      <c r="I339" s="26">
        <v>61724</v>
      </c>
      <c r="J339" s="26">
        <v>104797</v>
      </c>
      <c r="K339" s="26">
        <v>12726</v>
      </c>
      <c r="L339" s="26">
        <v>6605683</v>
      </c>
      <c r="M339" s="26">
        <v>112234</v>
      </c>
      <c r="N339" s="26">
        <v>127533</v>
      </c>
      <c r="O339" s="26">
        <v>108046</v>
      </c>
      <c r="P339" s="26">
        <v>9890</v>
      </c>
      <c r="Q339" s="26">
        <v>1198259</v>
      </c>
      <c r="R339" s="26">
        <v>10902</v>
      </c>
      <c r="S339" s="26">
        <v>24393</v>
      </c>
      <c r="T339" s="26">
        <v>135833</v>
      </c>
      <c r="U339" s="26">
        <v>410727</v>
      </c>
      <c r="V339" s="26">
        <v>251818</v>
      </c>
      <c r="W339" s="26">
        <v>1966</v>
      </c>
      <c r="X339" s="26">
        <v>772</v>
      </c>
      <c r="Y339" s="26">
        <v>114554</v>
      </c>
      <c r="Z339" s="26" t="s">
        <v>31</v>
      </c>
      <c r="AA339" s="26" t="s">
        <v>31</v>
      </c>
      <c r="AB339" s="26" t="s">
        <v>31</v>
      </c>
      <c r="AC339" s="26" t="s">
        <v>31</v>
      </c>
      <c r="AD339" s="26" t="s">
        <v>31</v>
      </c>
    </row>
    <row r="340" spans="1:30" x14ac:dyDescent="0.2">
      <c r="A340">
        <f>_xlfn.XLOOKUP(E340,Lookups!$E:$E,Lookups!$F:$F,0)</f>
        <v>0</v>
      </c>
      <c r="B340">
        <v>1</v>
      </c>
      <c r="C340" s="3" t="d">
        <v>2026-07-03</v>
      </c>
      <c r="D340" s="3"/>
      <c r="E340" s="26" t="s">
        <v>208</v>
      </c>
      <c r="F340" s="26" t="s">
        <v>27</v>
      </c>
      <c r="G340" s="26" t="s">
        <v>28</v>
      </c>
      <c r="H340" s="26" t="s">
        <v>46</v>
      </c>
      <c r="I340" s="26">
        <v>62583</v>
      </c>
      <c r="J340" s="26">
        <v>55718</v>
      </c>
      <c r="K340" s="26">
        <v>154180</v>
      </c>
      <c r="L340" s="26">
        <v>19350984</v>
      </c>
      <c r="M340" s="26">
        <v>237957</v>
      </c>
      <c r="N340" s="26">
        <v>244061</v>
      </c>
      <c r="O340" s="26">
        <v>60051</v>
      </c>
      <c r="P340" s="26">
        <v>22300</v>
      </c>
      <c r="Q340" s="26">
        <v>309022</v>
      </c>
      <c r="R340" s="26">
        <v>6359</v>
      </c>
      <c r="S340" s="26">
        <v>333931</v>
      </c>
      <c r="T340" s="26" t="s">
        <v>31</v>
      </c>
      <c r="U340" s="26" t="s">
        <v>31</v>
      </c>
      <c r="V340" s="26">
        <v>15287</v>
      </c>
      <c r="W340" s="26">
        <v>1168</v>
      </c>
      <c r="X340" s="26">
        <v>177</v>
      </c>
      <c r="Y340" s="26">
        <v>101567</v>
      </c>
      <c r="Z340" s="26">
        <v>15675</v>
      </c>
      <c r="AA340" s="26">
        <v>87</v>
      </c>
      <c r="AB340" s="26">
        <v>0</v>
      </c>
      <c r="AC340" s="26">
        <v>0</v>
      </c>
      <c r="AD340" s="26">
        <v>133.319571226486</v>
      </c>
    </row>
    <row r="341" spans="1:30" x14ac:dyDescent="0.2">
      <c r="A341">
        <f>_xlfn.XLOOKUP(E341,Lookups!$E:$E,Lookups!$F:$F,0)</f>
        <v>0</v>
      </c>
      <c r="B341">
        <v>1</v>
      </c>
      <c r="C341" s="3" t="d">
        <v>2026-07-03</v>
      </c>
      <c r="D341" s="3"/>
      <c r="E341" s="26" t="s">
        <v>349</v>
      </c>
      <c r="F341" s="26" t="s">
        <v>27</v>
      </c>
      <c r="G341" s="26" t="s">
        <v>77</v>
      </c>
      <c r="H341" s="26" t="s">
        <v>37</v>
      </c>
      <c r="I341" s="26">
        <v>63007</v>
      </c>
      <c r="J341" s="26">
        <v>144903</v>
      </c>
      <c r="K341" s="26">
        <v>46653</v>
      </c>
      <c r="L341" s="26">
        <v>5822877</v>
      </c>
      <c r="M341" s="26">
        <v>11684</v>
      </c>
      <c r="N341" s="26">
        <v>159544</v>
      </c>
      <c r="O341" s="26">
        <v>59576</v>
      </c>
      <c r="P341" s="26">
        <v>18200</v>
      </c>
      <c r="Q341" s="26">
        <v>10690773</v>
      </c>
      <c r="R341" s="26">
        <v>90126</v>
      </c>
      <c r="S341" s="26">
        <v>34217</v>
      </c>
      <c r="T341" s="26">
        <v>39887</v>
      </c>
      <c r="U341" s="26">
        <v>218265</v>
      </c>
      <c r="V341" s="26">
        <v>407126</v>
      </c>
      <c r="W341" s="26">
        <v>5947</v>
      </c>
      <c r="X341" s="26" t="s">
        <v>31</v>
      </c>
      <c r="Y341" s="26">
        <v>91468</v>
      </c>
      <c r="Z341" s="26">
        <v>84031</v>
      </c>
      <c r="AA341" s="26">
        <v>30</v>
      </c>
      <c r="AB341" s="26">
        <v>0</v>
      </c>
      <c r="AC341" s="26">
        <v>0</v>
      </c>
      <c r="AD341" s="26">
        <v>14.040787304999199</v>
      </c>
    </row>
    <row r="342" spans="1:30" x14ac:dyDescent="0.2">
      <c r="A342">
        <f>_xlfn.XLOOKUP(E342,Lookups!$E:$E,Lookups!$F:$F,0)</f>
        <v>0</v>
      </c>
      <c r="B342">
        <v>1</v>
      </c>
      <c r="C342" s="3" t="d">
        <v>2026-07-03</v>
      </c>
      <c r="D342" s="3"/>
      <c r="E342" s="26" t="s">
        <v>328</v>
      </c>
      <c r="F342" s="26" t="s">
        <v>27</v>
      </c>
      <c r="G342" s="26" t="s">
        <v>36</v>
      </c>
      <c r="H342" s="26" t="s">
        <v>37</v>
      </c>
      <c r="I342" s="26">
        <v>63094</v>
      </c>
      <c r="J342" s="26">
        <v>57332</v>
      </c>
      <c r="K342" s="26">
        <v>55621</v>
      </c>
      <c r="L342" s="26">
        <v>31630095</v>
      </c>
      <c r="M342" s="26">
        <v>159331</v>
      </c>
      <c r="N342" s="26">
        <v>282797</v>
      </c>
      <c r="O342" s="26">
        <v>555426</v>
      </c>
      <c r="P342" s="26">
        <v>20</v>
      </c>
      <c r="Q342" s="26">
        <v>4012</v>
      </c>
      <c r="R342" s="26">
        <v>67</v>
      </c>
      <c r="S342" s="26">
        <v>108071</v>
      </c>
      <c r="T342" s="26">
        <v>20448</v>
      </c>
      <c r="U342" s="26">
        <v>23676</v>
      </c>
      <c r="V342" s="26">
        <v>68001</v>
      </c>
      <c r="W342" s="26">
        <v>656</v>
      </c>
      <c r="X342" s="26" t="s">
        <v>31</v>
      </c>
      <c r="Y342" s="26">
        <v>25300</v>
      </c>
      <c r="Z342" s="26">
        <v>16556</v>
      </c>
      <c r="AA342" s="26">
        <v>150</v>
      </c>
      <c r="AB342" s="26">
        <v>0</v>
      </c>
      <c r="AC342" s="26">
        <v>0</v>
      </c>
      <c r="AD342" s="26">
        <v>167.788411046227</v>
      </c>
    </row>
    <row r="343" spans="1:30" x14ac:dyDescent="0.2">
      <c r="A343">
        <f>_xlfn.XLOOKUP(E343,Lookups!$E:$E,Lookups!$F:$F,0)</f>
        <v>0</v>
      </c>
      <c r="B343">
        <v>1</v>
      </c>
      <c r="C343" s="3" t="d">
        <v>2026-07-03</v>
      </c>
      <c r="D343" s="3"/>
      <c r="E343" s="26" t="s">
        <v>370</v>
      </c>
      <c r="F343" s="26" t="s">
        <v>27</v>
      </c>
      <c r="G343" s="26" t="s">
        <v>28</v>
      </c>
      <c r="H343" s="26" t="s">
        <v>37</v>
      </c>
      <c r="I343" s="26">
        <v>63187</v>
      </c>
      <c r="J343" s="26">
        <v>67568</v>
      </c>
      <c r="K343" s="26">
        <v>41770</v>
      </c>
      <c r="L343" s="26">
        <v>33055277</v>
      </c>
      <c r="M343" s="26">
        <v>146003</v>
      </c>
      <c r="N343" s="26">
        <v>732334</v>
      </c>
      <c r="O343" s="26">
        <v>83380</v>
      </c>
      <c r="P343" s="26">
        <v>8550</v>
      </c>
      <c r="Q343" s="26">
        <v>540215</v>
      </c>
      <c r="R343" s="26">
        <v>8508</v>
      </c>
      <c r="S343" s="26">
        <v>95060</v>
      </c>
      <c r="T343" s="26" t="s">
        <v>31</v>
      </c>
      <c r="U343" s="26">
        <v>36435</v>
      </c>
      <c r="V343" s="26">
        <v>110247</v>
      </c>
      <c r="W343" s="26">
        <v>783</v>
      </c>
      <c r="X343" s="26">
        <v>63</v>
      </c>
      <c r="Y343" s="26">
        <v>110041</v>
      </c>
      <c r="Z343" s="26">
        <v>19252</v>
      </c>
      <c r="AA343" s="26">
        <v>88</v>
      </c>
      <c r="AB343" s="26">
        <v>0</v>
      </c>
      <c r="AC343" s="26">
        <v>0</v>
      </c>
      <c r="AD343" s="26">
        <v>139.51166606147399</v>
      </c>
    </row>
    <row r="344" spans="1:30" x14ac:dyDescent="0.2">
      <c r="A344">
        <f>_xlfn.XLOOKUP(E344,Lookups!$E:$E,Lookups!$F:$F,0)</f>
        <v>0</v>
      </c>
      <c r="B344">
        <v>1</v>
      </c>
      <c r="C344" s="3" t="d">
        <v>2026-07-03</v>
      </c>
      <c r="D344" s="3"/>
      <c r="E344" s="26" t="s">
        <v>394</v>
      </c>
      <c r="F344" s="26" t="s">
        <v>27</v>
      </c>
      <c r="G344" s="26" t="s">
        <v>28</v>
      </c>
      <c r="H344" s="26" t="s">
        <v>138</v>
      </c>
      <c r="I344" s="26">
        <v>63725</v>
      </c>
      <c r="J344" s="26">
        <v>78825</v>
      </c>
      <c r="K344" s="26">
        <v>33651</v>
      </c>
      <c r="L344" s="26">
        <v>24444864</v>
      </c>
      <c r="M344" s="26">
        <v>98677</v>
      </c>
      <c r="N344" s="26">
        <v>958775</v>
      </c>
      <c r="O344" s="26">
        <v>613359</v>
      </c>
      <c r="P344" s="26" t="s">
        <v>31</v>
      </c>
      <c r="Q344" s="26" t="s">
        <v>31</v>
      </c>
      <c r="R344" s="26" t="s">
        <v>31</v>
      </c>
      <c r="S344" s="26">
        <v>39970</v>
      </c>
      <c r="T344" s="26">
        <v>6532</v>
      </c>
      <c r="U344" s="26">
        <v>18849</v>
      </c>
      <c r="V344" s="26">
        <v>34075</v>
      </c>
      <c r="W344" s="26">
        <v>29</v>
      </c>
      <c r="X344" s="26" t="s">
        <v>31</v>
      </c>
      <c r="Y344" s="26">
        <v>108517</v>
      </c>
      <c r="Z344" s="26">
        <v>13639</v>
      </c>
      <c r="AA344" s="26">
        <v>145</v>
      </c>
      <c r="AB344" s="26">
        <v>0</v>
      </c>
      <c r="AC344" s="26">
        <v>0</v>
      </c>
      <c r="AD344" s="26">
        <v>142.979122070617</v>
      </c>
    </row>
    <row r="345" spans="1:30" x14ac:dyDescent="0.2">
      <c r="A345">
        <f>_xlfn.XLOOKUP(E345,Lookups!$E:$E,Lookups!$F:$F,0)</f>
        <v>0</v>
      </c>
      <c r="B345">
        <v>1</v>
      </c>
      <c r="C345" s="3" t="d">
        <v>2026-07-03</v>
      </c>
      <c r="D345" s="3"/>
      <c r="E345" s="26" t="s">
        <v>273</v>
      </c>
      <c r="F345" s="26" t="s">
        <v>27</v>
      </c>
      <c r="G345" s="26" t="s">
        <v>28</v>
      </c>
      <c r="H345" s="26" t="s">
        <v>46</v>
      </c>
      <c r="I345" s="26">
        <v>63914</v>
      </c>
      <c r="J345" s="26">
        <v>73410</v>
      </c>
      <c r="K345" s="26">
        <v>89749</v>
      </c>
      <c r="L345" s="26">
        <v>9600381</v>
      </c>
      <c r="M345" s="26">
        <v>182860</v>
      </c>
      <c r="N345" s="26">
        <v>237497</v>
      </c>
      <c r="O345" s="26">
        <v>62574</v>
      </c>
      <c r="P345" s="26">
        <v>16600</v>
      </c>
      <c r="Q345" s="26">
        <v>8056799</v>
      </c>
      <c r="R345" s="26">
        <v>65027</v>
      </c>
      <c r="S345" s="26">
        <v>111530</v>
      </c>
      <c r="T345" s="26" t="s">
        <v>31</v>
      </c>
      <c r="U345" s="26">
        <v>22</v>
      </c>
      <c r="V345" s="26">
        <v>160738</v>
      </c>
      <c r="W345" s="26">
        <v>4463</v>
      </c>
      <c r="X345" s="26">
        <v>1916</v>
      </c>
      <c r="Y345" s="26">
        <v>135202</v>
      </c>
      <c r="Z345" s="26">
        <v>102614</v>
      </c>
      <c r="AA345" s="26">
        <v>47</v>
      </c>
      <c r="AB345" s="26">
        <v>0</v>
      </c>
      <c r="AC345" s="26">
        <v>0</v>
      </c>
      <c r="AD345" s="26">
        <v>36.160115617196197</v>
      </c>
    </row>
    <row r="346" spans="1:30" x14ac:dyDescent="0.2">
      <c r="A346">
        <f>_xlfn.XLOOKUP(E346,Lookups!$E:$E,Lookups!$F:$F,0)</f>
        <v>0</v>
      </c>
      <c r="B346">
        <v>1</v>
      </c>
      <c r="C346" s="3" t="d">
        <v>2026-07-03</v>
      </c>
      <c r="D346" s="3"/>
      <c r="E346" s="26" t="s">
        <v>274</v>
      </c>
      <c r="F346" s="26" t="s">
        <v>27</v>
      </c>
      <c r="G346" s="26" t="s">
        <v>28</v>
      </c>
      <c r="H346" s="26" t="s">
        <v>31</v>
      </c>
      <c r="I346" s="26">
        <v>64653</v>
      </c>
      <c r="J346" s="26">
        <v>45498</v>
      </c>
      <c r="K346" s="26">
        <v>88954</v>
      </c>
      <c r="L346" s="26">
        <v>27338473</v>
      </c>
      <c r="M346" s="26">
        <v>274496</v>
      </c>
      <c r="N346" s="26">
        <v>341011</v>
      </c>
      <c r="O346" s="26">
        <v>613359</v>
      </c>
      <c r="P346" s="26" t="s">
        <v>31</v>
      </c>
      <c r="Q346" s="26" t="s">
        <v>31</v>
      </c>
      <c r="R346" s="26" t="s">
        <v>31</v>
      </c>
      <c r="S346" s="26">
        <v>834709</v>
      </c>
      <c r="T346" s="26" t="s">
        <v>31</v>
      </c>
      <c r="U346" s="26" t="s">
        <v>31</v>
      </c>
      <c r="V346" s="26" t="s">
        <v>31</v>
      </c>
      <c r="W346" s="26">
        <v>45</v>
      </c>
      <c r="X346" s="26">
        <v>7</v>
      </c>
      <c r="Y346" s="26">
        <v>328653</v>
      </c>
      <c r="Z346" s="26" t="s">
        <v>31</v>
      </c>
      <c r="AA346" s="26" t="s">
        <v>31</v>
      </c>
      <c r="AB346" s="26" t="s">
        <v>31</v>
      </c>
      <c r="AC346" s="26" t="s">
        <v>31</v>
      </c>
      <c r="AD346" s="26" t="s">
        <v>31</v>
      </c>
    </row>
    <row r="347" spans="1:30" x14ac:dyDescent="0.2">
      <c r="A347">
        <f>_xlfn.XLOOKUP(E347,Lookups!$E:$E,Lookups!$F:$F,0)</f>
        <v>0</v>
      </c>
      <c r="B347">
        <v>1</v>
      </c>
      <c r="C347" s="3" t="d">
        <v>2026-07-03</v>
      </c>
      <c r="D347" s="3"/>
      <c r="E347" s="26" t="s">
        <v>361</v>
      </c>
      <c r="F347" s="26" t="s">
        <v>27</v>
      </c>
      <c r="G347" s="26" t="s">
        <v>28</v>
      </c>
      <c r="H347" s="26" t="s">
        <v>46</v>
      </c>
      <c r="I347" s="26">
        <v>64700</v>
      </c>
      <c r="J347" s="26">
        <v>91529</v>
      </c>
      <c r="K347" s="26">
        <v>43538</v>
      </c>
      <c r="L347" s="26">
        <v>8979841</v>
      </c>
      <c r="M347" s="26">
        <v>90807</v>
      </c>
      <c r="N347" s="26">
        <v>690803</v>
      </c>
      <c r="O347" s="26">
        <v>48826</v>
      </c>
      <c r="P347" s="26">
        <v>16300</v>
      </c>
      <c r="Q347" s="26">
        <v>2103011</v>
      </c>
      <c r="R347" s="26">
        <v>39043</v>
      </c>
      <c r="S347" s="26">
        <v>176555</v>
      </c>
      <c r="T347" s="26" t="s">
        <v>31</v>
      </c>
      <c r="U347" s="26" t="s">
        <v>31</v>
      </c>
      <c r="V347" s="26">
        <v>60855</v>
      </c>
      <c r="W347" s="26">
        <v>1222</v>
      </c>
      <c r="X347" s="26">
        <v>3887</v>
      </c>
      <c r="Y347" s="26">
        <v>86503</v>
      </c>
      <c r="Z347" s="26">
        <v>35719</v>
      </c>
      <c r="AA347" s="26">
        <v>24</v>
      </c>
      <c r="AB347" s="26">
        <v>1</v>
      </c>
      <c r="AC347" s="26">
        <v>15</v>
      </c>
      <c r="AD347" s="26">
        <v>120.14942638579799</v>
      </c>
    </row>
    <row r="348" spans="1:30" x14ac:dyDescent="0.2">
      <c r="A348">
        <f>_xlfn.XLOOKUP(E348,Lookups!$E:$E,Lookups!$F:$F,0)</f>
        <v>0</v>
      </c>
      <c r="B348">
        <v>1</v>
      </c>
      <c r="C348" s="3" t="d">
        <v>2026-07-03</v>
      </c>
      <c r="D348" s="3"/>
      <c r="E348" s="26" t="s">
        <v>372</v>
      </c>
      <c r="F348" s="26" t="s">
        <v>27</v>
      </c>
      <c r="G348" s="26" t="s">
        <v>28</v>
      </c>
      <c r="H348" s="26" t="s">
        <v>44</v>
      </c>
      <c r="I348" s="26">
        <v>64973</v>
      </c>
      <c r="J348" s="26">
        <v>84358</v>
      </c>
      <c r="K348" s="26">
        <v>41079</v>
      </c>
      <c r="L348" s="26">
        <v>4953040</v>
      </c>
      <c r="M348" s="26">
        <v>56345</v>
      </c>
      <c r="N348" s="26">
        <v>218233</v>
      </c>
      <c r="O348" s="26">
        <v>70026</v>
      </c>
      <c r="P348" s="26">
        <v>13400</v>
      </c>
      <c r="Q348" s="26">
        <v>2320865</v>
      </c>
      <c r="R348" s="26">
        <v>37607</v>
      </c>
      <c r="S348" s="26">
        <v>73735</v>
      </c>
      <c r="T348" s="26">
        <v>23418</v>
      </c>
      <c r="U348" s="26">
        <v>39345</v>
      </c>
      <c r="V348" s="26">
        <v>96748</v>
      </c>
      <c r="W348" s="26">
        <v>146</v>
      </c>
      <c r="X348" s="26">
        <v>18</v>
      </c>
      <c r="Y348" s="26">
        <v>68000</v>
      </c>
      <c r="Z348" s="26">
        <v>23869</v>
      </c>
      <c r="AA348" s="26">
        <v>63</v>
      </c>
      <c r="AB348" s="26">
        <v>0</v>
      </c>
      <c r="AC348" s="26">
        <v>0</v>
      </c>
      <c r="AD348" s="26">
        <v>81.748970783154604</v>
      </c>
    </row>
    <row r="349" spans="1:30" x14ac:dyDescent="0.2">
      <c r="A349">
        <f>_xlfn.XLOOKUP(E349,Lookups!$E:$E,Lookups!$F:$F,0)</f>
        <v>0</v>
      </c>
      <c r="B349">
        <v>1</v>
      </c>
      <c r="C349" s="3" t="d">
        <v>2026-07-03</v>
      </c>
      <c r="D349" s="3"/>
      <c r="E349" s="26" t="s">
        <v>296</v>
      </c>
      <c r="F349" s="26" t="s">
        <v>27</v>
      </c>
      <c r="G349" s="26" t="s">
        <v>28</v>
      </c>
      <c r="H349" s="26" t="s">
        <v>297</v>
      </c>
      <c r="I349" s="26">
        <v>65041</v>
      </c>
      <c r="J349" s="26">
        <v>27902</v>
      </c>
      <c r="K349" s="26">
        <v>71172</v>
      </c>
      <c r="L349" s="26">
        <v>51293311</v>
      </c>
      <c r="M349" s="26">
        <v>382156</v>
      </c>
      <c r="N349" s="26">
        <v>1529001</v>
      </c>
      <c r="O349" s="26">
        <v>613359</v>
      </c>
      <c r="P349" s="26" t="s">
        <v>31</v>
      </c>
      <c r="Q349" s="26" t="s">
        <v>31</v>
      </c>
      <c r="R349" s="26" t="s">
        <v>31</v>
      </c>
      <c r="S349" s="26">
        <v>834709</v>
      </c>
      <c r="T349" s="26" t="s">
        <v>31</v>
      </c>
      <c r="U349" s="26" t="s">
        <v>31</v>
      </c>
      <c r="V349" s="26" t="s">
        <v>31</v>
      </c>
      <c r="W349" s="26">
        <v>291</v>
      </c>
      <c r="X349" s="26">
        <v>1</v>
      </c>
      <c r="Y349" s="26">
        <v>82385</v>
      </c>
      <c r="Z349" s="26" t="s">
        <v>31</v>
      </c>
      <c r="AA349" s="26" t="s">
        <v>31</v>
      </c>
      <c r="AB349" s="26" t="s">
        <v>31</v>
      </c>
      <c r="AC349" s="26" t="s">
        <v>31</v>
      </c>
      <c r="AD349" s="26" t="s">
        <v>31</v>
      </c>
    </row>
    <row r="350" spans="1:30" x14ac:dyDescent="0.2">
      <c r="A350">
        <f>_xlfn.XLOOKUP(E350,Lookups!$E:$E,Lookups!$F:$F,0)</f>
        <v>0</v>
      </c>
      <c r="B350">
        <v>1</v>
      </c>
      <c r="C350" s="3" t="d">
        <v>2026-07-03</v>
      </c>
      <c r="D350" s="3"/>
      <c r="E350" s="26" t="s">
        <v>610</v>
      </c>
      <c r="F350" s="26" t="s">
        <v>220</v>
      </c>
      <c r="G350" s="26" t="s">
        <v>36</v>
      </c>
      <c r="H350" s="26" t="s">
        <v>95</v>
      </c>
      <c r="I350" s="26">
        <v>65184</v>
      </c>
      <c r="J350" s="26">
        <v>598366</v>
      </c>
      <c r="K350" s="26">
        <v>283</v>
      </c>
      <c r="L350" s="26">
        <v>164579</v>
      </c>
      <c r="M350" s="26">
        <v>250</v>
      </c>
      <c r="N350" s="26">
        <v>2609</v>
      </c>
      <c r="O350" s="26">
        <v>42702</v>
      </c>
      <c r="P350" s="26">
        <v>29400</v>
      </c>
      <c r="Q350" s="26">
        <v>4386910</v>
      </c>
      <c r="R350" s="26">
        <v>7024</v>
      </c>
      <c r="S350" s="26">
        <v>44199</v>
      </c>
      <c r="T350" s="26">
        <v>171188</v>
      </c>
      <c r="U350" s="26">
        <v>10862</v>
      </c>
      <c r="V350" s="26">
        <v>193358</v>
      </c>
      <c r="W350" s="26">
        <v>357</v>
      </c>
      <c r="X350" s="26" t="s">
        <v>31</v>
      </c>
      <c r="Y350" s="26">
        <v>450698</v>
      </c>
      <c r="Z350" s="26">
        <v>97644</v>
      </c>
      <c r="AA350" s="26">
        <v>11</v>
      </c>
      <c r="AB350" s="26">
        <v>0</v>
      </c>
      <c r="AC350" s="26">
        <v>0</v>
      </c>
      <c r="AD350" s="26">
        <v>6.9035506085657401</v>
      </c>
    </row>
    <row r="351" spans="1:30" x14ac:dyDescent="0.2">
      <c r="A351">
        <f>_xlfn.XLOOKUP(E351,Lookups!$E:$E,Lookups!$F:$F,0)</f>
        <v>0</v>
      </c>
      <c r="B351">
        <v>1</v>
      </c>
      <c r="C351" s="3" t="d">
        <v>2026-07-03</v>
      </c>
      <c r="D351" s="3"/>
      <c r="E351" s="26" t="s">
        <v>307</v>
      </c>
      <c r="F351" s="26" t="s">
        <v>27</v>
      </c>
      <c r="G351" s="26" t="s">
        <v>28</v>
      </c>
      <c r="H351" s="26" t="s">
        <v>72</v>
      </c>
      <c r="I351" s="26">
        <v>65419</v>
      </c>
      <c r="J351" s="26">
        <v>32363</v>
      </c>
      <c r="K351" s="26">
        <v>65035</v>
      </c>
      <c r="L351" s="26">
        <v>46675387</v>
      </c>
      <c r="M351" s="26">
        <v>296351</v>
      </c>
      <c r="N351" s="26">
        <v>792918</v>
      </c>
      <c r="O351" s="26">
        <v>613359</v>
      </c>
      <c r="P351" s="26" t="s">
        <v>31</v>
      </c>
      <c r="Q351" s="26" t="s">
        <v>31</v>
      </c>
      <c r="R351" s="26" t="s">
        <v>31</v>
      </c>
      <c r="S351" s="26">
        <v>407730</v>
      </c>
      <c r="T351" s="26">
        <v>60</v>
      </c>
      <c r="U351" s="26">
        <v>3554</v>
      </c>
      <c r="V351" s="26">
        <v>86</v>
      </c>
      <c r="W351" s="26">
        <v>103</v>
      </c>
      <c r="X351" s="26" t="s">
        <v>31</v>
      </c>
      <c r="Y351" s="26">
        <v>226083</v>
      </c>
      <c r="Z351" s="26">
        <v>24001</v>
      </c>
      <c r="AA351" s="26">
        <v>53</v>
      </c>
      <c r="AB351" s="26">
        <v>0</v>
      </c>
      <c r="AC351" s="26">
        <v>0</v>
      </c>
      <c r="AD351" s="26">
        <v>58.973466642030402</v>
      </c>
    </row>
    <row r="352" spans="1:30" x14ac:dyDescent="0.2">
      <c r="A352">
        <f>_xlfn.XLOOKUP(E352,Lookups!$E:$E,Lookups!$F:$F,0)</f>
        <v>0</v>
      </c>
      <c r="B352">
        <v>1</v>
      </c>
      <c r="C352" s="3" t="d">
        <v>2026-07-03</v>
      </c>
      <c r="D352" s="3"/>
      <c r="E352" s="26" t="s">
        <v>278</v>
      </c>
      <c r="F352" s="26" t="s">
        <v>27</v>
      </c>
      <c r="G352" s="26" t="s">
        <v>28</v>
      </c>
      <c r="H352" s="26" t="s">
        <v>46</v>
      </c>
      <c r="I352" s="26">
        <v>65647</v>
      </c>
      <c r="J352" s="26">
        <v>73591</v>
      </c>
      <c r="K352" s="26">
        <v>84631</v>
      </c>
      <c r="L352" s="26">
        <v>19763277</v>
      </c>
      <c r="M352" s="26">
        <v>173273</v>
      </c>
      <c r="N352" s="26">
        <v>169740</v>
      </c>
      <c r="O352" s="26">
        <v>142466</v>
      </c>
      <c r="P352" s="26">
        <v>15</v>
      </c>
      <c r="Q352" s="26">
        <v>913204</v>
      </c>
      <c r="R352" s="26">
        <v>9252</v>
      </c>
      <c r="S352" s="26">
        <v>34491</v>
      </c>
      <c r="T352" s="26">
        <v>108457</v>
      </c>
      <c r="U352" s="26">
        <v>33781</v>
      </c>
      <c r="V352" s="26">
        <v>609305</v>
      </c>
      <c r="W352" s="26">
        <v>5662</v>
      </c>
      <c r="X352" s="26">
        <v>71</v>
      </c>
      <c r="Y352" s="26">
        <v>125091</v>
      </c>
      <c r="Z352" s="26">
        <v>90486</v>
      </c>
      <c r="AA352" s="26">
        <v>37</v>
      </c>
      <c r="AB352" s="26">
        <v>0</v>
      </c>
      <c r="AC352" s="26">
        <v>0</v>
      </c>
      <c r="AD352" s="26">
        <v>37.491112941196</v>
      </c>
    </row>
    <row r="353" spans="1:30" x14ac:dyDescent="0.2">
      <c r="A353">
        <f>_xlfn.XLOOKUP(E353,Lookups!$E:$E,Lookups!$F:$F,0)</f>
        <v>0</v>
      </c>
      <c r="B353">
        <v>1</v>
      </c>
      <c r="C353" s="3" t="d">
        <v>2026-07-03</v>
      </c>
      <c r="D353" s="3"/>
      <c r="E353" s="26" t="s">
        <v>380</v>
      </c>
      <c r="F353" s="26" t="s">
        <v>27</v>
      </c>
      <c r="G353" s="26" t="s">
        <v>28</v>
      </c>
      <c r="H353" s="26" t="s">
        <v>31</v>
      </c>
      <c r="I353" s="26">
        <v>65866</v>
      </c>
      <c r="J353" s="26">
        <v>64672</v>
      </c>
      <c r="K353" s="26">
        <v>37792</v>
      </c>
      <c r="L353" s="26">
        <v>46070433</v>
      </c>
      <c r="M353" s="26">
        <v>116165</v>
      </c>
      <c r="N353" s="26">
        <v>199466</v>
      </c>
      <c r="O353" s="26">
        <v>613359</v>
      </c>
      <c r="P353" s="26" t="s">
        <v>31</v>
      </c>
      <c r="Q353" s="26" t="s">
        <v>31</v>
      </c>
      <c r="R353" s="26" t="s">
        <v>31</v>
      </c>
      <c r="S353" s="26">
        <v>27193</v>
      </c>
      <c r="T353" s="26">
        <v>94826</v>
      </c>
      <c r="U353" s="26">
        <v>146982</v>
      </c>
      <c r="V353" s="26">
        <v>293516</v>
      </c>
      <c r="W353" s="26">
        <v>142</v>
      </c>
      <c r="X353" s="26" t="s">
        <v>31</v>
      </c>
      <c r="Y353" s="26">
        <v>353861</v>
      </c>
      <c r="Z353" s="26" t="s">
        <v>31</v>
      </c>
      <c r="AA353" s="26" t="s">
        <v>31</v>
      </c>
      <c r="AB353" s="26" t="s">
        <v>31</v>
      </c>
      <c r="AC353" s="26" t="s">
        <v>31</v>
      </c>
      <c r="AD353" s="26" t="s">
        <v>31</v>
      </c>
    </row>
    <row r="354" spans="1:30" x14ac:dyDescent="0.2">
      <c r="A354">
        <f>_xlfn.XLOOKUP(E354,Lookups!$E:$E,Lookups!$F:$F,0)</f>
        <v>0</v>
      </c>
      <c r="B354">
        <v>1</v>
      </c>
      <c r="C354" s="3" t="d">
        <v>2026-07-03</v>
      </c>
      <c r="D354" s="3"/>
      <c r="E354" s="26" t="s">
        <v>384</v>
      </c>
      <c r="F354" s="26" t="s">
        <v>27</v>
      </c>
      <c r="G354" s="26" t="s">
        <v>28</v>
      </c>
      <c r="H354" s="26" t="s">
        <v>385</v>
      </c>
      <c r="I354" s="26">
        <v>65952</v>
      </c>
      <c r="J354" s="26">
        <v>59683</v>
      </c>
      <c r="K354" s="26">
        <v>36787</v>
      </c>
      <c r="L354" s="26">
        <v>21516671</v>
      </c>
      <c r="M354" s="26">
        <v>150137</v>
      </c>
      <c r="N354" s="26">
        <v>2721642</v>
      </c>
      <c r="O354" s="26">
        <v>66013</v>
      </c>
      <c r="P354" s="26">
        <v>12400</v>
      </c>
      <c r="Q354" s="26">
        <v>6192374</v>
      </c>
      <c r="R354" s="26">
        <v>65058</v>
      </c>
      <c r="S354" s="26">
        <v>64624</v>
      </c>
      <c r="T354" s="26">
        <v>7840</v>
      </c>
      <c r="U354" s="26">
        <v>106857</v>
      </c>
      <c r="V354" s="26">
        <v>145478</v>
      </c>
      <c r="W354" s="26">
        <v>1203</v>
      </c>
      <c r="X354" s="26">
        <v>7077</v>
      </c>
      <c r="Y354" s="26">
        <v>83319</v>
      </c>
      <c r="Z354" s="26">
        <v>4403</v>
      </c>
      <c r="AA354" s="26">
        <v>161</v>
      </c>
      <c r="AB354" s="26">
        <v>12</v>
      </c>
      <c r="AC354" s="26">
        <v>253</v>
      </c>
      <c r="AD354" s="26">
        <v>1295.8243023929599</v>
      </c>
    </row>
    <row r="355" spans="1:30" x14ac:dyDescent="0.2">
      <c r="A355">
        <f>_xlfn.XLOOKUP(E355,Lookups!$E:$E,Lookups!$F:$F,0)</f>
        <v>0</v>
      </c>
      <c r="B355">
        <v>1</v>
      </c>
      <c r="C355" s="3" t="d">
        <v>2026-07-03</v>
      </c>
      <c r="D355" s="3"/>
      <c r="E355" s="26" t="s">
        <v>321</v>
      </c>
      <c r="F355" s="26" t="s">
        <v>27</v>
      </c>
      <c r="G355" s="26" t="s">
        <v>28</v>
      </c>
      <c r="H355" s="26" t="s">
        <v>37</v>
      </c>
      <c r="I355" s="26">
        <v>66079</v>
      </c>
      <c r="J355" s="26">
        <v>59986</v>
      </c>
      <c r="K355" s="26">
        <v>57681</v>
      </c>
      <c r="L355" s="26">
        <v>19961645</v>
      </c>
      <c r="M355" s="26">
        <v>164057</v>
      </c>
      <c r="N355" s="26">
        <v>742546</v>
      </c>
      <c r="O355" s="26">
        <v>178161</v>
      </c>
      <c r="P355" s="26">
        <v>2610</v>
      </c>
      <c r="Q355" s="26">
        <v>222242</v>
      </c>
      <c r="R355" s="26">
        <v>3430</v>
      </c>
      <c r="S355" s="26">
        <v>44290</v>
      </c>
      <c r="T355" s="26">
        <v>22500</v>
      </c>
      <c r="U355" s="26">
        <v>37747</v>
      </c>
      <c r="V355" s="26" t="s">
        <v>31</v>
      </c>
      <c r="W355" s="26">
        <v>83</v>
      </c>
      <c r="X355" s="26" t="s">
        <v>31</v>
      </c>
      <c r="Y355" s="26">
        <v>398380</v>
      </c>
      <c r="Z355" s="26">
        <v>17121</v>
      </c>
      <c r="AA355" s="26">
        <v>87</v>
      </c>
      <c r="AB355" s="26">
        <v>0</v>
      </c>
      <c r="AC355" s="26">
        <v>0</v>
      </c>
      <c r="AD355" s="26">
        <v>93.732985701733696</v>
      </c>
    </row>
    <row r="356" spans="1:30" x14ac:dyDescent="0.2">
      <c r="A356">
        <f>_xlfn.XLOOKUP(E356,Lookups!$E:$E,Lookups!$F:$F,0)</f>
        <v>0</v>
      </c>
      <c r="B356">
        <v>1</v>
      </c>
      <c r="C356" s="3" t="d">
        <v>2026-07-03</v>
      </c>
      <c r="D356" s="3"/>
      <c r="E356" s="26" t="s">
        <v>611</v>
      </c>
      <c r="F356" s="26" t="s">
        <v>428</v>
      </c>
      <c r="G356" s="26" t="s">
        <v>36</v>
      </c>
      <c r="H356" s="26" t="s">
        <v>612</v>
      </c>
      <c r="I356" s="26">
        <v>66435</v>
      </c>
      <c r="J356" s="26">
        <v>41464</v>
      </c>
      <c r="K356" s="26">
        <v>7125</v>
      </c>
      <c r="L356" s="26">
        <v>33542131</v>
      </c>
      <c r="M356" s="26">
        <v>386333</v>
      </c>
      <c r="N356" s="26">
        <v>5376385</v>
      </c>
      <c r="O356" s="26">
        <v>91275</v>
      </c>
      <c r="P356" s="26">
        <v>4850</v>
      </c>
      <c r="Q356" s="26">
        <v>6770874</v>
      </c>
      <c r="R356" s="26">
        <v>86776</v>
      </c>
      <c r="S356" s="26">
        <v>66866</v>
      </c>
      <c r="T356" s="26">
        <v>46214</v>
      </c>
      <c r="U356" s="26">
        <v>44954</v>
      </c>
      <c r="V356" s="26">
        <v>30455</v>
      </c>
      <c r="W356" s="26">
        <v>162</v>
      </c>
      <c r="X356" s="26">
        <v>639</v>
      </c>
      <c r="Y356" s="26">
        <v>32110</v>
      </c>
      <c r="Z356" s="26" t="s">
        <v>31</v>
      </c>
      <c r="AA356" s="26" t="s">
        <v>31</v>
      </c>
      <c r="AB356" s="26" t="s">
        <v>31</v>
      </c>
      <c r="AC356" s="26" t="s">
        <v>31</v>
      </c>
      <c r="AD356" s="26" t="s">
        <v>31</v>
      </c>
    </row>
    <row r="357" spans="1:30" x14ac:dyDescent="0.2">
      <c r="A357">
        <f>_xlfn.XLOOKUP(E357,Lookups!$E:$E,Lookups!$F:$F,0)</f>
        <v>0</v>
      </c>
      <c r="B357">
        <v>1</v>
      </c>
      <c r="C357" s="3" t="d">
        <v>2026-07-03</v>
      </c>
      <c r="D357" s="3"/>
      <c r="E357" s="26" t="s">
        <v>381</v>
      </c>
      <c r="F357" s="26" t="s">
        <v>27</v>
      </c>
      <c r="G357" s="26" t="s">
        <v>77</v>
      </c>
      <c r="H357" s="26" t="s">
        <v>46</v>
      </c>
      <c r="I357" s="26">
        <v>66508</v>
      </c>
      <c r="J357" s="26">
        <v>85239</v>
      </c>
      <c r="K357" s="26">
        <v>37472</v>
      </c>
      <c r="L357" s="26">
        <v>27754897</v>
      </c>
      <c r="M357" s="26">
        <v>79020</v>
      </c>
      <c r="N357" s="26">
        <v>7871</v>
      </c>
      <c r="O357" s="26">
        <v>56373</v>
      </c>
      <c r="P357" s="26">
        <v>12900</v>
      </c>
      <c r="Q357" s="26">
        <v>3390960</v>
      </c>
      <c r="R357" s="26">
        <v>35434</v>
      </c>
      <c r="S357" s="26">
        <v>260890</v>
      </c>
      <c r="T357" s="26">
        <v>62200</v>
      </c>
      <c r="U357" s="26" t="s">
        <v>31</v>
      </c>
      <c r="V357" s="26" t="s">
        <v>31</v>
      </c>
      <c r="W357" s="26">
        <v>3163</v>
      </c>
      <c r="X357" s="26">
        <v>8</v>
      </c>
      <c r="Y357" s="26">
        <v>466238</v>
      </c>
      <c r="Z357" s="26" t="s">
        <v>31</v>
      </c>
      <c r="AA357" s="26" t="s">
        <v>31</v>
      </c>
      <c r="AB357" s="26" t="s">
        <v>31</v>
      </c>
      <c r="AC357" s="26" t="s">
        <v>31</v>
      </c>
      <c r="AD357" s="26" t="s">
        <v>31</v>
      </c>
    </row>
    <row r="358" spans="1:30" x14ac:dyDescent="0.2">
      <c r="A358">
        <f>_xlfn.XLOOKUP(E358,Lookups!$E:$E,Lookups!$F:$F,0)</f>
        <v>0</v>
      </c>
      <c r="B358">
        <v>1</v>
      </c>
      <c r="C358" s="3" t="d">
        <v>2026-07-03</v>
      </c>
      <c r="D358" s="3"/>
      <c r="E358" s="26" t="s">
        <v>236</v>
      </c>
      <c r="F358" s="26" t="s">
        <v>27</v>
      </c>
      <c r="G358" s="26" t="s">
        <v>28</v>
      </c>
      <c r="H358" s="26" t="s">
        <v>72</v>
      </c>
      <c r="I358" s="26">
        <v>66626</v>
      </c>
      <c r="J358" s="26">
        <v>73161</v>
      </c>
      <c r="K358" s="26">
        <v>120997</v>
      </c>
      <c r="L358" s="26">
        <v>12203711</v>
      </c>
      <c r="M358" s="26">
        <v>83193</v>
      </c>
      <c r="N358" s="26">
        <v>189334</v>
      </c>
      <c r="O358" s="26">
        <v>543702</v>
      </c>
      <c r="P358" s="26">
        <v>20</v>
      </c>
      <c r="Q358" s="26">
        <v>1478</v>
      </c>
      <c r="R358" s="26">
        <v>19</v>
      </c>
      <c r="S358" s="26">
        <v>55362</v>
      </c>
      <c r="T358" s="26" t="s">
        <v>31</v>
      </c>
      <c r="U358" s="26">
        <v>41097</v>
      </c>
      <c r="V358" s="26">
        <v>153718</v>
      </c>
      <c r="W358" s="26">
        <v>853</v>
      </c>
      <c r="X358" s="26">
        <v>663</v>
      </c>
      <c r="Y358" s="26">
        <v>148401</v>
      </c>
      <c r="Z358" s="26">
        <v>19470</v>
      </c>
      <c r="AA358" s="26">
        <v>176</v>
      </c>
      <c r="AB358" s="26">
        <v>0</v>
      </c>
      <c r="AC358" s="26">
        <v>0</v>
      </c>
      <c r="AD358" s="26">
        <v>172.09195923415001</v>
      </c>
    </row>
    <row r="359" spans="1:30" x14ac:dyDescent="0.2">
      <c r="A359">
        <f>_xlfn.XLOOKUP(E359,Lookups!$E:$E,Lookups!$F:$F,0)</f>
        <v>0</v>
      </c>
      <c r="B359">
        <v>1</v>
      </c>
      <c r="C359" s="3" t="d">
        <v>2026-07-03</v>
      </c>
      <c r="D359" s="3"/>
      <c r="E359" s="26" t="s">
        <v>613</v>
      </c>
      <c r="F359" s="26" t="s">
        <v>27</v>
      </c>
      <c r="G359" s="26" t="s">
        <v>28</v>
      </c>
      <c r="H359" s="26" t="s">
        <v>95</v>
      </c>
      <c r="I359" s="26">
        <v>66659</v>
      </c>
      <c r="J359" s="26">
        <v>121304</v>
      </c>
      <c r="K359" s="26">
        <v>3058</v>
      </c>
      <c r="L359" s="26">
        <v>2686372</v>
      </c>
      <c r="M359" s="26">
        <v>91235</v>
      </c>
      <c r="N359" s="26">
        <v>53</v>
      </c>
      <c r="O359" s="26">
        <v>38985</v>
      </c>
      <c r="P359" s="26">
        <v>109000</v>
      </c>
      <c r="Q359" s="26">
        <v>9547790</v>
      </c>
      <c r="R359" s="26">
        <v>15863</v>
      </c>
      <c r="S359" s="26">
        <v>526350</v>
      </c>
      <c r="T359" s="26" t="s">
        <v>31</v>
      </c>
      <c r="U359" s="26">
        <v>367</v>
      </c>
      <c r="V359" s="26" t="s">
        <v>31</v>
      </c>
      <c r="W359" s="26">
        <v>11</v>
      </c>
      <c r="X359" s="26">
        <v>8</v>
      </c>
      <c r="Y359" s="26">
        <v>466209</v>
      </c>
      <c r="Z359" s="26" t="s">
        <v>31</v>
      </c>
      <c r="AA359" s="26" t="s">
        <v>31</v>
      </c>
      <c r="AB359" s="26" t="s">
        <v>31</v>
      </c>
      <c r="AC359" s="26" t="s">
        <v>31</v>
      </c>
      <c r="AD359" s="26" t="s">
        <v>31</v>
      </c>
    </row>
    <row r="360" spans="1:30" x14ac:dyDescent="0.2">
      <c r="A360">
        <f>_xlfn.XLOOKUP(E360,Lookups!$E:$E,Lookups!$F:$F,0)</f>
        <v>0</v>
      </c>
      <c r="B360">
        <v>1</v>
      </c>
      <c r="C360" s="3" t="d">
        <v>2026-07-03</v>
      </c>
      <c r="D360" s="3"/>
      <c r="E360" s="26" t="s">
        <v>265</v>
      </c>
      <c r="F360" s="26" t="s">
        <v>27</v>
      </c>
      <c r="G360" s="26" t="s">
        <v>28</v>
      </c>
      <c r="H360" s="26" t="s">
        <v>266</v>
      </c>
      <c r="I360" s="26">
        <v>66767</v>
      </c>
      <c r="J360" s="26">
        <v>86377</v>
      </c>
      <c r="K360" s="26">
        <v>94301</v>
      </c>
      <c r="L360" s="26">
        <v>9903794</v>
      </c>
      <c r="M360" s="26">
        <v>38013</v>
      </c>
      <c r="N360" s="26">
        <v>685240</v>
      </c>
      <c r="O360" s="26">
        <v>613359</v>
      </c>
      <c r="P360" s="26" t="s">
        <v>31</v>
      </c>
      <c r="Q360" s="26" t="s">
        <v>31</v>
      </c>
      <c r="R360" s="26" t="s">
        <v>31</v>
      </c>
      <c r="S360" s="26">
        <v>47322</v>
      </c>
      <c r="T360" s="26" t="s">
        <v>31</v>
      </c>
      <c r="U360" s="26">
        <v>117235</v>
      </c>
      <c r="V360" s="26">
        <v>399257</v>
      </c>
      <c r="W360" s="26">
        <v>2706</v>
      </c>
      <c r="X360" s="26">
        <v>2862</v>
      </c>
      <c r="Y360" s="26">
        <v>69028</v>
      </c>
      <c r="Z360" s="26">
        <v>2369</v>
      </c>
      <c r="AA360" s="26">
        <v>55</v>
      </c>
      <c r="AB360" s="26">
        <v>4</v>
      </c>
      <c r="AC360" s="26">
        <v>547</v>
      </c>
      <c r="AD360" s="26">
        <v>3336.2397364656499</v>
      </c>
    </row>
    <row r="361" spans="1:30" x14ac:dyDescent="0.2">
      <c r="A361">
        <f>_xlfn.XLOOKUP(E361,Lookups!$E:$E,Lookups!$F:$F,0)</f>
        <v>0</v>
      </c>
      <c r="B361">
        <v>1</v>
      </c>
      <c r="C361" s="3" t="d">
        <v>2026-07-03</v>
      </c>
      <c r="D361" s="3"/>
      <c r="E361" s="26" t="s">
        <v>306</v>
      </c>
      <c r="F361" s="26" t="s">
        <v>27</v>
      </c>
      <c r="G361" s="26" t="s">
        <v>28</v>
      </c>
      <c r="H361" s="26" t="s">
        <v>33</v>
      </c>
      <c r="I361" s="26">
        <v>66780</v>
      </c>
      <c r="J361" s="26">
        <v>78806</v>
      </c>
      <c r="K361" s="26">
        <v>65580</v>
      </c>
      <c r="L361" s="26">
        <v>40519801</v>
      </c>
      <c r="M361" s="26">
        <v>70028</v>
      </c>
      <c r="N361" s="26">
        <v>370625</v>
      </c>
      <c r="O361" s="26">
        <v>130493</v>
      </c>
      <c r="P361" s="26">
        <v>4940</v>
      </c>
      <c r="Q361" s="26">
        <v>522483</v>
      </c>
      <c r="R361" s="26">
        <v>7342</v>
      </c>
      <c r="S361" s="26">
        <v>45307</v>
      </c>
      <c r="T361" s="26">
        <v>130830</v>
      </c>
      <c r="U361" s="26">
        <v>122395</v>
      </c>
      <c r="V361" s="26" t="s">
        <v>31</v>
      </c>
      <c r="W361" s="26">
        <v>959</v>
      </c>
      <c r="X361" s="26" t="s">
        <v>31</v>
      </c>
      <c r="Y361" s="26">
        <v>41251</v>
      </c>
      <c r="Z361" s="26">
        <v>22323</v>
      </c>
      <c r="AA361" s="26">
        <v>69</v>
      </c>
      <c r="AB361" s="26">
        <v>1</v>
      </c>
      <c r="AC361" s="26">
        <v>4</v>
      </c>
      <c r="AD361" s="26">
        <v>92.666649913446705</v>
      </c>
    </row>
    <row r="362" spans="1:30" x14ac:dyDescent="0.2">
      <c r="A362">
        <f>_xlfn.XLOOKUP(E362,Lookups!$E:$E,Lookups!$F:$F,0)</f>
        <v>0</v>
      </c>
      <c r="B362">
        <v>1</v>
      </c>
      <c r="C362" s="3" t="d">
        <v>2026-07-03</v>
      </c>
      <c r="D362" s="3"/>
      <c r="E362" s="26" t="s">
        <v>371</v>
      </c>
      <c r="F362" s="26" t="s">
        <v>27</v>
      </c>
      <c r="G362" s="26" t="s">
        <v>28</v>
      </c>
      <c r="H362" s="26" t="s">
        <v>31</v>
      </c>
      <c r="I362" s="26">
        <v>67069</v>
      </c>
      <c r="J362" s="26">
        <v>145012</v>
      </c>
      <c r="K362" s="26">
        <v>41204</v>
      </c>
      <c r="L362" s="26">
        <v>8176025</v>
      </c>
      <c r="M362" s="26">
        <v>197</v>
      </c>
      <c r="N362" s="26">
        <v>7573</v>
      </c>
      <c r="O362" s="26">
        <v>26495</v>
      </c>
      <c r="P362" s="26">
        <v>197000</v>
      </c>
      <c r="Q362" s="26">
        <v>247795</v>
      </c>
      <c r="R362" s="26">
        <v>6282</v>
      </c>
      <c r="S362" s="26">
        <v>46713</v>
      </c>
      <c r="T362" s="26">
        <v>10</v>
      </c>
      <c r="U362" s="26">
        <v>24194</v>
      </c>
      <c r="V362" s="26">
        <v>808466</v>
      </c>
      <c r="W362" s="26" t="s">
        <v>31</v>
      </c>
      <c r="X362" s="26" t="s">
        <v>31</v>
      </c>
      <c r="Y362" s="26">
        <v>466238</v>
      </c>
      <c r="Z362" s="26" t="s">
        <v>31</v>
      </c>
      <c r="AA362" s="26" t="s">
        <v>31</v>
      </c>
      <c r="AB362" s="26" t="s">
        <v>31</v>
      </c>
      <c r="AC362" s="26" t="s">
        <v>31</v>
      </c>
      <c r="AD362" s="26" t="s">
        <v>31</v>
      </c>
    </row>
    <row r="363" spans="1:30" x14ac:dyDescent="0.2">
      <c r="A363">
        <f>_xlfn.XLOOKUP(E363,Lookups!$E:$E,Lookups!$F:$F,0)</f>
        <v>0</v>
      </c>
      <c r="B363">
        <v>1</v>
      </c>
      <c r="C363" s="3" t="d">
        <v>2026-07-03</v>
      </c>
      <c r="D363" s="3"/>
      <c r="E363" s="26" t="s">
        <v>403</v>
      </c>
      <c r="F363" s="26" t="s">
        <v>27</v>
      </c>
      <c r="G363" s="26" t="s">
        <v>36</v>
      </c>
      <c r="H363" s="26" t="s">
        <v>31</v>
      </c>
      <c r="I363" s="26">
        <v>67094</v>
      </c>
      <c r="J363" s="26">
        <v>114994</v>
      </c>
      <c r="K363" s="26">
        <v>30795</v>
      </c>
      <c r="L363" s="26">
        <v>7188635</v>
      </c>
      <c r="M363" s="26">
        <v>48708</v>
      </c>
      <c r="N363" s="26">
        <v>775</v>
      </c>
      <c r="O363" s="26">
        <v>36728</v>
      </c>
      <c r="P363" s="26">
        <v>32900</v>
      </c>
      <c r="Q363" s="26">
        <v>7530342</v>
      </c>
      <c r="R363" s="26">
        <v>66576</v>
      </c>
      <c r="S363" s="26">
        <v>95631</v>
      </c>
      <c r="T363" s="26">
        <v>43600</v>
      </c>
      <c r="U363" s="26">
        <v>8668</v>
      </c>
      <c r="V363" s="26">
        <v>57023</v>
      </c>
      <c r="W363" s="26">
        <v>235</v>
      </c>
      <c r="X363" s="26" t="s">
        <v>31</v>
      </c>
      <c r="Y363" s="26">
        <v>466238</v>
      </c>
      <c r="Z363" s="26" t="s">
        <v>31</v>
      </c>
      <c r="AA363" s="26" t="s">
        <v>31</v>
      </c>
      <c r="AB363" s="26" t="s">
        <v>31</v>
      </c>
      <c r="AC363" s="26" t="s">
        <v>31</v>
      </c>
      <c r="AD363" s="26" t="s">
        <v>31</v>
      </c>
    </row>
    <row r="364" spans="1:30" x14ac:dyDescent="0.2">
      <c r="A364">
        <f>_xlfn.XLOOKUP(E364,Lookups!$E:$E,Lookups!$F:$F,0)</f>
        <v>0</v>
      </c>
      <c r="B364">
        <v>1</v>
      </c>
      <c r="C364" s="3" t="d">
        <v>2026-07-03</v>
      </c>
      <c r="D364" s="3"/>
      <c r="E364" s="26" t="s">
        <v>614</v>
      </c>
      <c r="F364" s="26" t="s">
        <v>27</v>
      </c>
      <c r="G364" s="26" t="s">
        <v>28</v>
      </c>
      <c r="H364" s="26" t="s">
        <v>31</v>
      </c>
      <c r="I364" s="26">
        <v>67159</v>
      </c>
      <c r="J364" s="26">
        <v>61014</v>
      </c>
      <c r="K364" s="26">
        <v>3391</v>
      </c>
      <c r="L364" s="26">
        <v>114441901</v>
      </c>
      <c r="M364" s="26">
        <v>20678</v>
      </c>
      <c r="N364" s="26">
        <v>2743995</v>
      </c>
      <c r="O364" s="26">
        <v>613359</v>
      </c>
      <c r="P364" s="26" t="s">
        <v>31</v>
      </c>
      <c r="Q364" s="26" t="s">
        <v>31</v>
      </c>
      <c r="R364" s="26" t="s">
        <v>31</v>
      </c>
      <c r="S364" s="26">
        <v>439342</v>
      </c>
      <c r="T364" s="26" t="s">
        <v>31</v>
      </c>
      <c r="U364" s="26">
        <v>3847</v>
      </c>
      <c r="V364" s="26" t="s">
        <v>31</v>
      </c>
      <c r="W364" s="26" t="s">
        <v>31</v>
      </c>
      <c r="X364" s="26" t="s">
        <v>31</v>
      </c>
      <c r="Y364" s="26">
        <v>466238</v>
      </c>
      <c r="Z364" s="26" t="s">
        <v>31</v>
      </c>
      <c r="AA364" s="26" t="s">
        <v>31</v>
      </c>
      <c r="AB364" s="26" t="s">
        <v>31</v>
      </c>
      <c r="AC364" s="26" t="s">
        <v>31</v>
      </c>
      <c r="AD364" s="26" t="s">
        <v>31</v>
      </c>
    </row>
    <row r="365" spans="1:30" x14ac:dyDescent="0.2">
      <c r="A365">
        <f>_xlfn.XLOOKUP(E365,Lookups!$E:$E,Lookups!$F:$F,0)</f>
        <v>0</v>
      </c>
      <c r="B365">
        <v>1</v>
      </c>
      <c r="C365" s="3" t="d">
        <v>2026-07-03</v>
      </c>
      <c r="D365" s="3"/>
      <c r="E365" s="26" t="s">
        <v>411</v>
      </c>
      <c r="F365" s="26" t="s">
        <v>27</v>
      </c>
      <c r="G365" s="26" t="s">
        <v>28</v>
      </c>
      <c r="H365" s="26" t="s">
        <v>337</v>
      </c>
      <c r="I365" s="26">
        <v>67352</v>
      </c>
      <c r="J365" s="26">
        <v>65557</v>
      </c>
      <c r="K365" s="26">
        <v>28823</v>
      </c>
      <c r="L365" s="26">
        <v>18010047</v>
      </c>
      <c r="M365" s="26">
        <v>138719</v>
      </c>
      <c r="N365" s="26">
        <v>252170</v>
      </c>
      <c r="O365" s="26">
        <v>613359</v>
      </c>
      <c r="P365" s="26" t="s">
        <v>31</v>
      </c>
      <c r="Q365" s="26" t="s">
        <v>31</v>
      </c>
      <c r="R365" s="26" t="s">
        <v>31</v>
      </c>
      <c r="S365" s="26">
        <v>15991</v>
      </c>
      <c r="T365" s="26">
        <v>294536</v>
      </c>
      <c r="U365" s="26">
        <v>458159</v>
      </c>
      <c r="V365" s="26">
        <v>13377</v>
      </c>
      <c r="W365" s="26">
        <v>110</v>
      </c>
      <c r="X365" s="26">
        <v>30</v>
      </c>
      <c r="Y365" s="26">
        <v>395892</v>
      </c>
      <c r="Z365" s="26" t="s">
        <v>31</v>
      </c>
      <c r="AA365" s="26" t="s">
        <v>31</v>
      </c>
      <c r="AB365" s="26" t="s">
        <v>31</v>
      </c>
      <c r="AC365" s="26" t="s">
        <v>31</v>
      </c>
      <c r="AD365" s="26" t="s">
        <v>31</v>
      </c>
    </row>
    <row r="366" spans="1:30" x14ac:dyDescent="0.2">
      <c r="A366">
        <f>_xlfn.XLOOKUP(E366,Lookups!$E:$E,Lookups!$F:$F,0)</f>
        <v>0</v>
      </c>
      <c r="B366">
        <v>1</v>
      </c>
      <c r="C366" s="3" t="d">
        <v>2026-07-03</v>
      </c>
      <c r="D366" s="3"/>
      <c r="E366" s="26" t="s">
        <v>369</v>
      </c>
      <c r="F366" s="26" t="s">
        <v>27</v>
      </c>
      <c r="G366" s="26" t="s">
        <v>28</v>
      </c>
      <c r="H366" s="26" t="s">
        <v>37</v>
      </c>
      <c r="I366" s="26">
        <v>67682</v>
      </c>
      <c r="J366" s="26">
        <v>68098</v>
      </c>
      <c r="K366" s="26">
        <v>41974</v>
      </c>
      <c r="L366" s="26">
        <v>17121771</v>
      </c>
      <c r="M366" s="26">
        <v>138080</v>
      </c>
      <c r="N366" s="26">
        <v>255654</v>
      </c>
      <c r="O366" s="26">
        <v>68726</v>
      </c>
      <c r="P366" s="26">
        <v>21800</v>
      </c>
      <c r="Q366" s="26">
        <v>3860272</v>
      </c>
      <c r="R366" s="26">
        <v>38229</v>
      </c>
      <c r="S366" s="26">
        <v>101156</v>
      </c>
      <c r="T366" s="26">
        <v>7156</v>
      </c>
      <c r="U366" s="26">
        <v>33106</v>
      </c>
      <c r="V366" s="26">
        <v>85021</v>
      </c>
      <c r="W366" s="26">
        <v>678</v>
      </c>
      <c r="X366" s="26" t="s">
        <v>31</v>
      </c>
      <c r="Y366" s="26">
        <v>178849</v>
      </c>
      <c r="Z366" s="26" t="s">
        <v>31</v>
      </c>
      <c r="AA366" s="26" t="s">
        <v>31</v>
      </c>
      <c r="AB366" s="26" t="s">
        <v>31</v>
      </c>
      <c r="AC366" s="26" t="s">
        <v>31</v>
      </c>
      <c r="AD366" s="26" t="s">
        <v>31</v>
      </c>
    </row>
    <row r="367" spans="1:30" x14ac:dyDescent="0.2">
      <c r="A367">
        <f>_xlfn.XLOOKUP(E367,Lookups!$E:$E,Lookups!$F:$F,0)</f>
        <v>0</v>
      </c>
      <c r="B367">
        <v>1</v>
      </c>
      <c r="C367" s="3" t="d">
        <v>2026-07-03</v>
      </c>
      <c r="D367" s="3"/>
      <c r="E367" s="26" t="s">
        <v>346</v>
      </c>
      <c r="F367" s="26" t="s">
        <v>27</v>
      </c>
      <c r="G367" s="26" t="s">
        <v>28</v>
      </c>
      <c r="H367" s="26" t="s">
        <v>40</v>
      </c>
      <c r="I367" s="26">
        <v>67900</v>
      </c>
      <c r="J367" s="26">
        <v>98408</v>
      </c>
      <c r="K367" s="26">
        <v>48823</v>
      </c>
      <c r="L367" s="26">
        <v>46692216</v>
      </c>
      <c r="M367" s="26">
        <v>18006</v>
      </c>
      <c r="N367" s="26">
        <v>935423</v>
      </c>
      <c r="O367" s="26">
        <v>107733</v>
      </c>
      <c r="P367" s="26">
        <v>48800</v>
      </c>
      <c r="Q367" s="26">
        <v>17977</v>
      </c>
      <c r="R367" s="26">
        <v>413</v>
      </c>
      <c r="S367" s="26">
        <v>82743</v>
      </c>
      <c r="T367" s="26">
        <v>15527</v>
      </c>
      <c r="U367" s="26">
        <v>78734</v>
      </c>
      <c r="V367" s="26">
        <v>69340</v>
      </c>
      <c r="W367" s="26">
        <v>464</v>
      </c>
      <c r="X367" s="26">
        <v>847</v>
      </c>
      <c r="Y367" s="26">
        <v>58153</v>
      </c>
      <c r="Z367" s="26">
        <v>80640</v>
      </c>
      <c r="AA367" s="26">
        <v>20</v>
      </c>
      <c r="AB367" s="26">
        <v>0</v>
      </c>
      <c r="AC367" s="26">
        <v>0</v>
      </c>
      <c r="AD367" s="26">
        <v>9.6621933648278802</v>
      </c>
    </row>
    <row r="368" spans="1:30" x14ac:dyDescent="0.2">
      <c r="A368">
        <f>_xlfn.XLOOKUP(E368,Lookups!$E:$E,Lookups!$F:$F,0)</f>
        <v>0</v>
      </c>
      <c r="B368">
        <v>1</v>
      </c>
      <c r="C368" s="3" t="d">
        <v>2026-07-03</v>
      </c>
      <c r="D368" s="3"/>
      <c r="E368" s="26" t="s">
        <v>248</v>
      </c>
      <c r="F368" s="26" t="s">
        <v>31</v>
      </c>
      <c r="G368" s="26" t="s">
        <v>28</v>
      </c>
      <c r="H368" s="26" t="s">
        <v>37</v>
      </c>
      <c r="I368" s="26">
        <v>67928</v>
      </c>
      <c r="J368" s="26">
        <v>44068</v>
      </c>
      <c r="K368" s="26">
        <v>111467</v>
      </c>
      <c r="L368" s="26">
        <v>22472169</v>
      </c>
      <c r="M368" s="26">
        <v>182266</v>
      </c>
      <c r="N368" s="26">
        <v>310653</v>
      </c>
      <c r="O368" s="26">
        <v>613359</v>
      </c>
      <c r="P368" s="26" t="s">
        <v>31</v>
      </c>
      <c r="Q368" s="26" t="s">
        <v>31</v>
      </c>
      <c r="R368" s="26" t="s">
        <v>31</v>
      </c>
      <c r="S368" s="26">
        <v>91490</v>
      </c>
      <c r="T368" s="26">
        <v>147200</v>
      </c>
      <c r="U368" s="26">
        <v>398</v>
      </c>
      <c r="V368" s="26">
        <v>81376</v>
      </c>
      <c r="W368" s="26">
        <v>110</v>
      </c>
      <c r="X368" s="26" t="s">
        <v>31</v>
      </c>
      <c r="Y368" s="26">
        <v>340178</v>
      </c>
      <c r="Z368" s="26">
        <v>69014</v>
      </c>
      <c r="AA368" s="26">
        <v>16</v>
      </c>
      <c r="AB368" s="26">
        <v>0</v>
      </c>
      <c r="AC368" s="26">
        <v>0</v>
      </c>
      <c r="AD368" s="26">
        <v>15.645647315663799</v>
      </c>
    </row>
    <row r="369" spans="1:30" x14ac:dyDescent="0.2">
      <c r="A369">
        <f>_xlfn.XLOOKUP(E369,Lookups!$E:$E,Lookups!$F:$F,0)</f>
        <v>0</v>
      </c>
      <c r="B369">
        <v>1</v>
      </c>
      <c r="C369" s="3" t="d">
        <v>2026-07-03</v>
      </c>
      <c r="D369" s="3"/>
      <c r="E369" s="26" t="s">
        <v>463</v>
      </c>
      <c r="F369" s="26" t="s">
        <v>428</v>
      </c>
      <c r="G369" s="26" t="s">
        <v>28</v>
      </c>
      <c r="H369" s="26" t="s">
        <v>31</v>
      </c>
      <c r="I369" s="26">
        <v>68112</v>
      </c>
      <c r="J369" s="26">
        <v>136615</v>
      </c>
      <c r="K369" s="26">
        <v>17892</v>
      </c>
      <c r="L369" s="26">
        <v>3985285</v>
      </c>
      <c r="M369" s="26">
        <v>33543</v>
      </c>
      <c r="N369" s="26">
        <v>24410</v>
      </c>
      <c r="O369" s="26">
        <v>36866</v>
      </c>
      <c r="P369" s="26">
        <v>56100</v>
      </c>
      <c r="Q369" s="26">
        <v>14204882</v>
      </c>
      <c r="R369" s="26">
        <v>125884</v>
      </c>
      <c r="S369" s="26">
        <v>62413</v>
      </c>
      <c r="T369" s="26">
        <v>21179</v>
      </c>
      <c r="U369" s="26">
        <v>17843</v>
      </c>
      <c r="V369" s="26">
        <v>77637</v>
      </c>
      <c r="W369" s="26">
        <v>37</v>
      </c>
      <c r="X369" s="26">
        <v>31</v>
      </c>
      <c r="Y369" s="26">
        <v>202406</v>
      </c>
      <c r="Z369" s="26" t="s">
        <v>31</v>
      </c>
      <c r="AA369" s="26" t="s">
        <v>31</v>
      </c>
      <c r="AB369" s="26" t="s">
        <v>31</v>
      </c>
      <c r="AC369" s="26" t="s">
        <v>31</v>
      </c>
      <c r="AD369" s="26" t="s">
        <v>31</v>
      </c>
    </row>
    <row r="370" spans="1:30" x14ac:dyDescent="0.2">
      <c r="A370">
        <f>_xlfn.XLOOKUP(E370,Lookups!$E:$E,Lookups!$F:$F,0)</f>
        <v>0</v>
      </c>
      <c r="B370">
        <v>1</v>
      </c>
      <c r="C370" s="3" t="d">
        <v>2026-07-03</v>
      </c>
      <c r="D370" s="3"/>
      <c r="E370" s="26" t="s">
        <v>615</v>
      </c>
      <c r="F370" s="26" t="s">
        <v>581</v>
      </c>
      <c r="G370" s="26" t="s">
        <v>28</v>
      </c>
      <c r="H370" s="26" t="s">
        <v>31</v>
      </c>
      <c r="I370" s="26">
        <v>68248</v>
      </c>
      <c r="J370" s="26">
        <v>284979</v>
      </c>
      <c r="K370" s="26">
        <v>2872</v>
      </c>
      <c r="L370" s="26">
        <v>442262</v>
      </c>
      <c r="M370" s="26">
        <v>9731</v>
      </c>
      <c r="N370" s="26">
        <v>7588</v>
      </c>
      <c r="O370" s="26">
        <v>44221</v>
      </c>
      <c r="P370" s="26">
        <v>34800</v>
      </c>
      <c r="Q370" s="26">
        <v>5624513</v>
      </c>
      <c r="R370" s="26">
        <v>82431</v>
      </c>
      <c r="S370" s="26">
        <v>46943</v>
      </c>
      <c r="T370" s="26">
        <v>24485</v>
      </c>
      <c r="U370" s="26">
        <v>190267</v>
      </c>
      <c r="V370" s="26">
        <v>665</v>
      </c>
      <c r="W370" s="26">
        <v>8</v>
      </c>
      <c r="X370" s="26">
        <v>1</v>
      </c>
      <c r="Y370" s="26">
        <v>17340</v>
      </c>
      <c r="Z370" s="26" t="s">
        <v>31</v>
      </c>
      <c r="AA370" s="26" t="s">
        <v>31</v>
      </c>
      <c r="AB370" s="26" t="s">
        <v>31</v>
      </c>
      <c r="AC370" s="26" t="s">
        <v>31</v>
      </c>
      <c r="AD370" s="26" t="s">
        <v>31</v>
      </c>
    </row>
    <row r="371" spans="1:30" x14ac:dyDescent="0.2">
      <c r="A371">
        <f>_xlfn.XLOOKUP(E371,Lookups!$E:$E,Lookups!$F:$F,0)</f>
        <v>0</v>
      </c>
      <c r="B371">
        <v>1</v>
      </c>
      <c r="C371" s="3" t="d">
        <v>2026-07-03</v>
      </c>
      <c r="D371" s="3"/>
      <c r="E371" s="26" t="s">
        <v>376</v>
      </c>
      <c r="F371" s="26" t="s">
        <v>27</v>
      </c>
      <c r="G371" s="26" t="s">
        <v>28</v>
      </c>
      <c r="H371" s="26" t="s">
        <v>132</v>
      </c>
      <c r="I371" s="26">
        <v>68275</v>
      </c>
      <c r="J371" s="26">
        <v>106226</v>
      </c>
      <c r="K371" s="26">
        <v>39420</v>
      </c>
      <c r="L371" s="26">
        <v>11268542</v>
      </c>
      <c r="M371" s="26">
        <v>49039</v>
      </c>
      <c r="N371" s="26">
        <v>57085</v>
      </c>
      <c r="O371" s="26">
        <v>60765</v>
      </c>
      <c r="P371" s="26">
        <v>38400</v>
      </c>
      <c r="Q371" s="26">
        <v>1445523</v>
      </c>
      <c r="R371" s="26">
        <v>18784</v>
      </c>
      <c r="S371" s="26">
        <v>21819</v>
      </c>
      <c r="T371" s="26">
        <v>522853</v>
      </c>
      <c r="U371" s="26">
        <v>70058</v>
      </c>
      <c r="V371" s="26">
        <v>68128</v>
      </c>
      <c r="W371" s="26">
        <v>83</v>
      </c>
      <c r="X371" s="26" t="s">
        <v>31</v>
      </c>
      <c r="Y371" s="26">
        <v>182140</v>
      </c>
      <c r="Z371" s="26">
        <v>50319</v>
      </c>
      <c r="AA371" s="26">
        <v>38</v>
      </c>
      <c r="AB371" s="26">
        <v>0</v>
      </c>
      <c r="AC371" s="26">
        <v>0</v>
      </c>
      <c r="AD371" s="26">
        <v>16.6921862608887</v>
      </c>
    </row>
    <row r="372" spans="1:30" x14ac:dyDescent="0.2">
      <c r="A372">
        <f>_xlfn.XLOOKUP(E372,Lookups!$E:$E,Lookups!$F:$F,0)</f>
        <v>0</v>
      </c>
      <c r="B372">
        <v>1</v>
      </c>
      <c r="C372" s="3" t="d">
        <v>2026-07-03</v>
      </c>
      <c r="D372" s="3"/>
      <c r="E372" s="26" t="s">
        <v>616</v>
      </c>
      <c r="F372" s="26" t="s">
        <v>27</v>
      </c>
      <c r="G372" s="26" t="s">
        <v>28</v>
      </c>
      <c r="H372" s="26" t="s">
        <v>46</v>
      </c>
      <c r="I372" s="26">
        <v>68291</v>
      </c>
      <c r="J372" s="26">
        <v>81554</v>
      </c>
      <c r="K372" s="26">
        <v>7765</v>
      </c>
      <c r="L372" s="26">
        <v>9333546</v>
      </c>
      <c r="M372" s="26">
        <v>803</v>
      </c>
      <c r="N372" s="26">
        <v>174431</v>
      </c>
      <c r="O372" s="26">
        <v>613359</v>
      </c>
      <c r="P372" s="26" t="s">
        <v>31</v>
      </c>
      <c r="Q372" s="26" t="s">
        <v>31</v>
      </c>
      <c r="R372" s="26" t="s">
        <v>31</v>
      </c>
      <c r="S372" s="26">
        <v>834709</v>
      </c>
      <c r="T372" s="26" t="s">
        <v>31</v>
      </c>
      <c r="U372" s="26" t="s">
        <v>31</v>
      </c>
      <c r="V372" s="26" t="s">
        <v>31</v>
      </c>
      <c r="W372" s="26" t="s">
        <v>31</v>
      </c>
      <c r="X372" s="26" t="s">
        <v>31</v>
      </c>
      <c r="Y372" s="26">
        <v>466238</v>
      </c>
      <c r="Z372" s="26">
        <v>108223</v>
      </c>
      <c r="AA372" s="26">
        <v>5</v>
      </c>
      <c r="AB372" s="26">
        <v>0</v>
      </c>
      <c r="AC372" s="26">
        <v>0</v>
      </c>
      <c r="AD372" s="26">
        <v>2.8096829025251999</v>
      </c>
    </row>
    <row r="373" spans="1:30" x14ac:dyDescent="0.2">
      <c r="A373">
        <f>_xlfn.XLOOKUP(E373,Lookups!$E:$E,Lookups!$F:$F,0)</f>
        <v>0</v>
      </c>
      <c r="B373">
        <v>1</v>
      </c>
      <c r="C373" s="3" t="d">
        <v>2026-07-03</v>
      </c>
      <c r="D373" s="3"/>
      <c r="E373" s="26" t="s">
        <v>617</v>
      </c>
      <c r="F373" s="26" t="s">
        <v>27</v>
      </c>
      <c r="G373" s="26" t="s">
        <v>28</v>
      </c>
      <c r="H373" s="26" t="s">
        <v>95</v>
      </c>
      <c r="I373" s="26">
        <v>68769</v>
      </c>
      <c r="J373" s="26">
        <v>642758</v>
      </c>
      <c r="K373" s="26">
        <v>293</v>
      </c>
      <c r="L373" s="26">
        <v>121052</v>
      </c>
      <c r="M373" s="26">
        <v>17</v>
      </c>
      <c r="N373" s="26">
        <v>4799</v>
      </c>
      <c r="O373" s="26">
        <v>31097</v>
      </c>
      <c r="P373" s="26">
        <v>153000</v>
      </c>
      <c r="Q373" s="26">
        <v>3809631</v>
      </c>
      <c r="R373" s="26">
        <v>36068</v>
      </c>
      <c r="S373" s="26">
        <v>798597</v>
      </c>
      <c r="T373" s="26">
        <v>477</v>
      </c>
      <c r="U373" s="26">
        <v>14676</v>
      </c>
      <c r="V373" s="26" t="s">
        <v>31</v>
      </c>
      <c r="W373" s="26" t="s">
        <v>31</v>
      </c>
      <c r="X373" s="26">
        <v>682</v>
      </c>
      <c r="Y373" s="26">
        <v>302345</v>
      </c>
      <c r="Z373" s="26" t="s">
        <v>31</v>
      </c>
      <c r="AA373" s="26" t="s">
        <v>31</v>
      </c>
      <c r="AB373" s="26" t="s">
        <v>31</v>
      </c>
      <c r="AC373" s="26" t="s">
        <v>31</v>
      </c>
      <c r="AD373" s="26" t="s">
        <v>31</v>
      </c>
    </row>
    <row r="374" spans="1:30" x14ac:dyDescent="0.2">
      <c r="A374">
        <f>_xlfn.XLOOKUP(E374,Lookups!$E:$E,Lookups!$F:$F,0)</f>
        <v>0</v>
      </c>
      <c r="B374">
        <v>1</v>
      </c>
      <c r="C374" s="3" t="d">
        <v>2026-07-03</v>
      </c>
      <c r="D374" s="3"/>
      <c r="E374" s="26" t="s">
        <v>618</v>
      </c>
      <c r="F374" s="26" t="s">
        <v>27</v>
      </c>
      <c r="G374" s="26" t="s">
        <v>28</v>
      </c>
      <c r="H374" s="26" t="s">
        <v>31</v>
      </c>
      <c r="I374" s="26">
        <v>68805</v>
      </c>
      <c r="J374" s="26">
        <v>111443</v>
      </c>
      <c r="K374" s="26">
        <v>167</v>
      </c>
      <c r="L374" s="26">
        <v>41190845</v>
      </c>
      <c r="M374" s="26">
        <v>55478</v>
      </c>
      <c r="N374" s="26">
        <v>315039</v>
      </c>
      <c r="O374" s="26">
        <v>613359</v>
      </c>
      <c r="P374" s="26" t="s">
        <v>31</v>
      </c>
      <c r="Q374" s="26" t="s">
        <v>31</v>
      </c>
      <c r="R374" s="26" t="s">
        <v>31</v>
      </c>
      <c r="S374" s="26">
        <v>19547</v>
      </c>
      <c r="T374" s="26">
        <v>343503</v>
      </c>
      <c r="U374" s="26">
        <v>128331</v>
      </c>
      <c r="V374" s="26" t="s">
        <v>31</v>
      </c>
      <c r="W374" s="26">
        <v>38</v>
      </c>
      <c r="X374" s="26" t="s">
        <v>31</v>
      </c>
      <c r="Y374" s="26">
        <v>135629</v>
      </c>
      <c r="Z374" s="26" t="s">
        <v>31</v>
      </c>
      <c r="AA374" s="26" t="s">
        <v>31</v>
      </c>
      <c r="AB374" s="26" t="s">
        <v>31</v>
      </c>
      <c r="AC374" s="26" t="s">
        <v>31</v>
      </c>
      <c r="AD374" s="26" t="s">
        <v>31</v>
      </c>
    </row>
    <row r="375" spans="1:30" x14ac:dyDescent="0.2">
      <c r="A375">
        <f>_xlfn.XLOOKUP(E375,Lookups!$E:$E,Lookups!$F:$F,0)</f>
        <v>0</v>
      </c>
      <c r="B375">
        <v>1</v>
      </c>
      <c r="C375" s="3" t="d">
        <v>2026-07-03</v>
      </c>
      <c r="D375" s="3"/>
      <c r="E375" s="26" t="s">
        <v>471</v>
      </c>
      <c r="F375" s="26" t="s">
        <v>27</v>
      </c>
      <c r="G375" s="26" t="s">
        <v>28</v>
      </c>
      <c r="H375" s="26" t="s">
        <v>46</v>
      </c>
      <c r="I375" s="26">
        <v>68810</v>
      </c>
      <c r="J375" s="26">
        <v>84142</v>
      </c>
      <c r="K375" s="26">
        <v>16821</v>
      </c>
      <c r="L375" s="26">
        <v>28780418</v>
      </c>
      <c r="M375" s="26">
        <v>93583</v>
      </c>
      <c r="N375" s="26">
        <v>659166</v>
      </c>
      <c r="O375" s="26">
        <v>613359</v>
      </c>
      <c r="P375" s="26" t="s">
        <v>31</v>
      </c>
      <c r="Q375" s="26" t="s">
        <v>31</v>
      </c>
      <c r="R375" s="26" t="s">
        <v>31</v>
      </c>
      <c r="S375" s="26">
        <v>151329</v>
      </c>
      <c r="T375" s="26" t="s">
        <v>31</v>
      </c>
      <c r="U375" s="26">
        <v>2242</v>
      </c>
      <c r="V375" s="26">
        <v>1194</v>
      </c>
      <c r="W375" s="26">
        <v>21</v>
      </c>
      <c r="X375" s="26" t="s">
        <v>31</v>
      </c>
      <c r="Y375" s="26">
        <v>322425</v>
      </c>
      <c r="Z375" s="26">
        <v>27501</v>
      </c>
      <c r="AA375" s="26">
        <v>52</v>
      </c>
      <c r="AB375" s="26">
        <v>0</v>
      </c>
      <c r="AC375" s="26">
        <v>0</v>
      </c>
      <c r="AD375" s="26">
        <v>47.044917906404102</v>
      </c>
    </row>
    <row r="376" spans="1:30" x14ac:dyDescent="0.2">
      <c r="A376">
        <f>_xlfn.XLOOKUP(E376,Lookups!$E:$E,Lookups!$F:$F,0)</f>
        <v>0</v>
      </c>
      <c r="B376">
        <v>1</v>
      </c>
      <c r="C376" s="3" t="d">
        <v>2026-07-03</v>
      </c>
      <c r="D376" s="3"/>
      <c r="E376" s="26" t="s">
        <v>243</v>
      </c>
      <c r="F376" s="26" t="s">
        <v>27</v>
      </c>
      <c r="G376" s="26" t="s">
        <v>28</v>
      </c>
      <c r="H376" s="26" t="s">
        <v>44</v>
      </c>
      <c r="I376" s="26">
        <v>68938</v>
      </c>
      <c r="J376" s="26">
        <v>66645</v>
      </c>
      <c r="K376" s="26">
        <v>114627</v>
      </c>
      <c r="L376" s="26">
        <v>33166427</v>
      </c>
      <c r="M376" s="26">
        <v>113804</v>
      </c>
      <c r="N376" s="26">
        <v>390610</v>
      </c>
      <c r="O376" s="26">
        <v>613359</v>
      </c>
      <c r="P376" s="26" t="s">
        <v>31</v>
      </c>
      <c r="Q376" s="26" t="s">
        <v>31</v>
      </c>
      <c r="R376" s="26" t="s">
        <v>31</v>
      </c>
      <c r="S376" s="26">
        <v>215157</v>
      </c>
      <c r="T376" s="26">
        <v>1440</v>
      </c>
      <c r="U376" s="26">
        <v>12301</v>
      </c>
      <c r="V376" s="26">
        <v>4965</v>
      </c>
      <c r="W376" s="26">
        <v>8185</v>
      </c>
      <c r="X376" s="26" t="s">
        <v>31</v>
      </c>
      <c r="Y376" s="26">
        <v>79771</v>
      </c>
      <c r="Z376" s="26">
        <v>40332</v>
      </c>
      <c r="AA376" s="26">
        <v>72</v>
      </c>
      <c r="AB376" s="26">
        <v>0</v>
      </c>
      <c r="AC376" s="26">
        <v>0</v>
      </c>
      <c r="AD376" s="26">
        <v>105.97430306679399</v>
      </c>
    </row>
    <row r="377" spans="1:30" x14ac:dyDescent="0.2">
      <c r="A377">
        <f>_xlfn.XLOOKUP(E377,Lookups!$E:$E,Lookups!$F:$F,0)</f>
        <v>0</v>
      </c>
      <c r="B377">
        <v>1</v>
      </c>
      <c r="C377" s="3" t="d">
        <v>2026-07-03</v>
      </c>
      <c r="D377" s="3"/>
      <c r="E377" s="26" t="s">
        <v>197</v>
      </c>
      <c r="F377" s="26" t="s">
        <v>27</v>
      </c>
      <c r="G377" s="26" t="s">
        <v>28</v>
      </c>
      <c r="H377" s="26" t="s">
        <v>31</v>
      </c>
      <c r="I377" s="26">
        <v>69337</v>
      </c>
      <c r="J377" s="26">
        <v>42622</v>
      </c>
      <c r="K377" s="26">
        <v>176600</v>
      </c>
      <c r="L377" s="26">
        <v>31590206</v>
      </c>
      <c r="M377" s="26">
        <v>234315</v>
      </c>
      <c r="N377" s="26">
        <v>1251693</v>
      </c>
      <c r="O377" s="26">
        <v>114559</v>
      </c>
      <c r="P377" s="26">
        <v>13100</v>
      </c>
      <c r="Q377" s="26">
        <v>59169</v>
      </c>
      <c r="R377" s="26">
        <v>934</v>
      </c>
      <c r="S377" s="26">
        <v>141946</v>
      </c>
      <c r="T377" s="26">
        <v>6111</v>
      </c>
      <c r="U377" s="26">
        <v>25702</v>
      </c>
      <c r="V377" s="26">
        <v>14940</v>
      </c>
      <c r="W377" s="26">
        <v>1829</v>
      </c>
      <c r="X377" s="26" t="s">
        <v>31</v>
      </c>
      <c r="Y377" s="26">
        <v>152094</v>
      </c>
      <c r="Z377" s="26">
        <v>45824</v>
      </c>
      <c r="AA377" s="26">
        <v>33</v>
      </c>
      <c r="AB377" s="26">
        <v>1</v>
      </c>
      <c r="AC377" s="26">
        <v>17</v>
      </c>
      <c r="AD377" s="26">
        <v>46.395725385007999</v>
      </c>
    </row>
    <row r="378" spans="1:30" x14ac:dyDescent="0.2">
      <c r="A378">
        <f>_xlfn.XLOOKUP(E378,Lookups!$E:$E,Lookups!$F:$F,0)</f>
        <v>0</v>
      </c>
      <c r="B378">
        <v>1</v>
      </c>
      <c r="C378" s="3" t="d">
        <v>2026-07-03</v>
      </c>
      <c r="D378" s="3"/>
      <c r="E378" s="26" t="s">
        <v>619</v>
      </c>
      <c r="F378" s="26" t="s">
        <v>27</v>
      </c>
      <c r="G378" s="26" t="s">
        <v>28</v>
      </c>
      <c r="H378" s="26" t="s">
        <v>31</v>
      </c>
      <c r="I378" s="26">
        <v>69444</v>
      </c>
      <c r="J378" s="26">
        <v>93391</v>
      </c>
      <c r="K378" s="26">
        <v>11501</v>
      </c>
      <c r="L378" s="26">
        <v>28841907</v>
      </c>
      <c r="M378" s="26">
        <v>138066</v>
      </c>
      <c r="N378" s="26">
        <v>12745</v>
      </c>
      <c r="O378" s="26">
        <v>58058</v>
      </c>
      <c r="P378" s="26">
        <v>13700</v>
      </c>
      <c r="Q378" s="26">
        <v>5945630</v>
      </c>
      <c r="R378" s="26">
        <v>37482</v>
      </c>
      <c r="S378" s="26">
        <v>159613</v>
      </c>
      <c r="T378" s="26" t="s">
        <v>31</v>
      </c>
      <c r="U378" s="26">
        <v>2862</v>
      </c>
      <c r="V378" s="26">
        <v>57004</v>
      </c>
      <c r="W378" s="26">
        <v>18</v>
      </c>
      <c r="X378" s="26" t="s">
        <v>31</v>
      </c>
      <c r="Y378" s="26">
        <v>281737</v>
      </c>
      <c r="Z378" s="26">
        <v>47504</v>
      </c>
      <c r="AA378" s="26">
        <v>35</v>
      </c>
      <c r="AB378" s="26">
        <v>0</v>
      </c>
      <c r="AC378" s="26">
        <v>0</v>
      </c>
      <c r="AD378" s="26">
        <v>22.630304179896999</v>
      </c>
    </row>
    <row r="379" spans="1:30" x14ac:dyDescent="0.2">
      <c r="A379">
        <f>_xlfn.XLOOKUP(E379,Lookups!$E:$E,Lookups!$F:$F,0)</f>
        <v>0</v>
      </c>
      <c r="B379">
        <v>1</v>
      </c>
      <c r="C379" s="3" t="d">
        <v>2026-07-03</v>
      </c>
      <c r="D379" s="3"/>
      <c r="E379" s="26" t="s">
        <v>338</v>
      </c>
      <c r="F379" s="26" t="s">
        <v>27</v>
      </c>
      <c r="G379" s="26" t="s">
        <v>36</v>
      </c>
      <c r="H379" s="26" t="s">
        <v>72</v>
      </c>
      <c r="I379" s="26">
        <v>69562</v>
      </c>
      <c r="J379" s="26">
        <v>79136</v>
      </c>
      <c r="K379" s="26">
        <v>52391</v>
      </c>
      <c r="L379" s="26">
        <v>25722378</v>
      </c>
      <c r="M379" s="26">
        <v>85206</v>
      </c>
      <c r="N379" s="26">
        <v>409992</v>
      </c>
      <c r="O379" s="26">
        <v>613359</v>
      </c>
      <c r="P379" s="26" t="s">
        <v>31</v>
      </c>
      <c r="Q379" s="26" t="s">
        <v>31</v>
      </c>
      <c r="R379" s="26" t="s">
        <v>31</v>
      </c>
      <c r="S379" s="26">
        <v>44047</v>
      </c>
      <c r="T379" s="26" t="s">
        <v>31</v>
      </c>
      <c r="U379" s="26">
        <v>159280</v>
      </c>
      <c r="V379" s="26" t="s">
        <v>31</v>
      </c>
      <c r="W379" s="26">
        <v>956</v>
      </c>
      <c r="X379" s="26" t="s">
        <v>31</v>
      </c>
      <c r="Y379" s="26">
        <v>96127</v>
      </c>
      <c r="Z379" s="26">
        <v>28660</v>
      </c>
      <c r="AA379" s="26">
        <v>77</v>
      </c>
      <c r="AB379" s="26">
        <v>0</v>
      </c>
      <c r="AC379" s="26">
        <v>0</v>
      </c>
      <c r="AD379" s="26">
        <v>96.589185798694004</v>
      </c>
    </row>
    <row r="380" spans="1:30" x14ac:dyDescent="0.2">
      <c r="A380">
        <f>_xlfn.XLOOKUP(E380,Lookups!$E:$E,Lookups!$F:$F,0)</f>
        <v>0</v>
      </c>
      <c r="B380">
        <v>1</v>
      </c>
      <c r="C380" s="3" t="d">
        <v>2026-07-03</v>
      </c>
      <c r="D380" s="3"/>
      <c r="E380" s="26" t="s">
        <v>620</v>
      </c>
      <c r="F380" s="26" t="s">
        <v>621</v>
      </c>
      <c r="G380" s="26" t="s">
        <v>314</v>
      </c>
      <c r="H380" s="26" t="s">
        <v>95</v>
      </c>
      <c r="I380" s="26">
        <v>69806</v>
      </c>
      <c r="J380" s="26">
        <v>435037</v>
      </c>
      <c r="K380" s="26">
        <v>1087</v>
      </c>
      <c r="L380" s="26">
        <v>34949</v>
      </c>
      <c r="M380" s="26">
        <v>856</v>
      </c>
      <c r="N380" s="26">
        <v>43590</v>
      </c>
      <c r="O380" s="26">
        <v>5037</v>
      </c>
      <c r="P380" s="26">
        <v>489000</v>
      </c>
      <c r="Q380" s="26">
        <v>5631741</v>
      </c>
      <c r="R380" s="26">
        <v>66054</v>
      </c>
      <c r="S380" s="26">
        <v>46466</v>
      </c>
      <c r="T380" s="26">
        <v>564</v>
      </c>
      <c r="U380" s="26">
        <v>62253</v>
      </c>
      <c r="V380" s="26">
        <v>1375</v>
      </c>
      <c r="W380" s="26">
        <v>100</v>
      </c>
      <c r="X380" s="26">
        <v>76</v>
      </c>
      <c r="Y380" s="26">
        <v>466238</v>
      </c>
      <c r="Z380" s="26" t="s">
        <v>31</v>
      </c>
      <c r="AA380" s="26" t="s">
        <v>31</v>
      </c>
      <c r="AB380" s="26" t="s">
        <v>31</v>
      </c>
      <c r="AC380" s="26" t="s">
        <v>31</v>
      </c>
      <c r="AD380" s="26" t="s">
        <v>31</v>
      </c>
    </row>
    <row r="381" spans="1:30" x14ac:dyDescent="0.2">
      <c r="A381">
        <f>_xlfn.XLOOKUP(E381,Lookups!$E:$E,Lookups!$F:$F,0)</f>
        <v>0</v>
      </c>
      <c r="B381">
        <v>1</v>
      </c>
      <c r="C381" s="3" t="d">
        <v>2026-07-03</v>
      </c>
      <c r="D381" s="3"/>
      <c r="E381" s="26" t="s">
        <v>622</v>
      </c>
      <c r="F381" s="26" t="s">
        <v>27</v>
      </c>
      <c r="G381" s="26" t="s">
        <v>28</v>
      </c>
      <c r="H381" s="26" t="s">
        <v>46</v>
      </c>
      <c r="I381" s="26">
        <v>69820</v>
      </c>
      <c r="J381" s="26">
        <v>56730</v>
      </c>
      <c r="K381" s="26">
        <v>4828</v>
      </c>
      <c r="L381" s="26">
        <v>8084454</v>
      </c>
      <c r="M381" s="26">
        <v>384292</v>
      </c>
      <c r="N381" s="26">
        <v>1208926</v>
      </c>
      <c r="O381" s="26">
        <v>613359</v>
      </c>
      <c r="P381" s="26" t="s">
        <v>31</v>
      </c>
      <c r="Q381" s="26" t="s">
        <v>31</v>
      </c>
      <c r="R381" s="26" t="s">
        <v>31</v>
      </c>
      <c r="S381" s="26">
        <v>834709</v>
      </c>
      <c r="T381" s="26" t="s">
        <v>31</v>
      </c>
      <c r="U381" s="26" t="s">
        <v>31</v>
      </c>
      <c r="V381" s="26" t="s">
        <v>31</v>
      </c>
      <c r="W381" s="26">
        <v>2</v>
      </c>
      <c r="X381" s="26" t="s">
        <v>31</v>
      </c>
      <c r="Y381" s="26">
        <v>466238</v>
      </c>
      <c r="Z381" s="26">
        <v>18000</v>
      </c>
      <c r="AA381" s="26">
        <v>56</v>
      </c>
      <c r="AB381" s="26">
        <v>0</v>
      </c>
      <c r="AC381" s="26">
        <v>0</v>
      </c>
      <c r="AD381" s="26">
        <v>79.579119701202103</v>
      </c>
    </row>
    <row r="382" spans="1:30" x14ac:dyDescent="0.2">
      <c r="A382">
        <f>_xlfn.XLOOKUP(E382,Lookups!$E:$E,Lookups!$F:$F,0)</f>
        <v>0</v>
      </c>
      <c r="B382">
        <v>1</v>
      </c>
      <c r="C382" s="3" t="d">
        <v>2026-07-03</v>
      </c>
      <c r="D382" s="3"/>
      <c r="E382" s="26" t="s">
        <v>623</v>
      </c>
      <c r="F382" s="26" t="s">
        <v>624</v>
      </c>
      <c r="G382" s="26" t="s">
        <v>28</v>
      </c>
      <c r="H382" s="26" t="s">
        <v>563</v>
      </c>
      <c r="I382" s="26">
        <v>69844</v>
      </c>
      <c r="J382" s="26">
        <v>64871</v>
      </c>
      <c r="K382" s="26">
        <v>4258</v>
      </c>
      <c r="L382" s="26">
        <v>12664386</v>
      </c>
      <c r="M382" s="26">
        <v>283553</v>
      </c>
      <c r="N382" s="26">
        <v>537577</v>
      </c>
      <c r="O382" s="26">
        <v>42672</v>
      </c>
      <c r="P382" s="26">
        <v>14000</v>
      </c>
      <c r="Q382" s="26">
        <v>3294241</v>
      </c>
      <c r="R382" s="26">
        <v>19343</v>
      </c>
      <c r="S382" s="26">
        <v>635220</v>
      </c>
      <c r="T382" s="26" t="s">
        <v>31</v>
      </c>
      <c r="U382" s="26">
        <v>999</v>
      </c>
      <c r="V382" s="26" t="s">
        <v>31</v>
      </c>
      <c r="W382" s="26">
        <v>59</v>
      </c>
      <c r="X382" s="26" t="s">
        <v>31</v>
      </c>
      <c r="Y382" s="26">
        <v>31390</v>
      </c>
      <c r="Z382" s="26">
        <v>432</v>
      </c>
      <c r="AA382" s="26">
        <v>19</v>
      </c>
      <c r="AB382" s="26">
        <v>11</v>
      </c>
      <c r="AC382" s="26">
        <v>926</v>
      </c>
      <c r="AD382" s="26">
        <v>11717.2468093725</v>
      </c>
    </row>
    <row r="383" spans="1:30" x14ac:dyDescent="0.2">
      <c r="A383">
        <f>_xlfn.XLOOKUP(E383,Lookups!$E:$E,Lookups!$F:$F,0)</f>
        <v>0</v>
      </c>
      <c r="B383">
        <v>1</v>
      </c>
      <c r="C383" s="3" t="d">
        <v>2026-07-03</v>
      </c>
      <c r="D383" s="3"/>
      <c r="E383" s="26" t="s">
        <v>448</v>
      </c>
      <c r="F383" s="26" t="s">
        <v>27</v>
      </c>
      <c r="G383" s="26" t="s">
        <v>28</v>
      </c>
      <c r="H383" s="26" t="s">
        <v>31</v>
      </c>
      <c r="I383" s="26">
        <v>70023</v>
      </c>
      <c r="J383" s="26">
        <v>130240</v>
      </c>
      <c r="K383" s="26">
        <v>20027</v>
      </c>
      <c r="L383" s="26">
        <v>3431699</v>
      </c>
      <c r="M383" s="26">
        <v>64000</v>
      </c>
      <c r="N383" s="26">
        <v>38834</v>
      </c>
      <c r="O383" s="26">
        <v>88511</v>
      </c>
      <c r="P383" s="26">
        <v>7420</v>
      </c>
      <c r="Q383" s="26">
        <v>91845</v>
      </c>
      <c r="R383" s="26">
        <v>3408</v>
      </c>
      <c r="S383" s="26">
        <v>24960</v>
      </c>
      <c r="T383" s="26">
        <v>130757</v>
      </c>
      <c r="U383" s="26">
        <v>2136</v>
      </c>
      <c r="V383" s="26">
        <v>249678</v>
      </c>
      <c r="W383" s="26">
        <v>15</v>
      </c>
      <c r="X383" s="26">
        <v>6</v>
      </c>
      <c r="Y383" s="26">
        <v>388101</v>
      </c>
      <c r="Z383" s="26" t="s">
        <v>31</v>
      </c>
      <c r="AA383" s="26" t="s">
        <v>31</v>
      </c>
      <c r="AB383" s="26" t="s">
        <v>31</v>
      </c>
      <c r="AC383" s="26" t="s">
        <v>31</v>
      </c>
      <c r="AD383" s="26" t="s">
        <v>31</v>
      </c>
    </row>
    <row r="384" spans="1:30" x14ac:dyDescent="0.2">
      <c r="A384">
        <f>_xlfn.XLOOKUP(E384,Lookups!$E:$E,Lookups!$F:$F,0)</f>
        <v>0</v>
      </c>
      <c r="B384">
        <v>1</v>
      </c>
      <c r="C384" s="3" t="d">
        <v>2026-07-03</v>
      </c>
      <c r="D384" s="3"/>
      <c r="E384" s="26" t="s">
        <v>357</v>
      </c>
      <c r="F384" s="26" t="s">
        <v>27</v>
      </c>
      <c r="G384" s="26" t="s">
        <v>28</v>
      </c>
      <c r="H384" s="26" t="s">
        <v>37</v>
      </c>
      <c r="I384" s="26">
        <v>70286</v>
      </c>
      <c r="J384" s="26">
        <v>65297</v>
      </c>
      <c r="K384" s="26">
        <v>44075</v>
      </c>
      <c r="L384" s="26">
        <v>14549447</v>
      </c>
      <c r="M384" s="26">
        <v>210344</v>
      </c>
      <c r="N384" s="26">
        <v>295662</v>
      </c>
      <c r="O384" s="26">
        <v>72116</v>
      </c>
      <c r="P384" s="26">
        <v>13200</v>
      </c>
      <c r="Q384" s="26">
        <v>1056033</v>
      </c>
      <c r="R384" s="26">
        <v>17000</v>
      </c>
      <c r="S384" s="26">
        <v>63163</v>
      </c>
      <c r="T384" s="26" t="s">
        <v>31</v>
      </c>
      <c r="U384" s="26">
        <v>32638</v>
      </c>
      <c r="V384" s="26">
        <v>10416</v>
      </c>
      <c r="W384" s="26">
        <v>67</v>
      </c>
      <c r="X384" s="26" t="s">
        <v>31</v>
      </c>
      <c r="Y384" s="26">
        <v>344944</v>
      </c>
      <c r="Z384" s="26">
        <v>12903</v>
      </c>
      <c r="AA384" s="26">
        <v>99</v>
      </c>
      <c r="AB384" s="26">
        <v>0</v>
      </c>
      <c r="AC384" s="26">
        <v>0</v>
      </c>
      <c r="AD384" s="26">
        <v>138.76328120523399</v>
      </c>
    </row>
    <row r="385" spans="1:30" x14ac:dyDescent="0.2">
      <c r="A385">
        <f>_xlfn.XLOOKUP(E385,Lookups!$E:$E,Lookups!$F:$F,0)</f>
        <v>0</v>
      </c>
      <c r="B385">
        <v>1</v>
      </c>
      <c r="C385" s="3" t="d">
        <v>2026-07-03</v>
      </c>
      <c r="D385" s="3"/>
      <c r="E385" s="26" t="s">
        <v>625</v>
      </c>
      <c r="F385" s="26" t="s">
        <v>27</v>
      </c>
      <c r="G385" s="26" t="s">
        <v>28</v>
      </c>
      <c r="H385" s="26" t="s">
        <v>95</v>
      </c>
      <c r="I385" s="26">
        <v>70396</v>
      </c>
      <c r="J385" s="26">
        <v>731001</v>
      </c>
      <c r="K385" s="26">
        <v>64</v>
      </c>
      <c r="L385" s="26">
        <v>28421</v>
      </c>
      <c r="M385" s="26">
        <v>1</v>
      </c>
      <c r="N385" s="26">
        <v>3219</v>
      </c>
      <c r="O385" s="26">
        <v>104126</v>
      </c>
      <c r="P385" s="26">
        <v>1080</v>
      </c>
      <c r="Q385" s="26">
        <v>256936</v>
      </c>
      <c r="R385" s="26">
        <v>10020</v>
      </c>
      <c r="S385" s="26">
        <v>15819</v>
      </c>
      <c r="T385" s="26">
        <v>128743</v>
      </c>
      <c r="U385" s="26">
        <v>158968</v>
      </c>
      <c r="V385" s="26">
        <v>176248</v>
      </c>
      <c r="W385" s="26" t="s">
        <v>31</v>
      </c>
      <c r="X385" s="26" t="s">
        <v>31</v>
      </c>
      <c r="Y385" s="26">
        <v>466238</v>
      </c>
      <c r="Z385" s="26" t="s">
        <v>31</v>
      </c>
      <c r="AA385" s="26" t="s">
        <v>31</v>
      </c>
      <c r="AB385" s="26" t="s">
        <v>31</v>
      </c>
      <c r="AC385" s="26" t="s">
        <v>31</v>
      </c>
      <c r="AD385" s="26" t="s">
        <v>31</v>
      </c>
    </row>
    <row r="386" spans="1:30" x14ac:dyDescent="0.2">
      <c r="A386">
        <f>_xlfn.XLOOKUP(E386,Lookups!$E:$E,Lookups!$F:$F,0)</f>
        <v>0</v>
      </c>
      <c r="B386">
        <v>1</v>
      </c>
      <c r="C386" s="3" t="d">
        <v>2026-07-03</v>
      </c>
      <c r="D386" s="3"/>
      <c r="E386" s="26" t="s">
        <v>626</v>
      </c>
      <c r="F386" s="26" t="s">
        <v>627</v>
      </c>
      <c r="G386" s="26" t="s">
        <v>36</v>
      </c>
      <c r="H386" s="26" t="s">
        <v>118</v>
      </c>
      <c r="I386" s="26">
        <v>70459</v>
      </c>
      <c r="J386" s="26">
        <v>68749</v>
      </c>
      <c r="K386" s="26">
        <v>15233</v>
      </c>
      <c r="L386" s="26">
        <v>15141143</v>
      </c>
      <c r="M386" s="26">
        <v>232784</v>
      </c>
      <c r="N386" s="26">
        <v>464852</v>
      </c>
      <c r="O386" s="26">
        <v>613359</v>
      </c>
      <c r="P386" s="26" t="s">
        <v>31</v>
      </c>
      <c r="Q386" s="26" t="s">
        <v>31</v>
      </c>
      <c r="R386" s="26" t="s">
        <v>31</v>
      </c>
      <c r="S386" s="26">
        <v>31191</v>
      </c>
      <c r="T386" s="26">
        <v>3139318</v>
      </c>
      <c r="U386" s="26">
        <v>121</v>
      </c>
      <c r="V386" s="26">
        <v>42961</v>
      </c>
      <c r="W386" s="26" t="s">
        <v>31</v>
      </c>
      <c r="X386" s="26" t="s">
        <v>31</v>
      </c>
      <c r="Y386" s="26">
        <v>112076</v>
      </c>
      <c r="Z386" s="26" t="s">
        <v>31</v>
      </c>
      <c r="AA386" s="26" t="s">
        <v>31</v>
      </c>
      <c r="AB386" s="26" t="s">
        <v>31</v>
      </c>
      <c r="AC386" s="26" t="s">
        <v>31</v>
      </c>
      <c r="AD386" s="26" t="s">
        <v>31</v>
      </c>
    </row>
    <row r="387" spans="1:30" x14ac:dyDescent="0.2">
      <c r="A387">
        <f>_xlfn.XLOOKUP(E387,Lookups!$E:$E,Lookups!$F:$F,0)</f>
        <v>0</v>
      </c>
      <c r="B387">
        <v>1</v>
      </c>
      <c r="C387" s="3" t="d">
        <v>2026-07-03</v>
      </c>
      <c r="D387" s="3"/>
      <c r="E387" s="26" t="s">
        <v>628</v>
      </c>
      <c r="F387" s="26" t="s">
        <v>27</v>
      </c>
      <c r="G387" s="26" t="s">
        <v>77</v>
      </c>
      <c r="H387" s="26" t="s">
        <v>31</v>
      </c>
      <c r="I387" s="26">
        <v>70593</v>
      </c>
      <c r="J387" s="26">
        <v>483153</v>
      </c>
      <c r="K387" s="26">
        <v>1339</v>
      </c>
      <c r="L387" s="26">
        <v>303044</v>
      </c>
      <c r="M387" s="26">
        <v>318</v>
      </c>
      <c r="N387" s="26">
        <v>793</v>
      </c>
      <c r="O387" s="26">
        <v>61810</v>
      </c>
      <c r="P387" s="26">
        <v>7320</v>
      </c>
      <c r="Q387" s="26">
        <v>308584</v>
      </c>
      <c r="R387" s="26">
        <v>22292</v>
      </c>
      <c r="S387" s="26">
        <v>13820</v>
      </c>
      <c r="T387" s="26">
        <v>219350</v>
      </c>
      <c r="U387" s="26">
        <v>47294</v>
      </c>
      <c r="V387" s="26">
        <v>2859</v>
      </c>
      <c r="W387" s="26">
        <v>25</v>
      </c>
      <c r="X387" s="26">
        <v>865</v>
      </c>
      <c r="Y387" s="26">
        <v>466238</v>
      </c>
      <c r="Z387" s="26" t="s">
        <v>31</v>
      </c>
      <c r="AA387" s="26" t="s">
        <v>31</v>
      </c>
      <c r="AB387" s="26" t="s">
        <v>31</v>
      </c>
      <c r="AC387" s="26" t="s">
        <v>31</v>
      </c>
      <c r="AD387" s="26" t="s">
        <v>31</v>
      </c>
    </row>
    <row r="388" spans="1:30" x14ac:dyDescent="0.2">
      <c r="A388">
        <f>_xlfn.XLOOKUP(E388,Lookups!$E:$E,Lookups!$F:$F,0)</f>
        <v>0</v>
      </c>
      <c r="B388">
        <v>1</v>
      </c>
      <c r="C388" s="3" t="d">
        <v>2026-07-03</v>
      </c>
      <c r="D388" s="3"/>
      <c r="E388" s="26" t="s">
        <v>629</v>
      </c>
      <c r="F388" s="26" t="s">
        <v>27</v>
      </c>
      <c r="G388" s="26" t="s">
        <v>28</v>
      </c>
      <c r="H388" s="26" t="s">
        <v>46</v>
      </c>
      <c r="I388" s="26">
        <v>71025</v>
      </c>
      <c r="J388" s="26">
        <v>591486</v>
      </c>
      <c r="K388" s="26">
        <v>388</v>
      </c>
      <c r="L388" s="26">
        <v>142624</v>
      </c>
      <c r="M388" s="26">
        <v>101</v>
      </c>
      <c r="N388" s="26">
        <v>7465</v>
      </c>
      <c r="O388" s="26">
        <v>164961</v>
      </c>
      <c r="P388" s="26">
        <v>10500</v>
      </c>
      <c r="Q388" s="26">
        <v>150751</v>
      </c>
      <c r="R388" s="26">
        <v>5668</v>
      </c>
      <c r="S388" s="26">
        <v>19807</v>
      </c>
      <c r="T388" s="26">
        <v>466420</v>
      </c>
      <c r="U388" s="26">
        <v>222252</v>
      </c>
      <c r="V388" s="26">
        <v>2195407</v>
      </c>
      <c r="W388" s="26">
        <v>20</v>
      </c>
      <c r="X388" s="26">
        <v>63</v>
      </c>
      <c r="Y388" s="26">
        <v>466238</v>
      </c>
      <c r="Z388" s="26">
        <v>144421</v>
      </c>
      <c r="AA388" s="26">
        <v>6</v>
      </c>
      <c r="AB388" s="26">
        <v>0</v>
      </c>
      <c r="AC388" s="26">
        <v>0</v>
      </c>
      <c r="AD388" s="26">
        <v>3.7427178206549501</v>
      </c>
    </row>
    <row r="389" spans="1:30" x14ac:dyDescent="0.2">
      <c r="A389">
        <f>_xlfn.XLOOKUP(E389,Lookups!$E:$E,Lookups!$F:$F,0)</f>
        <v>0</v>
      </c>
      <c r="B389">
        <v>1</v>
      </c>
      <c r="C389" s="3" t="d">
        <v>2026-07-03</v>
      </c>
      <c r="D389" s="3"/>
      <c r="E389" s="26" t="s">
        <v>240</v>
      </c>
      <c r="F389" s="26" t="s">
        <v>27</v>
      </c>
      <c r="G389" s="26" t="s">
        <v>28</v>
      </c>
      <c r="H389" s="26" t="s">
        <v>48</v>
      </c>
      <c r="I389" s="26">
        <v>71107</v>
      </c>
      <c r="J389" s="26">
        <v>37472</v>
      </c>
      <c r="K389" s="26">
        <v>117416</v>
      </c>
      <c r="L389" s="26">
        <v>44636299</v>
      </c>
      <c r="M389" s="26">
        <v>255118</v>
      </c>
      <c r="N389" s="26">
        <v>801325</v>
      </c>
      <c r="O389" s="26">
        <v>613359</v>
      </c>
      <c r="P389" s="26" t="s">
        <v>31</v>
      </c>
      <c r="Q389" s="26" t="s">
        <v>31</v>
      </c>
      <c r="R389" s="26" t="s">
        <v>31</v>
      </c>
      <c r="S389" s="26">
        <v>159805</v>
      </c>
      <c r="T389" s="26">
        <v>18204</v>
      </c>
      <c r="U389" s="26">
        <v>15763</v>
      </c>
      <c r="V389" s="26" t="s">
        <v>31</v>
      </c>
      <c r="W389" s="26">
        <v>983</v>
      </c>
      <c r="X389" s="26" t="s">
        <v>31</v>
      </c>
      <c r="Y389" s="26">
        <v>111117</v>
      </c>
      <c r="Z389" s="26">
        <v>31630</v>
      </c>
      <c r="AA389" s="26">
        <v>37</v>
      </c>
      <c r="AB389" s="26">
        <v>0</v>
      </c>
      <c r="AC389" s="26">
        <v>0</v>
      </c>
      <c r="AD389" s="26">
        <v>50.1133082524047</v>
      </c>
    </row>
    <row r="390" spans="1:30" x14ac:dyDescent="0.2">
      <c r="A390">
        <f>_xlfn.XLOOKUP(E390,Lookups!$E:$E,Lookups!$F:$F,0)</f>
        <v>0</v>
      </c>
      <c r="B390">
        <v>1</v>
      </c>
      <c r="C390" s="3" t="d">
        <v>2026-07-03</v>
      </c>
      <c r="D390" s="3"/>
      <c r="E390" s="26" t="s">
        <v>404</v>
      </c>
      <c r="F390" s="26" t="s">
        <v>27</v>
      </c>
      <c r="G390" s="26" t="s">
        <v>77</v>
      </c>
      <c r="H390" s="26" t="s">
        <v>37</v>
      </c>
      <c r="I390" s="26">
        <v>71362</v>
      </c>
      <c r="J390" s="26">
        <v>65002</v>
      </c>
      <c r="K390" s="26">
        <v>30506</v>
      </c>
      <c r="L390" s="26">
        <v>15904706</v>
      </c>
      <c r="M390" s="26">
        <v>118525</v>
      </c>
      <c r="N390" s="26">
        <v>241679</v>
      </c>
      <c r="O390" s="26">
        <v>613359</v>
      </c>
      <c r="P390" s="26" t="s">
        <v>31</v>
      </c>
      <c r="Q390" s="26" t="s">
        <v>31</v>
      </c>
      <c r="R390" s="26" t="s">
        <v>31</v>
      </c>
      <c r="S390" s="26">
        <v>43650</v>
      </c>
      <c r="T390" s="26">
        <v>166049</v>
      </c>
      <c r="U390" s="26">
        <v>138992</v>
      </c>
      <c r="V390" s="26" t="s">
        <v>31</v>
      </c>
      <c r="W390" s="26">
        <v>115</v>
      </c>
      <c r="X390" s="26" t="s">
        <v>31</v>
      </c>
      <c r="Y390" s="26">
        <v>192840</v>
      </c>
      <c r="Z390" s="26" t="s">
        <v>31</v>
      </c>
      <c r="AA390" s="26" t="s">
        <v>31</v>
      </c>
      <c r="AB390" s="26" t="s">
        <v>31</v>
      </c>
      <c r="AC390" s="26" t="s">
        <v>31</v>
      </c>
      <c r="AD390" s="26" t="s">
        <v>31</v>
      </c>
    </row>
    <row r="391" spans="1:30" x14ac:dyDescent="0.2">
      <c r="A391">
        <f>_xlfn.XLOOKUP(E391,Lookups!$E:$E,Lookups!$F:$F,0)</f>
        <v>0</v>
      </c>
      <c r="B391">
        <v>1</v>
      </c>
      <c r="C391" s="3" t="d">
        <v>2026-07-03</v>
      </c>
      <c r="D391" s="3"/>
      <c r="E391" s="26" t="s">
        <v>630</v>
      </c>
      <c r="F391" s="26" t="s">
        <v>27</v>
      </c>
      <c r="G391" s="26" t="s">
        <v>77</v>
      </c>
      <c r="H391" s="26" t="s">
        <v>31</v>
      </c>
      <c r="I391" s="26">
        <v>71397</v>
      </c>
      <c r="J391" s="26">
        <v>184174</v>
      </c>
      <c r="K391" s="26">
        <v>4114</v>
      </c>
      <c r="L391" s="26">
        <v>4798424</v>
      </c>
      <c r="M391" s="26">
        <v>31174</v>
      </c>
      <c r="N391" s="26">
        <v>3602</v>
      </c>
      <c r="O391" s="26">
        <v>81350</v>
      </c>
      <c r="P391" s="26">
        <v>2810</v>
      </c>
      <c r="Q391" s="26">
        <v>919356</v>
      </c>
      <c r="R391" s="26">
        <v>7446</v>
      </c>
      <c r="S391" s="26">
        <v>26723</v>
      </c>
      <c r="T391" s="26">
        <v>530143</v>
      </c>
      <c r="U391" s="26">
        <v>3630</v>
      </c>
      <c r="V391" s="26">
        <v>302785</v>
      </c>
      <c r="W391" s="26">
        <v>11</v>
      </c>
      <c r="X391" s="26">
        <v>54</v>
      </c>
      <c r="Y391" s="26">
        <v>290806</v>
      </c>
      <c r="Z391" s="26" t="s">
        <v>31</v>
      </c>
      <c r="AA391" s="26" t="s">
        <v>31</v>
      </c>
      <c r="AB391" s="26" t="s">
        <v>31</v>
      </c>
      <c r="AC391" s="26" t="s">
        <v>31</v>
      </c>
      <c r="AD391" s="26" t="s">
        <v>31</v>
      </c>
    </row>
    <row r="392" spans="1:30" x14ac:dyDescent="0.2">
      <c r="A392">
        <f>_xlfn.XLOOKUP(E392,Lookups!$E:$E,Lookups!$F:$F,0)</f>
        <v>0</v>
      </c>
      <c r="B392">
        <v>1</v>
      </c>
      <c r="C392" s="3" t="d">
        <v>2026-07-03</v>
      </c>
      <c r="D392" s="3"/>
      <c r="E392" s="26" t="s">
        <v>300</v>
      </c>
      <c r="F392" s="26" t="s">
        <v>27</v>
      </c>
      <c r="G392" s="26" t="s">
        <v>36</v>
      </c>
      <c r="H392" s="26" t="s">
        <v>46</v>
      </c>
      <c r="I392" s="26">
        <v>72039</v>
      </c>
      <c r="J392" s="26">
        <v>58693</v>
      </c>
      <c r="K392" s="26">
        <v>68765</v>
      </c>
      <c r="L392" s="26">
        <v>38202593</v>
      </c>
      <c r="M392" s="26">
        <v>120045</v>
      </c>
      <c r="N392" s="26">
        <v>356831</v>
      </c>
      <c r="O392" s="26">
        <v>141776</v>
      </c>
      <c r="P392" s="26">
        <v>3190</v>
      </c>
      <c r="Q392" s="26">
        <v>949306</v>
      </c>
      <c r="R392" s="26">
        <v>8277</v>
      </c>
      <c r="S392" s="26">
        <v>84021</v>
      </c>
      <c r="T392" s="26">
        <v>130438</v>
      </c>
      <c r="U392" s="26">
        <v>17736</v>
      </c>
      <c r="V392" s="26">
        <v>61873</v>
      </c>
      <c r="W392" s="26">
        <v>236</v>
      </c>
      <c r="X392" s="26" t="s">
        <v>31</v>
      </c>
      <c r="Y392" s="26">
        <v>81265</v>
      </c>
      <c r="Z392" s="26">
        <v>53602</v>
      </c>
      <c r="AA392" s="26">
        <v>28</v>
      </c>
      <c r="AB392" s="26">
        <v>0</v>
      </c>
      <c r="AC392" s="26">
        <v>0</v>
      </c>
      <c r="AD392" s="26">
        <v>26.704650440594602</v>
      </c>
    </row>
    <row r="393" spans="1:30" x14ac:dyDescent="0.2">
      <c r="A393">
        <f>_xlfn.XLOOKUP(E393,Lookups!$E:$E,Lookups!$F:$F,0)</f>
        <v>0</v>
      </c>
      <c r="B393">
        <v>1</v>
      </c>
      <c r="C393" s="3" t="d">
        <v>2026-07-03</v>
      </c>
      <c r="D393" s="3"/>
      <c r="E393" s="26" t="s">
        <v>436</v>
      </c>
      <c r="F393" s="26" t="s">
        <v>27</v>
      </c>
      <c r="G393" s="26" t="s">
        <v>36</v>
      </c>
      <c r="H393" s="26" t="s">
        <v>37</v>
      </c>
      <c r="I393" s="26">
        <v>72171</v>
      </c>
      <c r="J393" s="26">
        <v>105357</v>
      </c>
      <c r="K393" s="26">
        <v>22691</v>
      </c>
      <c r="L393" s="26">
        <v>11513256</v>
      </c>
      <c r="M393" s="26">
        <v>99664</v>
      </c>
      <c r="N393" s="26">
        <v>200032</v>
      </c>
      <c r="O393" s="26">
        <v>582167</v>
      </c>
      <c r="P393" s="26">
        <v>26</v>
      </c>
      <c r="Q393" s="26" t="s">
        <v>31</v>
      </c>
      <c r="R393" s="26" t="s">
        <v>31</v>
      </c>
      <c r="S393" s="26">
        <v>11414</v>
      </c>
      <c r="T393" s="26">
        <v>206861</v>
      </c>
      <c r="U393" s="26">
        <v>87485</v>
      </c>
      <c r="V393" s="26">
        <v>39431</v>
      </c>
      <c r="W393" s="26">
        <v>201</v>
      </c>
      <c r="X393" s="26" t="s">
        <v>31</v>
      </c>
      <c r="Y393" s="26">
        <v>401987</v>
      </c>
      <c r="Z393" s="26" t="s">
        <v>31</v>
      </c>
      <c r="AA393" s="26" t="s">
        <v>31</v>
      </c>
      <c r="AB393" s="26" t="s">
        <v>31</v>
      </c>
      <c r="AC393" s="26" t="s">
        <v>31</v>
      </c>
      <c r="AD393" s="26" t="s">
        <v>31</v>
      </c>
    </row>
    <row r="394" spans="1:30" x14ac:dyDescent="0.2">
      <c r="A394">
        <f>_xlfn.XLOOKUP(E394,Lookups!$E:$E,Lookups!$F:$F,0)</f>
        <v>0</v>
      </c>
      <c r="B394">
        <v>1</v>
      </c>
      <c r="C394" s="3" t="d">
        <v>2026-07-03</v>
      </c>
      <c r="D394" s="3"/>
      <c r="E394" s="26" t="s">
        <v>631</v>
      </c>
      <c r="F394" s="26" t="s">
        <v>27</v>
      </c>
      <c r="G394" s="26" t="s">
        <v>36</v>
      </c>
      <c r="H394" s="26" t="s">
        <v>95</v>
      </c>
      <c r="I394" s="26">
        <v>72292</v>
      </c>
      <c r="J394" s="26">
        <v>437323</v>
      </c>
      <c r="K394" s="26">
        <v>1260</v>
      </c>
      <c r="L394" s="26">
        <v>102926</v>
      </c>
      <c r="M394" s="26">
        <v>808</v>
      </c>
      <c r="N394" s="26" t="s">
        <v>31</v>
      </c>
      <c r="O394" s="26">
        <v>43664</v>
      </c>
      <c r="P394" s="26">
        <v>54700</v>
      </c>
      <c r="Q394" s="26">
        <v>7109384</v>
      </c>
      <c r="R394" s="26">
        <v>62120</v>
      </c>
      <c r="S394" s="26">
        <v>23839</v>
      </c>
      <c r="T394" s="26">
        <v>133168</v>
      </c>
      <c r="U394" s="26">
        <v>1674</v>
      </c>
      <c r="V394" s="26">
        <v>446615</v>
      </c>
      <c r="W394" s="26">
        <v>9</v>
      </c>
      <c r="X394" s="26" t="s">
        <v>31</v>
      </c>
      <c r="Y394" s="26">
        <v>139379</v>
      </c>
      <c r="Z394" s="26" t="s">
        <v>31</v>
      </c>
      <c r="AA394" s="26" t="s">
        <v>31</v>
      </c>
      <c r="AB394" s="26" t="s">
        <v>31</v>
      </c>
      <c r="AC394" s="26" t="s">
        <v>31</v>
      </c>
      <c r="AD394" s="26" t="s">
        <v>31</v>
      </c>
    </row>
    <row r="395" spans="1:30" x14ac:dyDescent="0.2">
      <c r="A395">
        <f>_xlfn.XLOOKUP(E395,Lookups!$E:$E,Lookups!$F:$F,0)</f>
        <v>0</v>
      </c>
      <c r="B395">
        <v>1</v>
      </c>
      <c r="C395" s="3" t="d">
        <v>2026-07-03</v>
      </c>
      <c r="D395" s="3"/>
      <c r="E395" s="26" t="s">
        <v>253</v>
      </c>
      <c r="F395" s="26" t="s">
        <v>27</v>
      </c>
      <c r="G395" s="26" t="s">
        <v>28</v>
      </c>
      <c r="H395" s="26" t="s">
        <v>46</v>
      </c>
      <c r="I395" s="26">
        <v>72595</v>
      </c>
      <c r="J395" s="26">
        <v>54393</v>
      </c>
      <c r="K395" s="26">
        <v>106393</v>
      </c>
      <c r="L395" s="26">
        <v>27885689</v>
      </c>
      <c r="M395" s="26">
        <v>119406</v>
      </c>
      <c r="N395" s="26">
        <v>260205</v>
      </c>
      <c r="O395" s="26">
        <v>76567</v>
      </c>
      <c r="P395" s="26">
        <v>13300</v>
      </c>
      <c r="Q395" s="26">
        <v>1406843</v>
      </c>
      <c r="R395" s="26">
        <v>17064</v>
      </c>
      <c r="S395" s="26">
        <v>103609</v>
      </c>
      <c r="T395" s="26">
        <v>95285</v>
      </c>
      <c r="U395" s="26">
        <v>19828</v>
      </c>
      <c r="V395" s="26" t="s">
        <v>31</v>
      </c>
      <c r="W395" s="26">
        <v>83</v>
      </c>
      <c r="X395" s="26" t="s">
        <v>31</v>
      </c>
      <c r="Y395" s="26">
        <v>92087</v>
      </c>
      <c r="Z395" s="26">
        <v>89739</v>
      </c>
      <c r="AA395" s="26">
        <v>14</v>
      </c>
      <c r="AB395" s="26">
        <v>0</v>
      </c>
      <c r="AC395" s="26">
        <v>0</v>
      </c>
      <c r="AD395" s="26">
        <v>8.7139599305031794</v>
      </c>
    </row>
    <row r="396" spans="1:30" x14ac:dyDescent="0.2">
      <c r="A396">
        <f>_xlfn.XLOOKUP(E396,Lookups!$E:$E,Lookups!$F:$F,0)</f>
        <v>0</v>
      </c>
      <c r="B396">
        <v>1</v>
      </c>
      <c r="C396" s="3" t="d">
        <v>2026-07-03</v>
      </c>
      <c r="D396" s="3"/>
      <c r="E396" s="26" t="s">
        <v>363</v>
      </c>
      <c r="F396" s="26" t="s">
        <v>27</v>
      </c>
      <c r="G396" s="26" t="s">
        <v>28</v>
      </c>
      <c r="H396" s="26" t="s">
        <v>46</v>
      </c>
      <c r="I396" s="26">
        <v>72608</v>
      </c>
      <c r="J396" s="26">
        <v>59895</v>
      </c>
      <c r="K396" s="26">
        <v>43364</v>
      </c>
      <c r="L396" s="26">
        <v>24444713</v>
      </c>
      <c r="M396" s="26">
        <v>214967</v>
      </c>
      <c r="N396" s="26">
        <v>251915</v>
      </c>
      <c r="O396" s="26">
        <v>613359</v>
      </c>
      <c r="P396" s="26" t="s">
        <v>31</v>
      </c>
      <c r="Q396" s="26" t="s">
        <v>31</v>
      </c>
      <c r="R396" s="26" t="s">
        <v>31</v>
      </c>
      <c r="S396" s="26">
        <v>63170</v>
      </c>
      <c r="T396" s="26">
        <v>213814</v>
      </c>
      <c r="U396" s="26">
        <v>5812</v>
      </c>
      <c r="V396" s="26" t="s">
        <v>31</v>
      </c>
      <c r="W396" s="26">
        <v>235</v>
      </c>
      <c r="X396" s="26" t="s">
        <v>31</v>
      </c>
      <c r="Y396" s="26">
        <v>90912</v>
      </c>
      <c r="Z396" s="26" t="s">
        <v>31</v>
      </c>
      <c r="AA396" s="26" t="s">
        <v>31</v>
      </c>
      <c r="AB396" s="26" t="s">
        <v>31</v>
      </c>
      <c r="AC396" s="26" t="s">
        <v>31</v>
      </c>
      <c r="AD396" s="26" t="s">
        <v>31</v>
      </c>
    </row>
    <row r="397" spans="1:30" x14ac:dyDescent="0.2">
      <c r="A397">
        <f>_xlfn.XLOOKUP(E397,Lookups!$E:$E,Lookups!$F:$F,0)</f>
        <v>0</v>
      </c>
      <c r="B397">
        <v>1</v>
      </c>
      <c r="C397" s="3" t="d">
        <v>2026-07-03</v>
      </c>
      <c r="D397" s="3"/>
      <c r="E397" s="26" t="s">
        <v>632</v>
      </c>
      <c r="F397" s="26" t="s">
        <v>35</v>
      </c>
      <c r="G397" s="26" t="s">
        <v>77</v>
      </c>
      <c r="H397" s="26" t="s">
        <v>46</v>
      </c>
      <c r="I397" s="26">
        <v>72858</v>
      </c>
      <c r="J397" s="26">
        <v>457740</v>
      </c>
      <c r="K397" s="26">
        <v>1537</v>
      </c>
      <c r="L397" s="26">
        <v>443821</v>
      </c>
      <c r="M397" s="26">
        <v>828</v>
      </c>
      <c r="N397" s="26">
        <v>9248</v>
      </c>
      <c r="O397" s="26">
        <v>76595</v>
      </c>
      <c r="P397" s="26">
        <v>3070</v>
      </c>
      <c r="Q397" s="26">
        <v>112619</v>
      </c>
      <c r="R397" s="26">
        <v>7562</v>
      </c>
      <c r="S397" s="26">
        <v>7850</v>
      </c>
      <c r="T397" s="26">
        <v>124033</v>
      </c>
      <c r="U397" s="26">
        <v>225425</v>
      </c>
      <c r="V397" s="26" t="s">
        <v>31</v>
      </c>
      <c r="W397" s="26">
        <v>6</v>
      </c>
      <c r="X397" s="26">
        <v>9</v>
      </c>
      <c r="Y397" s="26">
        <v>466238</v>
      </c>
      <c r="Z397" s="26" t="s">
        <v>31</v>
      </c>
      <c r="AA397" s="26" t="s">
        <v>31</v>
      </c>
      <c r="AB397" s="26" t="s">
        <v>31</v>
      </c>
      <c r="AC397" s="26" t="s">
        <v>31</v>
      </c>
      <c r="AD397" s="26" t="s">
        <v>31</v>
      </c>
    </row>
    <row r="398" spans="1:30" x14ac:dyDescent="0.2">
      <c r="A398">
        <f>_xlfn.XLOOKUP(E398,Lookups!$E:$E,Lookups!$F:$F,0)</f>
        <v>0</v>
      </c>
      <c r="B398">
        <v>1</v>
      </c>
      <c r="C398" s="3" t="d">
        <v>2026-07-03</v>
      </c>
      <c r="D398" s="3"/>
      <c r="E398" s="26" t="s">
        <v>359</v>
      </c>
      <c r="F398" s="26" t="s">
        <v>27</v>
      </c>
      <c r="G398" s="26" t="s">
        <v>28</v>
      </c>
      <c r="H398" s="26" t="s">
        <v>72</v>
      </c>
      <c r="I398" s="26">
        <v>72893</v>
      </c>
      <c r="J398" s="26">
        <v>61058</v>
      </c>
      <c r="K398" s="26">
        <v>43643</v>
      </c>
      <c r="L398" s="26">
        <v>53778769</v>
      </c>
      <c r="M398" s="26">
        <v>93775</v>
      </c>
      <c r="N398" s="26">
        <v>1651922</v>
      </c>
      <c r="O398" s="26">
        <v>613359</v>
      </c>
      <c r="P398" s="26" t="s">
        <v>31</v>
      </c>
      <c r="Q398" s="26" t="s">
        <v>31</v>
      </c>
      <c r="R398" s="26" t="s">
        <v>31</v>
      </c>
      <c r="S398" s="26">
        <v>181012</v>
      </c>
      <c r="T398" s="26">
        <v>151</v>
      </c>
      <c r="U398" s="26">
        <v>6417</v>
      </c>
      <c r="V398" s="26">
        <v>5157</v>
      </c>
      <c r="W398" s="26">
        <v>35</v>
      </c>
      <c r="X398" s="26" t="s">
        <v>31</v>
      </c>
      <c r="Y398" s="26">
        <v>118187</v>
      </c>
      <c r="Z398" s="26">
        <v>11078</v>
      </c>
      <c r="AA398" s="26">
        <v>85</v>
      </c>
      <c r="AB398" s="26">
        <v>1</v>
      </c>
      <c r="AC398" s="26">
        <v>16</v>
      </c>
      <c r="AD398" s="26">
        <v>256.24296176048301</v>
      </c>
    </row>
    <row r="399" spans="1:30" x14ac:dyDescent="0.2">
      <c r="A399">
        <f>_xlfn.XLOOKUP(E399,Lookups!$E:$E,Lookups!$F:$F,0)</f>
        <v>0</v>
      </c>
      <c r="B399">
        <v>1</v>
      </c>
      <c r="C399" s="3" t="d">
        <v>2026-07-03</v>
      </c>
      <c r="D399" s="3"/>
      <c r="E399" s="26" t="s">
        <v>305</v>
      </c>
      <c r="F399" s="26" t="s">
        <v>27</v>
      </c>
      <c r="G399" s="26" t="s">
        <v>28</v>
      </c>
      <c r="H399" s="26" t="s">
        <v>72</v>
      </c>
      <c r="I399" s="26">
        <v>72931</v>
      </c>
      <c r="J399" s="26">
        <v>75865</v>
      </c>
      <c r="K399" s="26">
        <v>65709</v>
      </c>
      <c r="L399" s="26">
        <v>11864978</v>
      </c>
      <c r="M399" s="26">
        <v>60452</v>
      </c>
      <c r="N399" s="26">
        <v>844449</v>
      </c>
      <c r="O399" s="26">
        <v>77041</v>
      </c>
      <c r="P399" s="26">
        <v>19300</v>
      </c>
      <c r="Q399" s="26">
        <v>2532802</v>
      </c>
      <c r="R399" s="26">
        <v>39116</v>
      </c>
      <c r="S399" s="26">
        <v>64951</v>
      </c>
      <c r="T399" s="26">
        <v>9972</v>
      </c>
      <c r="U399" s="26">
        <v>28265</v>
      </c>
      <c r="V399" s="26">
        <v>259896</v>
      </c>
      <c r="W399" s="26">
        <v>1656</v>
      </c>
      <c r="X399" s="26">
        <v>3677</v>
      </c>
      <c r="Y399" s="26">
        <v>86841</v>
      </c>
      <c r="Z399" s="26">
        <v>10058</v>
      </c>
      <c r="AA399" s="26">
        <v>118</v>
      </c>
      <c r="AB399" s="26">
        <v>4</v>
      </c>
      <c r="AC399" s="26">
        <v>58</v>
      </c>
      <c r="AD399" s="26">
        <v>326.59388291882198</v>
      </c>
    </row>
    <row r="400" spans="1:30" x14ac:dyDescent="0.2">
      <c r="A400">
        <f>_xlfn.XLOOKUP(E400,Lookups!$E:$E,Lookups!$F:$F,0)</f>
        <v>0</v>
      </c>
      <c r="B400">
        <v>1</v>
      </c>
      <c r="C400" s="3" t="d">
        <v>2026-07-03</v>
      </c>
      <c r="D400" s="3"/>
      <c r="E400" s="26" t="s">
        <v>291</v>
      </c>
      <c r="F400" s="26" t="s">
        <v>27</v>
      </c>
      <c r="G400" s="26" t="s">
        <v>28</v>
      </c>
      <c r="H400" s="26" t="s">
        <v>37</v>
      </c>
      <c r="I400" s="26">
        <v>73056</v>
      </c>
      <c r="J400" s="26">
        <v>88277</v>
      </c>
      <c r="K400" s="26">
        <v>73636</v>
      </c>
      <c r="L400" s="26">
        <v>24997140</v>
      </c>
      <c r="M400" s="26">
        <v>63279</v>
      </c>
      <c r="N400" s="26">
        <v>114392</v>
      </c>
      <c r="O400" s="26">
        <v>186809</v>
      </c>
      <c r="P400" s="26">
        <v>727</v>
      </c>
      <c r="Q400" s="26">
        <v>62371</v>
      </c>
      <c r="R400" s="26">
        <v>1027</v>
      </c>
      <c r="S400" s="26">
        <v>133081</v>
      </c>
      <c r="T400" s="26" t="s">
        <v>31</v>
      </c>
      <c r="U400" s="26">
        <v>8919</v>
      </c>
      <c r="V400" s="26">
        <v>84208</v>
      </c>
      <c r="W400" s="26">
        <v>407</v>
      </c>
      <c r="X400" s="26">
        <v>15</v>
      </c>
      <c r="Y400" s="26">
        <v>466238</v>
      </c>
      <c r="Z400" s="26">
        <v>39671</v>
      </c>
      <c r="AA400" s="26">
        <v>63</v>
      </c>
      <c r="AB400" s="26">
        <v>0</v>
      </c>
      <c r="AC400" s="26">
        <v>0</v>
      </c>
      <c r="AD400" s="26">
        <v>64.081549581473496</v>
      </c>
    </row>
    <row r="401" spans="1:30" x14ac:dyDescent="0.2">
      <c r="A401">
        <f>_xlfn.XLOOKUP(E401,Lookups!$E:$E,Lookups!$F:$F,0)</f>
        <v>0</v>
      </c>
      <c r="B401">
        <v>1</v>
      </c>
      <c r="C401" s="3" t="d">
        <v>2026-07-03</v>
      </c>
      <c r="D401" s="3"/>
      <c r="E401" s="26" t="s">
        <v>444</v>
      </c>
      <c r="F401" s="26" t="s">
        <v>27</v>
      </c>
      <c r="G401" s="26" t="s">
        <v>28</v>
      </c>
      <c r="H401" s="26" t="s">
        <v>46</v>
      </c>
      <c r="I401" s="26">
        <v>73432</v>
      </c>
      <c r="J401" s="26">
        <v>98768</v>
      </c>
      <c r="K401" s="26">
        <v>20845</v>
      </c>
      <c r="L401" s="26">
        <v>4899432</v>
      </c>
      <c r="M401" s="26">
        <v>70246</v>
      </c>
      <c r="N401" s="26">
        <v>27121</v>
      </c>
      <c r="O401" s="26">
        <v>55929</v>
      </c>
      <c r="P401" s="26">
        <v>7000</v>
      </c>
      <c r="Q401" s="26">
        <v>5222</v>
      </c>
      <c r="R401" s="26">
        <v>97</v>
      </c>
      <c r="S401" s="26">
        <v>229249</v>
      </c>
      <c r="T401" s="26">
        <v>3050</v>
      </c>
      <c r="U401" s="26">
        <v>3204</v>
      </c>
      <c r="V401" s="26">
        <v>495</v>
      </c>
      <c r="W401" s="26">
        <v>18</v>
      </c>
      <c r="X401" s="26" t="s">
        <v>31</v>
      </c>
      <c r="Y401" s="26">
        <v>466238</v>
      </c>
      <c r="Z401" s="26" t="s">
        <v>31</v>
      </c>
      <c r="AA401" s="26" t="s">
        <v>31</v>
      </c>
      <c r="AB401" s="26" t="s">
        <v>31</v>
      </c>
      <c r="AC401" s="26" t="s">
        <v>31</v>
      </c>
      <c r="AD401" s="26" t="s">
        <v>31</v>
      </c>
    </row>
    <row r="402" spans="1:30" x14ac:dyDescent="0.2">
      <c r="A402">
        <f>_xlfn.XLOOKUP(E402,Lookups!$E:$E,Lookups!$F:$F,0)</f>
        <v>0</v>
      </c>
      <c r="B402">
        <v>1</v>
      </c>
      <c r="C402" s="3" t="d">
        <v>2026-07-03</v>
      </c>
      <c r="D402" s="3"/>
      <c r="E402" s="26" t="s">
        <v>249</v>
      </c>
      <c r="F402" s="26" t="s">
        <v>27</v>
      </c>
      <c r="G402" s="26" t="s">
        <v>28</v>
      </c>
      <c r="H402" s="26" t="s">
        <v>37</v>
      </c>
      <c r="I402" s="26">
        <v>73920</v>
      </c>
      <c r="J402" s="26">
        <v>55865</v>
      </c>
      <c r="K402" s="26">
        <v>110840</v>
      </c>
      <c r="L402" s="26">
        <v>22773077</v>
      </c>
      <c r="M402" s="26">
        <v>184989</v>
      </c>
      <c r="N402" s="26">
        <v>282467</v>
      </c>
      <c r="O402" s="26">
        <v>613359</v>
      </c>
      <c r="P402" s="26" t="s">
        <v>31</v>
      </c>
      <c r="Q402" s="26" t="s">
        <v>31</v>
      </c>
      <c r="R402" s="26" t="s">
        <v>31</v>
      </c>
      <c r="S402" s="26">
        <v>145310</v>
      </c>
      <c r="T402" s="26" t="s">
        <v>31</v>
      </c>
      <c r="U402" s="26">
        <v>3898</v>
      </c>
      <c r="V402" s="26">
        <v>41083</v>
      </c>
      <c r="W402" s="26">
        <v>6255</v>
      </c>
      <c r="X402" s="26" t="s">
        <v>31</v>
      </c>
      <c r="Y402" s="26">
        <v>132685</v>
      </c>
      <c r="Z402" s="26">
        <v>77004</v>
      </c>
      <c r="AA402" s="26">
        <v>38</v>
      </c>
      <c r="AB402" s="26">
        <v>0</v>
      </c>
      <c r="AC402" s="26">
        <v>0</v>
      </c>
      <c r="AD402" s="26">
        <v>37.905217891984897</v>
      </c>
    </row>
    <row r="403" spans="1:30" x14ac:dyDescent="0.2">
      <c r="A403">
        <f>_xlfn.XLOOKUP(E403,Lookups!$E:$E,Lookups!$F:$F,0)</f>
        <v>0</v>
      </c>
      <c r="B403">
        <v>1</v>
      </c>
      <c r="C403" s="3" t="d">
        <v>2026-07-03</v>
      </c>
      <c r="D403" s="3"/>
      <c r="E403" s="26" t="s">
        <v>397</v>
      </c>
      <c r="F403" s="26" t="s">
        <v>27</v>
      </c>
      <c r="G403" s="26" t="s">
        <v>28</v>
      </c>
      <c r="H403" s="26" t="s">
        <v>44</v>
      </c>
      <c r="I403" s="26">
        <v>73959</v>
      </c>
      <c r="J403" s="26">
        <v>129295</v>
      </c>
      <c r="K403" s="26">
        <v>33250</v>
      </c>
      <c r="L403" s="26">
        <v>3375679</v>
      </c>
      <c r="M403" s="26">
        <v>67143</v>
      </c>
      <c r="N403" s="26">
        <v>160558</v>
      </c>
      <c r="O403" s="26">
        <v>63271</v>
      </c>
      <c r="P403" s="26">
        <v>2770</v>
      </c>
      <c r="Q403" s="26">
        <v>5271687</v>
      </c>
      <c r="R403" s="26">
        <v>45100</v>
      </c>
      <c r="S403" s="26">
        <v>96417</v>
      </c>
      <c r="T403" s="26">
        <v>3624</v>
      </c>
      <c r="U403" s="26">
        <v>49453</v>
      </c>
      <c r="V403" s="26">
        <v>89719</v>
      </c>
      <c r="W403" s="26">
        <v>2140</v>
      </c>
      <c r="X403" s="26">
        <v>3645</v>
      </c>
      <c r="Y403" s="26">
        <v>105268</v>
      </c>
      <c r="Z403" s="26">
        <v>29623</v>
      </c>
      <c r="AA403" s="26">
        <v>131</v>
      </c>
      <c r="AB403" s="26">
        <v>0</v>
      </c>
      <c r="AC403" s="26">
        <v>0</v>
      </c>
      <c r="AD403" s="26">
        <v>141.65962565359999</v>
      </c>
    </row>
    <row r="404" spans="1:30" x14ac:dyDescent="0.2">
      <c r="A404">
        <f>_xlfn.XLOOKUP(E404,Lookups!$E:$E,Lookups!$F:$F,0)</f>
        <v>0</v>
      </c>
      <c r="B404">
        <v>1</v>
      </c>
      <c r="C404" s="3" t="d">
        <v>2026-07-03</v>
      </c>
      <c r="D404" s="3"/>
      <c r="E404" s="26" t="s">
        <v>241</v>
      </c>
      <c r="F404" s="26" t="s">
        <v>27</v>
      </c>
      <c r="G404" s="26" t="s">
        <v>36</v>
      </c>
      <c r="H404" s="26" t="s">
        <v>31</v>
      </c>
      <c r="I404" s="26">
        <v>74078</v>
      </c>
      <c r="J404" s="26">
        <v>81320</v>
      </c>
      <c r="K404" s="26">
        <v>115051</v>
      </c>
      <c r="L404" s="26">
        <v>11585721</v>
      </c>
      <c r="M404" s="26">
        <v>87970</v>
      </c>
      <c r="N404" s="26">
        <v>83405</v>
      </c>
      <c r="O404" s="26">
        <v>613359</v>
      </c>
      <c r="P404" s="26" t="s">
        <v>31</v>
      </c>
      <c r="Q404" s="26" t="s">
        <v>31</v>
      </c>
      <c r="R404" s="26" t="s">
        <v>31</v>
      </c>
      <c r="S404" s="26">
        <v>93813</v>
      </c>
      <c r="T404" s="26">
        <v>45158</v>
      </c>
      <c r="U404" s="26">
        <v>11733</v>
      </c>
      <c r="V404" s="26">
        <v>124973</v>
      </c>
      <c r="W404" s="26">
        <v>1923</v>
      </c>
      <c r="X404" s="26" t="s">
        <v>31</v>
      </c>
      <c r="Y404" s="26">
        <v>80056</v>
      </c>
      <c r="Z404" s="26">
        <v>38653</v>
      </c>
      <c r="AA404" s="26">
        <v>45</v>
      </c>
      <c r="AB404" s="26">
        <v>0</v>
      </c>
      <c r="AC404" s="26">
        <v>0</v>
      </c>
      <c r="AD404" s="26">
        <v>42.442484393455103</v>
      </c>
    </row>
    <row r="405" spans="1:30" x14ac:dyDescent="0.2">
      <c r="A405">
        <f>_xlfn.XLOOKUP(E405,Lookups!$E:$E,Lookups!$F:$F,0)</f>
        <v>0</v>
      </c>
      <c r="B405">
        <v>1</v>
      </c>
      <c r="C405" s="3" t="d">
        <v>2026-07-03</v>
      </c>
      <c r="D405" s="3"/>
      <c r="E405" s="26" t="s">
        <v>375</v>
      </c>
      <c r="F405" s="26" t="s">
        <v>27</v>
      </c>
      <c r="G405" s="26" t="s">
        <v>36</v>
      </c>
      <c r="H405" s="26" t="s">
        <v>46</v>
      </c>
      <c r="I405" s="26">
        <v>74387</v>
      </c>
      <c r="J405" s="26">
        <v>103586</v>
      </c>
      <c r="K405" s="26">
        <v>39430</v>
      </c>
      <c r="L405" s="26">
        <v>25623929</v>
      </c>
      <c r="M405" s="26">
        <v>57044</v>
      </c>
      <c r="N405" s="26">
        <v>185284</v>
      </c>
      <c r="O405" s="26">
        <v>63802</v>
      </c>
      <c r="P405" s="26">
        <v>20100</v>
      </c>
      <c r="Q405" s="26">
        <v>4245593</v>
      </c>
      <c r="R405" s="26">
        <v>22606</v>
      </c>
      <c r="S405" s="26">
        <v>50894</v>
      </c>
      <c r="T405" s="26">
        <v>179204</v>
      </c>
      <c r="U405" s="26">
        <v>2070</v>
      </c>
      <c r="V405" s="26">
        <v>127597</v>
      </c>
      <c r="W405" s="26">
        <v>57</v>
      </c>
      <c r="X405" s="26" t="s">
        <v>31</v>
      </c>
      <c r="Y405" s="26">
        <v>131780</v>
      </c>
      <c r="Z405" s="26">
        <v>46533</v>
      </c>
      <c r="AA405" s="26">
        <v>35</v>
      </c>
      <c r="AB405" s="26">
        <v>0</v>
      </c>
      <c r="AC405" s="26">
        <v>0</v>
      </c>
      <c r="AD405" s="26">
        <v>25.5861393844724</v>
      </c>
    </row>
    <row r="406" spans="1:30" x14ac:dyDescent="0.2">
      <c r="A406">
        <f>_xlfn.XLOOKUP(E406,Lookups!$E:$E,Lookups!$F:$F,0)</f>
        <v>0</v>
      </c>
      <c r="B406">
        <v>1</v>
      </c>
      <c r="C406" s="3" t="d">
        <v>2026-07-03</v>
      </c>
      <c r="D406" s="3"/>
      <c r="E406" s="26" t="s">
        <v>262</v>
      </c>
      <c r="F406" s="26" t="s">
        <v>27</v>
      </c>
      <c r="G406" s="26" t="s">
        <v>28</v>
      </c>
      <c r="H406" s="26" t="s">
        <v>46</v>
      </c>
      <c r="I406" s="26">
        <v>74434</v>
      </c>
      <c r="J406" s="26">
        <v>86171</v>
      </c>
      <c r="K406" s="26">
        <v>97538</v>
      </c>
      <c r="L406" s="26">
        <v>17482306</v>
      </c>
      <c r="M406" s="26">
        <v>74579</v>
      </c>
      <c r="N406" s="26">
        <v>618772</v>
      </c>
      <c r="O406" s="26">
        <v>515349</v>
      </c>
      <c r="P406" s="26">
        <v>99</v>
      </c>
      <c r="Q406" s="26">
        <v>2698</v>
      </c>
      <c r="R406" s="26">
        <v>59</v>
      </c>
      <c r="S406" s="26">
        <v>73814</v>
      </c>
      <c r="T406" s="26">
        <v>966</v>
      </c>
      <c r="U406" s="26">
        <v>72894</v>
      </c>
      <c r="V406" s="26">
        <v>10393</v>
      </c>
      <c r="W406" s="26">
        <v>691</v>
      </c>
      <c r="X406" s="26" t="s">
        <v>31</v>
      </c>
      <c r="Y406" s="26">
        <v>160512</v>
      </c>
      <c r="Z406" s="26">
        <v>21621</v>
      </c>
      <c r="AA406" s="26">
        <v>69</v>
      </c>
      <c r="AB406" s="26">
        <v>1</v>
      </c>
      <c r="AC406" s="26">
        <v>20</v>
      </c>
      <c r="AD406" s="26">
        <v>110.01149450285899</v>
      </c>
    </row>
    <row r="407" spans="1:30" x14ac:dyDescent="0.2">
      <c r="A407">
        <f>_xlfn.XLOOKUP(E407,Lookups!$E:$E,Lookups!$F:$F,0)</f>
        <v>0</v>
      </c>
      <c r="B407">
        <v>1</v>
      </c>
      <c r="C407" s="3" t="d">
        <v>2026-07-03</v>
      </c>
      <c r="D407" s="3"/>
      <c r="E407" s="26" t="s">
        <v>414</v>
      </c>
      <c r="F407" s="26" t="s">
        <v>27</v>
      </c>
      <c r="G407" s="26" t="s">
        <v>28</v>
      </c>
      <c r="H407" s="26" t="s">
        <v>62</v>
      </c>
      <c r="I407" s="26">
        <v>74451</v>
      </c>
      <c r="J407" s="26">
        <v>98534</v>
      </c>
      <c r="K407" s="26">
        <v>28172</v>
      </c>
      <c r="L407" s="26">
        <v>37111661</v>
      </c>
      <c r="M407" s="26">
        <v>35085</v>
      </c>
      <c r="N407" s="26">
        <v>1369544</v>
      </c>
      <c r="O407" s="26">
        <v>92491</v>
      </c>
      <c r="P407" s="26">
        <v>6920</v>
      </c>
      <c r="Q407" s="26">
        <v>625161</v>
      </c>
      <c r="R407" s="26">
        <v>10691</v>
      </c>
      <c r="S407" s="26">
        <v>37229</v>
      </c>
      <c r="T407" s="26">
        <v>27634</v>
      </c>
      <c r="U407" s="26">
        <v>14381</v>
      </c>
      <c r="V407" s="26">
        <v>64076</v>
      </c>
      <c r="W407" s="26">
        <v>188</v>
      </c>
      <c r="X407" s="26" t="s">
        <v>31</v>
      </c>
      <c r="Y407" s="26">
        <v>35607</v>
      </c>
      <c r="Z407" s="26">
        <v>13445</v>
      </c>
      <c r="AA407" s="26">
        <v>134</v>
      </c>
      <c r="AB407" s="26">
        <v>1</v>
      </c>
      <c r="AC407" s="26">
        <v>4</v>
      </c>
      <c r="AD407" s="26">
        <v>199.38724210836099</v>
      </c>
    </row>
    <row r="408" spans="1:30" x14ac:dyDescent="0.2">
      <c r="A408">
        <f>_xlfn.XLOOKUP(E408,Lookups!$E:$E,Lookups!$F:$F,0)</f>
        <v>0</v>
      </c>
      <c r="B408">
        <v>1</v>
      </c>
      <c r="C408" s="3" t="d">
        <v>2026-07-03</v>
      </c>
      <c r="D408" s="3"/>
      <c r="E408" s="26" t="s">
        <v>633</v>
      </c>
      <c r="F408" s="26" t="s">
        <v>27</v>
      </c>
      <c r="G408" s="26" t="s">
        <v>28</v>
      </c>
      <c r="H408" s="26" t="s">
        <v>95</v>
      </c>
      <c r="I408" s="26">
        <v>74559</v>
      </c>
      <c r="J408" s="26">
        <v>97592</v>
      </c>
      <c r="K408" s="26">
        <v>4780</v>
      </c>
      <c r="L408" s="26">
        <v>2130152</v>
      </c>
      <c r="M408" s="26">
        <v>117268</v>
      </c>
      <c r="N408" s="26">
        <v>784</v>
      </c>
      <c r="O408" s="26">
        <v>46021</v>
      </c>
      <c r="P408" s="26">
        <v>13400</v>
      </c>
      <c r="Q408" s="26">
        <v>4020262</v>
      </c>
      <c r="R408" s="26">
        <v>28905</v>
      </c>
      <c r="S408" s="26">
        <v>208516</v>
      </c>
      <c r="T408" s="26">
        <v>79289</v>
      </c>
      <c r="U408" s="26">
        <v>1285</v>
      </c>
      <c r="V408" s="26">
        <v>2015</v>
      </c>
      <c r="W408" s="26">
        <v>3</v>
      </c>
      <c r="X408" s="26" t="s">
        <v>31</v>
      </c>
      <c r="Y408" s="26">
        <v>466238</v>
      </c>
      <c r="Z408" s="26" t="s">
        <v>31</v>
      </c>
      <c r="AA408" s="26" t="s">
        <v>31</v>
      </c>
      <c r="AB408" s="26" t="s">
        <v>31</v>
      </c>
      <c r="AC408" s="26" t="s">
        <v>31</v>
      </c>
      <c r="AD408" s="26" t="s">
        <v>31</v>
      </c>
    </row>
    <row r="409" spans="1:30" x14ac:dyDescent="0.2">
      <c r="A409">
        <f>_xlfn.XLOOKUP(E409,Lookups!$E:$E,Lookups!$F:$F,0)</f>
        <v>0</v>
      </c>
      <c r="B409">
        <v>1</v>
      </c>
      <c r="C409" s="3" t="d">
        <v>2026-07-03</v>
      </c>
      <c r="D409" s="3"/>
      <c r="E409" s="26" t="s">
        <v>634</v>
      </c>
      <c r="F409" s="26" t="s">
        <v>27</v>
      </c>
      <c r="G409" s="26" t="s">
        <v>28</v>
      </c>
      <c r="H409" s="26" t="s">
        <v>95</v>
      </c>
      <c r="I409" s="26">
        <v>74710</v>
      </c>
      <c r="J409" s="26">
        <v>463644</v>
      </c>
      <c r="K409" s="26">
        <v>126</v>
      </c>
      <c r="L409" s="26">
        <v>63324</v>
      </c>
      <c r="M409" s="26">
        <v>1309</v>
      </c>
      <c r="N409" s="26">
        <v>3</v>
      </c>
      <c r="O409" s="26">
        <v>23733</v>
      </c>
      <c r="P409" s="26">
        <v>196000</v>
      </c>
      <c r="Q409" s="26">
        <v>51406753</v>
      </c>
      <c r="R409" s="26">
        <v>1235759</v>
      </c>
      <c r="S409" s="26">
        <v>354991</v>
      </c>
      <c r="T409" s="26">
        <v>1295</v>
      </c>
      <c r="U409" s="26" t="s">
        <v>31</v>
      </c>
      <c r="V409" s="26">
        <v>1123</v>
      </c>
      <c r="W409" s="26" t="s">
        <v>31</v>
      </c>
      <c r="X409" s="26">
        <v>489</v>
      </c>
      <c r="Y409" s="26">
        <v>466238</v>
      </c>
      <c r="Z409" s="26" t="s">
        <v>31</v>
      </c>
      <c r="AA409" s="26" t="s">
        <v>31</v>
      </c>
      <c r="AB409" s="26" t="s">
        <v>31</v>
      </c>
      <c r="AC409" s="26" t="s">
        <v>31</v>
      </c>
      <c r="AD409" s="26" t="s">
        <v>31</v>
      </c>
    </row>
    <row r="410" spans="1:30" x14ac:dyDescent="0.2">
      <c r="A410">
        <f>_xlfn.XLOOKUP(E410,Lookups!$E:$E,Lookups!$F:$F,0)</f>
        <v>0</v>
      </c>
      <c r="B410">
        <v>1</v>
      </c>
      <c r="C410" s="3" t="d">
        <v>2026-07-03</v>
      </c>
      <c r="D410" s="3"/>
      <c r="E410" s="26" t="s">
        <v>362</v>
      </c>
      <c r="F410" s="26" t="s">
        <v>27</v>
      </c>
      <c r="G410" s="26" t="s">
        <v>28</v>
      </c>
      <c r="H410" s="26" t="s">
        <v>46</v>
      </c>
      <c r="I410" s="26">
        <v>74711</v>
      </c>
      <c r="J410" s="26">
        <v>41076</v>
      </c>
      <c r="K410" s="26">
        <v>43534</v>
      </c>
      <c r="L410" s="26">
        <v>13819236</v>
      </c>
      <c r="M410" s="26">
        <v>456380</v>
      </c>
      <c r="N410" s="26">
        <v>557716</v>
      </c>
      <c r="O410" s="26">
        <v>613359</v>
      </c>
      <c r="P410" s="26" t="s">
        <v>31</v>
      </c>
      <c r="Q410" s="26" t="s">
        <v>31</v>
      </c>
      <c r="R410" s="26" t="s">
        <v>31</v>
      </c>
      <c r="S410" s="26">
        <v>834709</v>
      </c>
      <c r="T410" s="26" t="s">
        <v>31</v>
      </c>
      <c r="U410" s="26" t="s">
        <v>31</v>
      </c>
      <c r="V410" s="26" t="s">
        <v>31</v>
      </c>
      <c r="W410" s="26">
        <v>200</v>
      </c>
      <c r="X410" s="26">
        <v>3</v>
      </c>
      <c r="Y410" s="26">
        <v>415523</v>
      </c>
      <c r="Z410" s="26">
        <v>33449</v>
      </c>
      <c r="AA410" s="26">
        <v>49</v>
      </c>
      <c r="AB410" s="26">
        <v>0</v>
      </c>
      <c r="AC410" s="26">
        <v>0</v>
      </c>
      <c r="AD410" s="26">
        <v>43.204433551626799</v>
      </c>
    </row>
    <row r="411" spans="1:30" x14ac:dyDescent="0.2">
      <c r="A411">
        <f>_xlfn.XLOOKUP(E411,Lookups!$E:$E,Lookups!$F:$F,0)</f>
        <v>0</v>
      </c>
      <c r="B411">
        <v>1</v>
      </c>
      <c r="C411" s="3" t="d">
        <v>2026-07-03</v>
      </c>
      <c r="D411" s="3"/>
      <c r="E411" s="26" t="s">
        <v>635</v>
      </c>
      <c r="F411" s="26" t="s">
        <v>27</v>
      </c>
      <c r="G411" s="26" t="s">
        <v>28</v>
      </c>
      <c r="H411" s="26" t="s">
        <v>57</v>
      </c>
      <c r="I411" s="26">
        <v>75127</v>
      </c>
      <c r="J411" s="26">
        <v>33897</v>
      </c>
      <c r="K411" s="26">
        <v>3607</v>
      </c>
      <c r="L411" s="26">
        <v>55470461</v>
      </c>
      <c r="M411" s="26">
        <v>364145</v>
      </c>
      <c r="N411" s="26">
        <v>11396464</v>
      </c>
      <c r="O411" s="26">
        <v>469916</v>
      </c>
      <c r="P411" s="26">
        <v>133</v>
      </c>
      <c r="Q411" s="26">
        <v>7419</v>
      </c>
      <c r="R411" s="26">
        <v>210</v>
      </c>
      <c r="S411" s="26">
        <v>164006</v>
      </c>
      <c r="T411" s="26">
        <v>899</v>
      </c>
      <c r="U411" s="26">
        <v>32224</v>
      </c>
      <c r="V411" s="26">
        <v>1461</v>
      </c>
      <c r="W411" s="26">
        <v>135</v>
      </c>
      <c r="X411" s="26">
        <v>215</v>
      </c>
      <c r="Y411" s="26">
        <v>82068</v>
      </c>
      <c r="Z411" s="26">
        <v>582</v>
      </c>
      <c r="AA411" s="26">
        <v>53</v>
      </c>
      <c r="AB411" s="26">
        <v>6</v>
      </c>
      <c r="AC411" s="26">
        <v>828</v>
      </c>
      <c r="AD411" s="26">
        <v>11148.940284873999</v>
      </c>
    </row>
    <row r="412" spans="1:30" x14ac:dyDescent="0.2">
      <c r="A412">
        <f>_xlfn.XLOOKUP(E412,Lookups!$E:$E,Lookups!$F:$F,0)</f>
        <v>0</v>
      </c>
      <c r="B412">
        <v>1</v>
      </c>
      <c r="C412" s="3" t="d">
        <v>2026-07-03</v>
      </c>
      <c r="D412" s="3"/>
      <c r="E412" s="26" t="s">
        <v>636</v>
      </c>
      <c r="F412" s="26" t="s">
        <v>581</v>
      </c>
      <c r="G412" s="26" t="s">
        <v>36</v>
      </c>
      <c r="H412" s="26" t="s">
        <v>57</v>
      </c>
      <c r="I412" s="26">
        <v>75163</v>
      </c>
      <c r="J412" s="26">
        <v>68821</v>
      </c>
      <c r="K412" s="26">
        <v>8507</v>
      </c>
      <c r="L412" s="26">
        <v>29349586</v>
      </c>
      <c r="M412" s="26">
        <v>167357</v>
      </c>
      <c r="N412" s="26">
        <v>840396</v>
      </c>
      <c r="O412" s="26">
        <v>49018</v>
      </c>
      <c r="P412" s="26">
        <v>117000</v>
      </c>
      <c r="Q412" s="26">
        <v>15365914</v>
      </c>
      <c r="R412" s="26">
        <v>180892</v>
      </c>
      <c r="S412" s="26">
        <v>708549</v>
      </c>
      <c r="T412" s="26" t="s">
        <v>31</v>
      </c>
      <c r="U412" s="26" t="s">
        <v>31</v>
      </c>
      <c r="V412" s="26">
        <v>985</v>
      </c>
      <c r="W412" s="26" t="s">
        <v>31</v>
      </c>
      <c r="X412" s="26" t="s">
        <v>31</v>
      </c>
      <c r="Y412" s="26">
        <v>46132</v>
      </c>
      <c r="Z412" s="26" t="s">
        <v>31</v>
      </c>
      <c r="AA412" s="26" t="s">
        <v>31</v>
      </c>
      <c r="AB412" s="26" t="s">
        <v>31</v>
      </c>
      <c r="AC412" s="26" t="s">
        <v>31</v>
      </c>
      <c r="AD412" s="26" t="s">
        <v>31</v>
      </c>
    </row>
    <row r="413" spans="1:30" x14ac:dyDescent="0.2">
      <c r="A413">
        <f>_xlfn.XLOOKUP(E413,Lookups!$E:$E,Lookups!$F:$F,0)</f>
        <v>0</v>
      </c>
      <c r="B413">
        <v>1</v>
      </c>
      <c r="C413" s="3" t="d">
        <v>2026-07-03</v>
      </c>
      <c r="D413" s="3"/>
      <c r="E413" s="26" t="s">
        <v>355</v>
      </c>
      <c r="F413" s="26" t="s">
        <v>27</v>
      </c>
      <c r="G413" s="26" t="s">
        <v>36</v>
      </c>
      <c r="H413" s="26" t="s">
        <v>46</v>
      </c>
      <c r="I413" s="26">
        <v>75467</v>
      </c>
      <c r="J413" s="26">
        <v>76746</v>
      </c>
      <c r="K413" s="26">
        <v>44391</v>
      </c>
      <c r="L413" s="26">
        <v>25221434</v>
      </c>
      <c r="M413" s="26">
        <v>112132</v>
      </c>
      <c r="N413" s="26">
        <v>296645</v>
      </c>
      <c r="O413" s="26">
        <v>613359</v>
      </c>
      <c r="P413" s="26" t="s">
        <v>31</v>
      </c>
      <c r="Q413" s="26" t="s">
        <v>31</v>
      </c>
      <c r="R413" s="26" t="s">
        <v>31</v>
      </c>
      <c r="S413" s="26">
        <v>51506</v>
      </c>
      <c r="T413" s="26" t="s">
        <v>31</v>
      </c>
      <c r="U413" s="26">
        <v>51764</v>
      </c>
      <c r="V413" s="26">
        <v>97004</v>
      </c>
      <c r="W413" s="26" t="s">
        <v>31</v>
      </c>
      <c r="X413" s="26" t="s">
        <v>31</v>
      </c>
      <c r="Y413" s="26">
        <v>120701</v>
      </c>
      <c r="Z413" s="26" t="s">
        <v>31</v>
      </c>
      <c r="AA413" s="26" t="s">
        <v>31</v>
      </c>
      <c r="AB413" s="26" t="s">
        <v>31</v>
      </c>
      <c r="AC413" s="26" t="s">
        <v>31</v>
      </c>
      <c r="AD413" s="26" t="s">
        <v>31</v>
      </c>
    </row>
    <row r="414" spans="1:30" x14ac:dyDescent="0.2">
      <c r="A414">
        <f>_xlfn.XLOOKUP(E414,Lookups!$E:$E,Lookups!$F:$F,0)</f>
        <v>0</v>
      </c>
      <c r="B414">
        <v>1</v>
      </c>
      <c r="C414" s="3" t="d">
        <v>2026-07-03</v>
      </c>
      <c r="D414" s="3"/>
      <c r="E414" s="26" t="s">
        <v>637</v>
      </c>
      <c r="F414" s="26" t="s">
        <v>27</v>
      </c>
      <c r="G414" s="26" t="s">
        <v>28</v>
      </c>
      <c r="H414" s="26" t="s">
        <v>40</v>
      </c>
      <c r="I414" s="26">
        <v>75678</v>
      </c>
      <c r="J414" s="26">
        <v>136489</v>
      </c>
      <c r="K414" s="26">
        <v>5001</v>
      </c>
      <c r="L414" s="26">
        <v>3903591</v>
      </c>
      <c r="M414" s="26">
        <v>95601</v>
      </c>
      <c r="N414" s="26">
        <v>18820</v>
      </c>
      <c r="O414" s="26">
        <v>613359</v>
      </c>
      <c r="P414" s="26" t="s">
        <v>31</v>
      </c>
      <c r="Q414" s="26" t="s">
        <v>31</v>
      </c>
      <c r="R414" s="26" t="s">
        <v>31</v>
      </c>
      <c r="S414" s="26">
        <v>22183</v>
      </c>
      <c r="T414" s="26" t="s">
        <v>31</v>
      </c>
      <c r="U414" s="26">
        <v>368208</v>
      </c>
      <c r="V414" s="26" t="s">
        <v>31</v>
      </c>
      <c r="W414" s="26">
        <v>8</v>
      </c>
      <c r="X414" s="26" t="s">
        <v>31</v>
      </c>
      <c r="Y414" s="26">
        <v>318476</v>
      </c>
      <c r="Z414" s="26" t="s">
        <v>31</v>
      </c>
      <c r="AA414" s="26" t="s">
        <v>31</v>
      </c>
      <c r="AB414" s="26" t="s">
        <v>31</v>
      </c>
      <c r="AC414" s="26" t="s">
        <v>31</v>
      </c>
      <c r="AD414" s="26" t="s">
        <v>31</v>
      </c>
    </row>
    <row r="415" spans="1:30" x14ac:dyDescent="0.2">
      <c r="A415">
        <f>_xlfn.XLOOKUP(E415,Lookups!$E:$E,Lookups!$F:$F,0)</f>
        <v>0</v>
      </c>
      <c r="B415">
        <v>1</v>
      </c>
      <c r="C415" s="3" t="d">
        <v>2026-07-03</v>
      </c>
      <c r="D415" s="3"/>
      <c r="E415" s="26" t="s">
        <v>391</v>
      </c>
      <c r="F415" s="26" t="s">
        <v>35</v>
      </c>
      <c r="G415" s="26" t="s">
        <v>36</v>
      </c>
      <c r="H415" s="26" t="s">
        <v>31</v>
      </c>
      <c r="I415" s="26">
        <v>75748</v>
      </c>
      <c r="J415" s="26">
        <v>53173</v>
      </c>
      <c r="K415" s="26">
        <v>34009</v>
      </c>
      <c r="L415" s="26">
        <v>11042333</v>
      </c>
      <c r="M415" s="26">
        <v>291400</v>
      </c>
      <c r="N415" s="26">
        <v>207</v>
      </c>
      <c r="O415" s="26">
        <v>613359</v>
      </c>
      <c r="P415" s="26" t="s">
        <v>31</v>
      </c>
      <c r="Q415" s="26" t="s">
        <v>31</v>
      </c>
      <c r="R415" s="26" t="s">
        <v>31</v>
      </c>
      <c r="S415" s="26">
        <v>834709</v>
      </c>
      <c r="T415" s="26" t="s">
        <v>31</v>
      </c>
      <c r="U415" s="26" t="s">
        <v>31</v>
      </c>
      <c r="V415" s="26" t="s">
        <v>31</v>
      </c>
      <c r="W415" s="26">
        <v>19</v>
      </c>
      <c r="X415" s="26" t="s">
        <v>31</v>
      </c>
      <c r="Y415" s="26">
        <v>332502</v>
      </c>
      <c r="Z415" s="26" t="s">
        <v>31</v>
      </c>
      <c r="AA415" s="26" t="s">
        <v>31</v>
      </c>
      <c r="AB415" s="26" t="s">
        <v>31</v>
      </c>
      <c r="AC415" s="26" t="s">
        <v>31</v>
      </c>
      <c r="AD415" s="26" t="s">
        <v>31</v>
      </c>
    </row>
    <row r="416" spans="1:30" x14ac:dyDescent="0.2">
      <c r="A416">
        <f>_xlfn.XLOOKUP(E416,Lookups!$E:$E,Lookups!$F:$F,0)</f>
        <v>0</v>
      </c>
      <c r="B416">
        <v>1</v>
      </c>
      <c r="C416" s="3" t="d">
        <v>2026-07-03</v>
      </c>
      <c r="D416" s="3"/>
      <c r="E416" s="26" t="s">
        <v>226</v>
      </c>
      <c r="F416" s="26" t="s">
        <v>27</v>
      </c>
      <c r="G416" s="26" t="s">
        <v>36</v>
      </c>
      <c r="H416" s="26" t="s">
        <v>31</v>
      </c>
      <c r="I416" s="26">
        <v>75910</v>
      </c>
      <c r="J416" s="26">
        <v>79473</v>
      </c>
      <c r="K416" s="26">
        <v>132536</v>
      </c>
      <c r="L416" s="26">
        <v>13202230</v>
      </c>
      <c r="M416" s="26">
        <v>86313</v>
      </c>
      <c r="N416" s="26">
        <v>186363</v>
      </c>
      <c r="O416" s="26">
        <v>95488</v>
      </c>
      <c r="P416" s="26">
        <v>17600</v>
      </c>
      <c r="Q416" s="26">
        <v>954288</v>
      </c>
      <c r="R416" s="26">
        <v>11142</v>
      </c>
      <c r="S416" s="26">
        <v>101538</v>
      </c>
      <c r="T416" s="26">
        <v>1311</v>
      </c>
      <c r="U416" s="26">
        <v>72797</v>
      </c>
      <c r="V416" s="26">
        <v>16212</v>
      </c>
      <c r="W416" s="26">
        <v>3339</v>
      </c>
      <c r="X416" s="26" t="s">
        <v>31</v>
      </c>
      <c r="Y416" s="26">
        <v>118982</v>
      </c>
      <c r="Z416" s="26">
        <v>77331</v>
      </c>
      <c r="AA416" s="26">
        <v>27</v>
      </c>
      <c r="AB416" s="26">
        <v>0</v>
      </c>
      <c r="AC416" s="26">
        <v>0</v>
      </c>
      <c r="AD416" s="26">
        <v>13.8282988291837</v>
      </c>
    </row>
    <row r="417" spans="1:30" x14ac:dyDescent="0.2">
      <c r="A417">
        <f>_xlfn.XLOOKUP(E417,Lookups!$E:$E,Lookups!$F:$F,0)</f>
        <v>0</v>
      </c>
      <c r="B417">
        <v>1</v>
      </c>
      <c r="C417" s="3" t="d">
        <v>2026-07-03</v>
      </c>
      <c r="D417" s="3"/>
      <c r="E417" s="26" t="s">
        <v>431</v>
      </c>
      <c r="F417" s="26" t="s">
        <v>27</v>
      </c>
      <c r="G417" s="26" t="s">
        <v>28</v>
      </c>
      <c r="H417" s="26" t="s">
        <v>37</v>
      </c>
      <c r="I417" s="26">
        <v>75939</v>
      </c>
      <c r="J417" s="26">
        <v>74256</v>
      </c>
      <c r="K417" s="26">
        <v>23751</v>
      </c>
      <c r="L417" s="26">
        <v>14712032</v>
      </c>
      <c r="M417" s="26">
        <v>139996</v>
      </c>
      <c r="N417" s="26">
        <v>436532</v>
      </c>
      <c r="O417" s="26">
        <v>613359</v>
      </c>
      <c r="P417" s="26" t="s">
        <v>31</v>
      </c>
      <c r="Q417" s="26" t="s">
        <v>31</v>
      </c>
      <c r="R417" s="26" t="s">
        <v>31</v>
      </c>
      <c r="S417" s="26">
        <v>21763</v>
      </c>
      <c r="T417" s="26">
        <v>198581</v>
      </c>
      <c r="U417" s="26">
        <v>42330</v>
      </c>
      <c r="V417" s="26" t="s">
        <v>31</v>
      </c>
      <c r="W417" s="26">
        <v>11</v>
      </c>
      <c r="X417" s="26" t="s">
        <v>31</v>
      </c>
      <c r="Y417" s="26">
        <v>388756</v>
      </c>
      <c r="Z417" s="26">
        <v>44412</v>
      </c>
      <c r="AA417" s="26">
        <v>14</v>
      </c>
      <c r="AB417" s="26">
        <v>0</v>
      </c>
      <c r="AC417" s="26">
        <v>0</v>
      </c>
      <c r="AD417" s="26">
        <v>20.934188751411501</v>
      </c>
    </row>
    <row r="418" spans="1:30" x14ac:dyDescent="0.2">
      <c r="A418">
        <f>_xlfn.XLOOKUP(E418,Lookups!$E:$E,Lookups!$F:$F,0)</f>
        <v>0</v>
      </c>
      <c r="B418">
        <v>1</v>
      </c>
      <c r="C418" s="3" t="d">
        <v>2026-07-03</v>
      </c>
      <c r="D418" s="3"/>
      <c r="E418" s="26" t="s">
        <v>416</v>
      </c>
      <c r="F418" s="26" t="s">
        <v>27</v>
      </c>
      <c r="G418" s="26" t="s">
        <v>36</v>
      </c>
      <c r="H418" s="26" t="s">
        <v>31</v>
      </c>
      <c r="I418" s="26">
        <v>76256</v>
      </c>
      <c r="J418" s="26">
        <v>97378</v>
      </c>
      <c r="K418" s="26">
        <v>27587</v>
      </c>
      <c r="L418" s="26">
        <v>10348647</v>
      </c>
      <c r="M418" s="26">
        <v>93880</v>
      </c>
      <c r="N418" s="26">
        <v>74209</v>
      </c>
      <c r="O418" s="26">
        <v>105292</v>
      </c>
      <c r="P418" s="26">
        <v>10300</v>
      </c>
      <c r="Q418" s="26">
        <v>350651</v>
      </c>
      <c r="R418" s="26">
        <v>5010</v>
      </c>
      <c r="S418" s="26">
        <v>81978</v>
      </c>
      <c r="T418" s="26">
        <v>17782</v>
      </c>
      <c r="U418" s="26">
        <v>20423</v>
      </c>
      <c r="V418" s="26">
        <v>192625</v>
      </c>
      <c r="W418" s="26">
        <v>416</v>
      </c>
      <c r="X418" s="26">
        <v>61</v>
      </c>
      <c r="Y418" s="26">
        <v>34588</v>
      </c>
      <c r="Z418" s="26" t="s">
        <v>31</v>
      </c>
      <c r="AA418" s="26" t="s">
        <v>31</v>
      </c>
      <c r="AB418" s="26" t="s">
        <v>31</v>
      </c>
      <c r="AC418" s="26" t="s">
        <v>31</v>
      </c>
      <c r="AD418" s="26" t="s">
        <v>31</v>
      </c>
    </row>
    <row r="419" spans="1:30" x14ac:dyDescent="0.2">
      <c r="A419">
        <f>_xlfn.XLOOKUP(E419,Lookups!$E:$E,Lookups!$F:$F,0)</f>
        <v>0</v>
      </c>
      <c r="B419">
        <v>1</v>
      </c>
      <c r="C419" s="3" t="d">
        <v>2026-07-03</v>
      </c>
      <c r="D419" s="3"/>
      <c r="E419" s="26" t="s">
        <v>638</v>
      </c>
      <c r="F419" s="26" t="s">
        <v>27</v>
      </c>
      <c r="G419" s="26" t="s">
        <v>77</v>
      </c>
      <c r="H419" s="26" t="s">
        <v>46</v>
      </c>
      <c r="I419" s="26">
        <v>76371</v>
      </c>
      <c r="J419" s="26">
        <v>91387</v>
      </c>
      <c r="K419" s="26">
        <v>15216</v>
      </c>
      <c r="L419" s="26">
        <v>11156080</v>
      </c>
      <c r="M419" s="26">
        <v>108094</v>
      </c>
      <c r="N419" s="26">
        <v>436111</v>
      </c>
      <c r="O419" s="26">
        <v>83308</v>
      </c>
      <c r="P419" s="26">
        <v>5010</v>
      </c>
      <c r="Q419" s="26">
        <v>137070</v>
      </c>
      <c r="R419" s="26">
        <v>2713</v>
      </c>
      <c r="S419" s="26">
        <v>40427</v>
      </c>
      <c r="T419" s="26">
        <v>79039</v>
      </c>
      <c r="U419" s="26">
        <v>29453</v>
      </c>
      <c r="V419" s="26" t="s">
        <v>31</v>
      </c>
      <c r="W419" s="26">
        <v>44</v>
      </c>
      <c r="X419" s="26">
        <v>535</v>
      </c>
      <c r="Y419" s="26">
        <v>159875</v>
      </c>
      <c r="Z419" s="26" t="s">
        <v>31</v>
      </c>
      <c r="AA419" s="26" t="s">
        <v>31</v>
      </c>
      <c r="AB419" s="26" t="s">
        <v>31</v>
      </c>
      <c r="AC419" s="26" t="s">
        <v>31</v>
      </c>
      <c r="AD419" s="26" t="s">
        <v>31</v>
      </c>
    </row>
    <row r="420" spans="1:30" x14ac:dyDescent="0.2">
      <c r="A420">
        <f>_xlfn.XLOOKUP(E420,Lookups!$E:$E,Lookups!$F:$F,0)</f>
        <v>0</v>
      </c>
      <c r="B420">
        <v>1</v>
      </c>
      <c r="C420" s="3" t="d">
        <v>2026-07-03</v>
      </c>
      <c r="D420" s="3"/>
      <c r="E420" s="26" t="s">
        <v>639</v>
      </c>
      <c r="F420" s="26" t="s">
        <v>27</v>
      </c>
      <c r="G420" s="26" t="s">
        <v>36</v>
      </c>
      <c r="H420" s="26" t="s">
        <v>46</v>
      </c>
      <c r="I420" s="26">
        <v>76589</v>
      </c>
      <c r="J420" s="26">
        <v>206217</v>
      </c>
      <c r="K420" s="26">
        <v>9806</v>
      </c>
      <c r="L420" s="26">
        <v>7671441</v>
      </c>
      <c r="M420" s="26">
        <v>9579</v>
      </c>
      <c r="N420" s="26">
        <v>126454</v>
      </c>
      <c r="O420" s="26">
        <v>114292</v>
      </c>
      <c r="P420" s="26">
        <v>9320</v>
      </c>
      <c r="Q420" s="26">
        <v>1330240</v>
      </c>
      <c r="R420" s="26">
        <v>17333</v>
      </c>
      <c r="S420" s="26">
        <v>20285</v>
      </c>
      <c r="T420" s="26">
        <v>1669</v>
      </c>
      <c r="U420" s="26">
        <v>1294949</v>
      </c>
      <c r="V420" s="26">
        <v>45573</v>
      </c>
      <c r="W420" s="26" t="s">
        <v>31</v>
      </c>
      <c r="X420" s="26" t="s">
        <v>31</v>
      </c>
      <c r="Y420" s="26">
        <v>377558</v>
      </c>
      <c r="Z420" s="26">
        <v>70514</v>
      </c>
      <c r="AA420" s="26">
        <v>20</v>
      </c>
      <c r="AB420" s="26">
        <v>0</v>
      </c>
      <c r="AC420" s="26">
        <v>0</v>
      </c>
      <c r="AD420" s="26">
        <v>14.3727380006414</v>
      </c>
    </row>
    <row r="421" spans="1:30" x14ac:dyDescent="0.2">
      <c r="A421">
        <f>_xlfn.XLOOKUP(E421,Lookups!$E:$E,Lookups!$F:$F,0)</f>
        <v>0</v>
      </c>
      <c r="B421">
        <v>1</v>
      </c>
      <c r="C421" s="3" t="d">
        <v>2026-07-03</v>
      </c>
      <c r="D421" s="3"/>
      <c r="E421" s="26" t="s">
        <v>640</v>
      </c>
      <c r="F421" s="26" t="s">
        <v>27</v>
      </c>
      <c r="G421" s="26" t="s">
        <v>28</v>
      </c>
      <c r="H421" s="26" t="s">
        <v>46</v>
      </c>
      <c r="I421" s="26">
        <v>76793</v>
      </c>
      <c r="J421" s="26">
        <v>103501</v>
      </c>
      <c r="K421" s="26">
        <v>733</v>
      </c>
      <c r="L421" s="26">
        <v>32286504</v>
      </c>
      <c r="M421" s="26">
        <v>31851</v>
      </c>
      <c r="N421" s="26">
        <v>1660809</v>
      </c>
      <c r="O421" s="26">
        <v>613359</v>
      </c>
      <c r="P421" s="26" t="s">
        <v>31</v>
      </c>
      <c r="Q421" s="26" t="s">
        <v>31</v>
      </c>
      <c r="R421" s="26" t="s">
        <v>31</v>
      </c>
      <c r="S421" s="26">
        <v>549346</v>
      </c>
      <c r="T421" s="26">
        <v>190</v>
      </c>
      <c r="U421" s="26">
        <v>186</v>
      </c>
      <c r="V421" s="26">
        <v>1086</v>
      </c>
      <c r="W421" s="26">
        <v>2</v>
      </c>
      <c r="X421" s="26" t="s">
        <v>31</v>
      </c>
      <c r="Y421" s="26">
        <v>466238</v>
      </c>
      <c r="Z421" s="26" t="s">
        <v>31</v>
      </c>
      <c r="AA421" s="26" t="s">
        <v>31</v>
      </c>
      <c r="AB421" s="26" t="s">
        <v>31</v>
      </c>
      <c r="AC421" s="26" t="s">
        <v>31</v>
      </c>
      <c r="AD421" s="26" t="s">
        <v>31</v>
      </c>
    </row>
    <row r="422" spans="1:30" x14ac:dyDescent="0.2">
      <c r="A422">
        <f>_xlfn.XLOOKUP(E422,Lookups!$E:$E,Lookups!$F:$F,0)</f>
        <v>0</v>
      </c>
      <c r="B422">
        <v>1</v>
      </c>
      <c r="C422" s="3" t="d">
        <v>2026-07-03</v>
      </c>
      <c r="D422" s="3"/>
      <c r="E422" s="26" t="s">
        <v>378</v>
      </c>
      <c r="F422" s="26" t="s">
        <v>27</v>
      </c>
      <c r="G422" s="26" t="s">
        <v>28</v>
      </c>
      <c r="H422" s="26" t="s">
        <v>46</v>
      </c>
      <c r="I422" s="26">
        <v>76890</v>
      </c>
      <c r="J422" s="26">
        <v>67871</v>
      </c>
      <c r="K422" s="26">
        <v>38070</v>
      </c>
      <c r="L422" s="26">
        <v>19371543</v>
      </c>
      <c r="M422" s="26">
        <v>182443</v>
      </c>
      <c r="N422" s="26">
        <v>468618</v>
      </c>
      <c r="O422" s="26">
        <v>613359</v>
      </c>
      <c r="P422" s="26" t="s">
        <v>31</v>
      </c>
      <c r="Q422" s="26" t="s">
        <v>31</v>
      </c>
      <c r="R422" s="26" t="s">
        <v>31</v>
      </c>
      <c r="S422" s="26">
        <v>66188</v>
      </c>
      <c r="T422" s="26">
        <v>26952</v>
      </c>
      <c r="U422" s="26">
        <v>2761</v>
      </c>
      <c r="V422" s="26">
        <v>69622</v>
      </c>
      <c r="W422" s="26">
        <v>26</v>
      </c>
      <c r="X422" s="26" t="s">
        <v>31</v>
      </c>
      <c r="Y422" s="26">
        <v>466238</v>
      </c>
      <c r="Z422" s="26">
        <v>78273</v>
      </c>
      <c r="AA422" s="26">
        <v>29</v>
      </c>
      <c r="AB422" s="26">
        <v>0</v>
      </c>
      <c r="AC422" s="26">
        <v>0</v>
      </c>
      <c r="AD422" s="26">
        <v>22.448985050234999</v>
      </c>
    </row>
    <row r="423" spans="1:30" x14ac:dyDescent="0.2">
      <c r="A423">
        <f>_xlfn.XLOOKUP(E423,Lookups!$E:$E,Lookups!$F:$F,0)</f>
        <v>0</v>
      </c>
      <c r="B423">
        <v>1</v>
      </c>
      <c r="C423" s="3" t="d">
        <v>2026-07-03</v>
      </c>
      <c r="D423" s="3"/>
      <c r="E423" s="26" t="s">
        <v>641</v>
      </c>
      <c r="F423" s="26" t="s">
        <v>428</v>
      </c>
      <c r="G423" s="26" t="s">
        <v>314</v>
      </c>
      <c r="H423" s="26" t="s">
        <v>31</v>
      </c>
      <c r="I423" s="26">
        <v>77001</v>
      </c>
      <c r="J423" s="26">
        <v>214443</v>
      </c>
      <c r="K423" s="26">
        <v>6282</v>
      </c>
      <c r="L423" s="26">
        <v>4159380</v>
      </c>
      <c r="M423" s="26">
        <v>10750</v>
      </c>
      <c r="N423" s="26">
        <v>67792</v>
      </c>
      <c r="O423" s="26">
        <v>71076</v>
      </c>
      <c r="P423" s="26">
        <v>31600</v>
      </c>
      <c r="Q423" s="26">
        <v>8080363</v>
      </c>
      <c r="R423" s="26">
        <v>150893</v>
      </c>
      <c r="S423" s="26">
        <v>22765</v>
      </c>
      <c r="T423" s="26">
        <v>79259</v>
      </c>
      <c r="U423" s="26">
        <v>266304</v>
      </c>
      <c r="V423" s="26">
        <v>248587</v>
      </c>
      <c r="W423" s="26">
        <v>660</v>
      </c>
      <c r="X423" s="26">
        <v>87</v>
      </c>
      <c r="Y423" s="26">
        <v>182307</v>
      </c>
      <c r="Z423" s="26">
        <v>116597</v>
      </c>
      <c r="AA423" s="26">
        <v>16</v>
      </c>
      <c r="AB423" s="26">
        <v>0</v>
      </c>
      <c r="AC423" s="26">
        <v>0</v>
      </c>
      <c r="AD423" s="26">
        <v>5.6829150852124597</v>
      </c>
    </row>
    <row r="424" spans="1:30" x14ac:dyDescent="0.2">
      <c r="A424">
        <f>_xlfn.XLOOKUP(E424,Lookups!$E:$E,Lookups!$F:$F,0)</f>
        <v>0</v>
      </c>
      <c r="B424">
        <v>1</v>
      </c>
      <c r="C424" s="3" t="d">
        <v>2026-07-03</v>
      </c>
      <c r="D424" s="3"/>
      <c r="E424" s="26" t="s">
        <v>227</v>
      </c>
      <c r="F424" s="26" t="s">
        <v>27</v>
      </c>
      <c r="G424" s="26" t="s">
        <v>36</v>
      </c>
      <c r="H424" s="26" t="s">
        <v>118</v>
      </c>
      <c r="I424" s="26">
        <v>77034</v>
      </c>
      <c r="J424" s="26">
        <v>61335</v>
      </c>
      <c r="K424" s="26">
        <v>131965</v>
      </c>
      <c r="L424" s="26">
        <v>22274054</v>
      </c>
      <c r="M424" s="26">
        <v>150360</v>
      </c>
      <c r="N424" s="26">
        <v>351799</v>
      </c>
      <c r="O424" s="26">
        <v>115972</v>
      </c>
      <c r="P424" s="26">
        <v>21000</v>
      </c>
      <c r="Q424" s="26">
        <v>23925</v>
      </c>
      <c r="R424" s="26">
        <v>497</v>
      </c>
      <c r="S424" s="26">
        <v>100826</v>
      </c>
      <c r="T424" s="26">
        <v>14800</v>
      </c>
      <c r="U424" s="26">
        <v>58473</v>
      </c>
      <c r="V424" s="26">
        <v>41298</v>
      </c>
      <c r="W424" s="26">
        <v>1698</v>
      </c>
      <c r="X424" s="26" t="s">
        <v>31</v>
      </c>
      <c r="Y424" s="26">
        <v>278577</v>
      </c>
      <c r="Z424" s="26" t="s">
        <v>31</v>
      </c>
      <c r="AA424" s="26" t="s">
        <v>31</v>
      </c>
      <c r="AB424" s="26" t="s">
        <v>31</v>
      </c>
      <c r="AC424" s="26" t="s">
        <v>31</v>
      </c>
      <c r="AD424" s="26" t="s">
        <v>31</v>
      </c>
    </row>
    <row r="425" spans="1:30" x14ac:dyDescent="0.2">
      <c r="A425">
        <f>_xlfn.XLOOKUP(E425,Lookups!$E:$E,Lookups!$F:$F,0)</f>
        <v>0</v>
      </c>
      <c r="B425">
        <v>1</v>
      </c>
      <c r="C425" s="3" t="d">
        <v>2026-07-03</v>
      </c>
      <c r="D425" s="3"/>
      <c r="E425" s="26" t="s">
        <v>470</v>
      </c>
      <c r="F425" s="26" t="s">
        <v>27</v>
      </c>
      <c r="G425" s="26" t="s">
        <v>36</v>
      </c>
      <c r="H425" s="26" t="s">
        <v>46</v>
      </c>
      <c r="I425" s="26">
        <v>77331</v>
      </c>
      <c r="J425" s="26">
        <v>128560</v>
      </c>
      <c r="K425" s="26">
        <v>16963</v>
      </c>
      <c r="L425" s="26">
        <v>13151075</v>
      </c>
      <c r="M425" s="26">
        <v>26917</v>
      </c>
      <c r="N425" s="26">
        <v>568230</v>
      </c>
      <c r="O425" s="26">
        <v>401999</v>
      </c>
      <c r="P425" s="26">
        <v>410</v>
      </c>
      <c r="Q425" s="26">
        <v>16600</v>
      </c>
      <c r="R425" s="26">
        <v>450</v>
      </c>
      <c r="S425" s="26">
        <v>51860</v>
      </c>
      <c r="T425" s="26" t="s">
        <v>31</v>
      </c>
      <c r="U425" s="26">
        <v>187149</v>
      </c>
      <c r="V425" s="26">
        <v>269977</v>
      </c>
      <c r="W425" s="26">
        <v>81</v>
      </c>
      <c r="X425" s="26" t="s">
        <v>31</v>
      </c>
      <c r="Y425" s="26">
        <v>373501</v>
      </c>
      <c r="Z425" s="26" t="s">
        <v>31</v>
      </c>
      <c r="AA425" s="26" t="s">
        <v>31</v>
      </c>
      <c r="AB425" s="26" t="s">
        <v>31</v>
      </c>
      <c r="AC425" s="26" t="s">
        <v>31</v>
      </c>
      <c r="AD425" s="26" t="s">
        <v>31</v>
      </c>
    </row>
    <row r="426" spans="1:30" x14ac:dyDescent="0.2">
      <c r="A426">
        <f>_xlfn.XLOOKUP(E426,Lookups!$E:$E,Lookups!$F:$F,0)</f>
        <v>0</v>
      </c>
      <c r="B426">
        <v>1</v>
      </c>
      <c r="C426" s="3" t="d">
        <v>2026-07-03</v>
      </c>
      <c r="D426" s="3"/>
      <c r="E426" s="26" t="s">
        <v>285</v>
      </c>
      <c r="F426" s="26" t="s">
        <v>27</v>
      </c>
      <c r="G426" s="26" t="s">
        <v>28</v>
      </c>
      <c r="H426" s="26" t="s">
        <v>118</v>
      </c>
      <c r="I426" s="26">
        <v>77452</v>
      </c>
      <c r="J426" s="26">
        <v>53549</v>
      </c>
      <c r="K426" s="26">
        <v>80292</v>
      </c>
      <c r="L426" s="26">
        <v>33925666</v>
      </c>
      <c r="M426" s="26">
        <v>200060</v>
      </c>
      <c r="N426" s="26">
        <v>858810</v>
      </c>
      <c r="O426" s="26">
        <v>613359</v>
      </c>
      <c r="P426" s="26" t="s">
        <v>31</v>
      </c>
      <c r="Q426" s="26" t="s">
        <v>31</v>
      </c>
      <c r="R426" s="26" t="s">
        <v>31</v>
      </c>
      <c r="S426" s="26">
        <v>223505</v>
      </c>
      <c r="T426" s="26" t="s">
        <v>31</v>
      </c>
      <c r="U426" s="26" t="s">
        <v>31</v>
      </c>
      <c r="V426" s="26">
        <v>36351</v>
      </c>
      <c r="W426" s="26">
        <v>658</v>
      </c>
      <c r="X426" s="26" t="s">
        <v>31</v>
      </c>
      <c r="Y426" s="26">
        <v>129056</v>
      </c>
      <c r="Z426" s="26">
        <v>25383</v>
      </c>
      <c r="AA426" s="26">
        <v>122</v>
      </c>
      <c r="AB426" s="26">
        <v>1</v>
      </c>
      <c r="AC426" s="26">
        <v>1</v>
      </c>
      <c r="AD426" s="26">
        <v>104.56387800205501</v>
      </c>
    </row>
    <row r="427" spans="1:30" x14ac:dyDescent="0.2">
      <c r="A427">
        <f>_xlfn.XLOOKUP(E427,Lookups!$E:$E,Lookups!$F:$F,0)</f>
        <v>0</v>
      </c>
      <c r="B427">
        <v>1</v>
      </c>
      <c r="C427" s="3" t="d">
        <v>2026-07-03</v>
      </c>
      <c r="D427" s="3"/>
      <c r="E427" s="26" t="s">
        <v>246</v>
      </c>
      <c r="F427" s="26" t="s">
        <v>27</v>
      </c>
      <c r="G427" s="26" t="s">
        <v>28</v>
      </c>
      <c r="H427" s="26" t="s">
        <v>31</v>
      </c>
      <c r="I427" s="26">
        <v>77941</v>
      </c>
      <c r="J427" s="26">
        <v>77289</v>
      </c>
      <c r="K427" s="26">
        <v>113065</v>
      </c>
      <c r="L427" s="26">
        <v>21430484</v>
      </c>
      <c r="M427" s="26">
        <v>71874</v>
      </c>
      <c r="N427" s="26">
        <v>354219</v>
      </c>
      <c r="O427" s="26">
        <v>65250</v>
      </c>
      <c r="P427" s="26">
        <v>37900</v>
      </c>
      <c r="Q427" s="26">
        <v>5341095</v>
      </c>
      <c r="R427" s="26">
        <v>48081</v>
      </c>
      <c r="S427" s="26">
        <v>183377</v>
      </c>
      <c r="T427" s="26" t="s">
        <v>31</v>
      </c>
      <c r="U427" s="26">
        <v>29147</v>
      </c>
      <c r="V427" s="26" t="s">
        <v>31</v>
      </c>
      <c r="W427" s="26">
        <v>1032</v>
      </c>
      <c r="X427" s="26">
        <v>556</v>
      </c>
      <c r="Y427" s="26">
        <v>203815</v>
      </c>
      <c r="Z427" s="26">
        <v>32749</v>
      </c>
      <c r="AA427" s="26">
        <v>47</v>
      </c>
      <c r="AB427" s="26">
        <v>1</v>
      </c>
      <c r="AC427" s="26">
        <v>1</v>
      </c>
      <c r="AD427" s="26">
        <v>49.947536278569203</v>
      </c>
    </row>
    <row r="428" spans="1:30" x14ac:dyDescent="0.2">
      <c r="A428">
        <f>_xlfn.XLOOKUP(E428,Lookups!$E:$E,Lookups!$F:$F,0)</f>
        <v>0</v>
      </c>
      <c r="B428">
        <v>1</v>
      </c>
      <c r="C428" s="3" t="d">
        <v>2026-07-03</v>
      </c>
      <c r="D428" s="3"/>
      <c r="E428" s="26" t="s">
        <v>374</v>
      </c>
      <c r="F428" s="26" t="s">
        <v>27</v>
      </c>
      <c r="G428" s="26" t="s">
        <v>28</v>
      </c>
      <c r="H428" s="26" t="s">
        <v>46</v>
      </c>
      <c r="I428" s="26">
        <v>78017</v>
      </c>
      <c r="J428" s="26">
        <v>89606</v>
      </c>
      <c r="K428" s="26">
        <v>40385</v>
      </c>
      <c r="L428" s="26">
        <v>23307609</v>
      </c>
      <c r="M428" s="26">
        <v>62451</v>
      </c>
      <c r="N428" s="26">
        <v>414317</v>
      </c>
      <c r="O428" s="26">
        <v>613359</v>
      </c>
      <c r="P428" s="26" t="s">
        <v>31</v>
      </c>
      <c r="Q428" s="26" t="s">
        <v>31</v>
      </c>
      <c r="R428" s="26" t="s">
        <v>31</v>
      </c>
      <c r="S428" s="26">
        <v>47142</v>
      </c>
      <c r="T428" s="26">
        <v>421</v>
      </c>
      <c r="U428" s="26">
        <v>141532</v>
      </c>
      <c r="V428" s="26">
        <v>155832</v>
      </c>
      <c r="W428" s="26">
        <v>652</v>
      </c>
      <c r="X428" s="26">
        <v>54</v>
      </c>
      <c r="Y428" s="26">
        <v>447689</v>
      </c>
      <c r="Z428" s="26">
        <v>42876</v>
      </c>
      <c r="AA428" s="26">
        <v>32</v>
      </c>
      <c r="AB428" s="26">
        <v>0</v>
      </c>
      <c r="AC428" s="26">
        <v>0</v>
      </c>
      <c r="AD428" s="26">
        <v>39.656067211226201</v>
      </c>
    </row>
    <row r="429" spans="1:30" x14ac:dyDescent="0.2">
      <c r="A429">
        <f>_xlfn.XLOOKUP(E429,Lookups!$E:$E,Lookups!$F:$F,0)</f>
        <v>0</v>
      </c>
      <c r="B429">
        <v>1</v>
      </c>
      <c r="C429" s="3" t="d">
        <v>2026-07-03</v>
      </c>
      <c r="D429" s="3"/>
      <c r="E429" s="26" t="s">
        <v>642</v>
      </c>
      <c r="F429" s="26" t="s">
        <v>27</v>
      </c>
      <c r="G429" s="26" t="s">
        <v>28</v>
      </c>
      <c r="H429" s="26" t="s">
        <v>31</v>
      </c>
      <c r="I429" s="26">
        <v>78374</v>
      </c>
      <c r="J429" s="26">
        <v>358118</v>
      </c>
      <c r="K429" s="26">
        <v>2445</v>
      </c>
      <c r="L429" s="26">
        <v>322473</v>
      </c>
      <c r="M429" s="26">
        <v>636</v>
      </c>
      <c r="N429" s="26">
        <v>17379</v>
      </c>
      <c r="O429" s="26">
        <v>121900</v>
      </c>
      <c r="P429" s="26">
        <v>5140</v>
      </c>
      <c r="Q429" s="26">
        <v>235567</v>
      </c>
      <c r="R429" s="26">
        <v>4828</v>
      </c>
      <c r="S429" s="26">
        <v>18041</v>
      </c>
      <c r="T429" s="26">
        <v>417712</v>
      </c>
      <c r="U429" s="26">
        <v>406828</v>
      </c>
      <c r="V429" s="26">
        <v>169891</v>
      </c>
      <c r="W429" s="26">
        <v>12</v>
      </c>
      <c r="X429" s="26" t="s">
        <v>31</v>
      </c>
      <c r="Y429" s="26">
        <v>446684</v>
      </c>
      <c r="Z429" s="26">
        <v>82223</v>
      </c>
      <c r="AA429" s="26">
        <v>15</v>
      </c>
      <c r="AB429" s="26">
        <v>0</v>
      </c>
      <c r="AC429" s="26">
        <v>0</v>
      </c>
      <c r="AD429" s="26">
        <v>8.4068842145086702</v>
      </c>
    </row>
    <row r="430" spans="1:30" x14ac:dyDescent="0.2">
      <c r="A430">
        <f>_xlfn.XLOOKUP(E430,Lookups!$E:$E,Lookups!$F:$F,0)</f>
        <v>0</v>
      </c>
      <c r="B430">
        <v>1</v>
      </c>
      <c r="C430" s="3" t="d">
        <v>2026-07-03</v>
      </c>
      <c r="D430" s="3"/>
      <c r="E430" s="26" t="s">
        <v>643</v>
      </c>
      <c r="F430" s="26" t="s">
        <v>27</v>
      </c>
      <c r="G430" s="26" t="s">
        <v>28</v>
      </c>
      <c r="H430" s="26" t="s">
        <v>46</v>
      </c>
      <c r="I430" s="26">
        <v>78574</v>
      </c>
      <c r="J430" s="26">
        <v>145377</v>
      </c>
      <c r="K430" s="26">
        <v>13300</v>
      </c>
      <c r="L430" s="26">
        <v>6851350</v>
      </c>
      <c r="M430" s="26">
        <v>34476</v>
      </c>
      <c r="N430" s="26">
        <v>158013</v>
      </c>
      <c r="O430" s="26">
        <v>39069</v>
      </c>
      <c r="P430" s="26">
        <v>23200</v>
      </c>
      <c r="Q430" s="26">
        <v>1988680</v>
      </c>
      <c r="R430" s="26">
        <v>37659</v>
      </c>
      <c r="S430" s="26">
        <v>55083</v>
      </c>
      <c r="T430" s="26">
        <v>371</v>
      </c>
      <c r="U430" s="26">
        <v>53226</v>
      </c>
      <c r="V430" s="26">
        <v>120102</v>
      </c>
      <c r="W430" s="26">
        <v>1039</v>
      </c>
      <c r="X430" s="26">
        <v>4523</v>
      </c>
      <c r="Y430" s="26">
        <v>128275</v>
      </c>
      <c r="Z430" s="26">
        <v>42090</v>
      </c>
      <c r="AA430" s="26">
        <v>98</v>
      </c>
      <c r="AB430" s="26">
        <v>0</v>
      </c>
      <c r="AC430" s="26">
        <v>0</v>
      </c>
      <c r="AD430" s="26">
        <v>90.263063909002099</v>
      </c>
    </row>
    <row r="431" spans="1:30" x14ac:dyDescent="0.2">
      <c r="A431">
        <f>_xlfn.XLOOKUP(E431,Lookups!$E:$E,Lookups!$F:$F,0)</f>
        <v>0</v>
      </c>
      <c r="B431">
        <v>1</v>
      </c>
      <c r="C431" s="3" t="d">
        <v>2026-07-03</v>
      </c>
      <c r="D431" s="3"/>
      <c r="E431" s="26" t="s">
        <v>644</v>
      </c>
      <c r="F431" s="26" t="s">
        <v>408</v>
      </c>
      <c r="G431" s="26" t="s">
        <v>28</v>
      </c>
      <c r="H431" s="26" t="s">
        <v>95</v>
      </c>
      <c r="I431" s="26">
        <v>78663</v>
      </c>
      <c r="J431" s="26">
        <v>336544</v>
      </c>
      <c r="K431" s="26">
        <v>4942</v>
      </c>
      <c r="L431" s="26">
        <v>938690</v>
      </c>
      <c r="M431" s="26">
        <v>2452</v>
      </c>
      <c r="N431" s="26">
        <v>13283</v>
      </c>
      <c r="O431" s="26">
        <v>55285</v>
      </c>
      <c r="P431" s="26">
        <v>91900</v>
      </c>
      <c r="Q431" s="26">
        <v>17643575</v>
      </c>
      <c r="R431" s="26">
        <v>138046</v>
      </c>
      <c r="S431" s="26">
        <v>30544</v>
      </c>
      <c r="T431" s="26">
        <v>267281</v>
      </c>
      <c r="U431" s="26">
        <v>32672</v>
      </c>
      <c r="V431" s="26">
        <v>616799</v>
      </c>
      <c r="W431" s="26">
        <v>686</v>
      </c>
      <c r="X431" s="26">
        <v>15</v>
      </c>
      <c r="Y431" s="26">
        <v>326574</v>
      </c>
      <c r="Z431" s="26" t="s">
        <v>31</v>
      </c>
      <c r="AA431" s="26" t="s">
        <v>31</v>
      </c>
      <c r="AB431" s="26" t="s">
        <v>31</v>
      </c>
      <c r="AC431" s="26" t="s">
        <v>31</v>
      </c>
      <c r="AD431" s="26" t="s">
        <v>31</v>
      </c>
    </row>
    <row r="432" spans="1:30" x14ac:dyDescent="0.2">
      <c r="A432">
        <f>_xlfn.XLOOKUP(E432,Lookups!$E:$E,Lookups!$F:$F,0)</f>
        <v>0</v>
      </c>
      <c r="B432">
        <v>1</v>
      </c>
      <c r="C432" s="3" t="d">
        <v>2026-07-03</v>
      </c>
      <c r="D432" s="3"/>
      <c r="E432" s="26" t="s">
        <v>645</v>
      </c>
      <c r="F432" s="26" t="s">
        <v>27</v>
      </c>
      <c r="G432" s="26" t="s">
        <v>28</v>
      </c>
      <c r="H432" s="26" t="s">
        <v>31</v>
      </c>
      <c r="I432" s="26">
        <v>78750</v>
      </c>
      <c r="J432" s="26">
        <v>200828</v>
      </c>
      <c r="K432" s="26">
        <v>4694</v>
      </c>
      <c r="L432" s="26">
        <v>1296501</v>
      </c>
      <c r="M432" s="26">
        <v>37218</v>
      </c>
      <c r="N432" s="26">
        <v>10221</v>
      </c>
      <c r="O432" s="26">
        <v>50064</v>
      </c>
      <c r="P432" s="26">
        <v>16000</v>
      </c>
      <c r="Q432" s="26">
        <v>2189451</v>
      </c>
      <c r="R432" s="26">
        <v>15360</v>
      </c>
      <c r="S432" s="26">
        <v>24431</v>
      </c>
      <c r="T432" s="26">
        <v>93513</v>
      </c>
      <c r="U432" s="26">
        <v>117544</v>
      </c>
      <c r="V432" s="26">
        <v>8090</v>
      </c>
      <c r="W432" s="26">
        <v>26</v>
      </c>
      <c r="X432" s="26">
        <v>3</v>
      </c>
      <c r="Y432" s="26">
        <v>443147</v>
      </c>
      <c r="Z432" s="26" t="s">
        <v>31</v>
      </c>
      <c r="AA432" s="26" t="s">
        <v>31</v>
      </c>
      <c r="AB432" s="26" t="s">
        <v>31</v>
      </c>
      <c r="AC432" s="26" t="s">
        <v>31</v>
      </c>
      <c r="AD432" s="26" t="s">
        <v>31</v>
      </c>
    </row>
    <row r="433" spans="1:30" x14ac:dyDescent="0.2">
      <c r="A433">
        <f>_xlfn.XLOOKUP(E433,Lookups!$E:$E,Lookups!$F:$F,0)</f>
        <v>0</v>
      </c>
      <c r="B433">
        <v>1</v>
      </c>
      <c r="C433" s="3" t="d">
        <v>2026-07-03</v>
      </c>
      <c r="D433" s="3"/>
      <c r="E433" s="26" t="s">
        <v>353</v>
      </c>
      <c r="F433" s="26" t="s">
        <v>35</v>
      </c>
      <c r="G433" s="26" t="s">
        <v>36</v>
      </c>
      <c r="H433" s="26" t="s">
        <v>95</v>
      </c>
      <c r="I433" s="26">
        <v>78820</v>
      </c>
      <c r="J433" s="26">
        <v>50105</v>
      </c>
      <c r="K433" s="26">
        <v>44806</v>
      </c>
      <c r="L433" s="26">
        <v>18713177</v>
      </c>
      <c r="M433" s="26">
        <v>157579</v>
      </c>
      <c r="N433" s="26">
        <v>39138</v>
      </c>
      <c r="O433" s="26">
        <v>72492</v>
      </c>
      <c r="P433" s="26">
        <v>9030</v>
      </c>
      <c r="Q433" s="26">
        <v>3043107</v>
      </c>
      <c r="R433" s="26">
        <v>23080</v>
      </c>
      <c r="S433" s="26">
        <v>67759</v>
      </c>
      <c r="T433" s="26">
        <v>79376</v>
      </c>
      <c r="U433" s="26">
        <v>90342</v>
      </c>
      <c r="V433" s="26" t="s">
        <v>31</v>
      </c>
      <c r="W433" s="26">
        <v>12</v>
      </c>
      <c r="X433" s="26" t="s">
        <v>31</v>
      </c>
      <c r="Y433" s="26">
        <v>466238</v>
      </c>
      <c r="Z433" s="26" t="s">
        <v>31</v>
      </c>
      <c r="AA433" s="26" t="s">
        <v>31</v>
      </c>
      <c r="AB433" s="26" t="s">
        <v>31</v>
      </c>
      <c r="AC433" s="26" t="s">
        <v>31</v>
      </c>
      <c r="AD433" s="26" t="s">
        <v>31</v>
      </c>
    </row>
    <row r="434" spans="1:30" x14ac:dyDescent="0.2">
      <c r="A434">
        <f>_xlfn.XLOOKUP(E434,Lookups!$E:$E,Lookups!$F:$F,0)</f>
        <v>0</v>
      </c>
      <c r="B434">
        <v>1</v>
      </c>
      <c r="C434" s="3" t="d">
        <v>2026-07-03</v>
      </c>
      <c r="D434" s="3"/>
      <c r="E434" s="26" t="s">
        <v>646</v>
      </c>
      <c r="F434" s="26" t="s">
        <v>27</v>
      </c>
      <c r="G434" s="26" t="s">
        <v>28</v>
      </c>
      <c r="H434" s="26" t="s">
        <v>31</v>
      </c>
      <c r="I434" s="26">
        <v>79205</v>
      </c>
      <c r="J434" s="26">
        <v>41223</v>
      </c>
      <c r="K434" s="26">
        <v>11214</v>
      </c>
      <c r="L434" s="26">
        <v>4901357</v>
      </c>
      <c r="M434" s="26">
        <v>701484</v>
      </c>
      <c r="N434" s="26">
        <v>3091593</v>
      </c>
      <c r="O434" s="26">
        <v>613359</v>
      </c>
      <c r="P434" s="26" t="s">
        <v>31</v>
      </c>
      <c r="Q434" s="26" t="s">
        <v>31</v>
      </c>
      <c r="R434" s="26" t="s">
        <v>31</v>
      </c>
      <c r="S434" s="26">
        <v>834709</v>
      </c>
      <c r="T434" s="26" t="s">
        <v>31</v>
      </c>
      <c r="U434" s="26" t="s">
        <v>31</v>
      </c>
      <c r="V434" s="26" t="s">
        <v>31</v>
      </c>
      <c r="W434" s="26">
        <v>19</v>
      </c>
      <c r="X434" s="26">
        <v>25</v>
      </c>
      <c r="Y434" s="26">
        <v>334957</v>
      </c>
      <c r="Z434" s="26">
        <v>29524</v>
      </c>
      <c r="AA434" s="26">
        <v>28</v>
      </c>
      <c r="AB434" s="26">
        <v>0</v>
      </c>
      <c r="AC434" s="26">
        <v>0</v>
      </c>
      <c r="AD434" s="26">
        <v>34.017523000158803</v>
      </c>
    </row>
    <row r="435" spans="1:30" x14ac:dyDescent="0.2">
      <c r="A435">
        <f>_xlfn.XLOOKUP(E435,Lookups!$E:$E,Lookups!$F:$F,0)</f>
        <v>0</v>
      </c>
      <c r="B435">
        <v>1</v>
      </c>
      <c r="C435" s="3" t="d">
        <v>2026-07-03</v>
      </c>
      <c r="D435" s="3"/>
      <c r="E435" s="26" t="s">
        <v>647</v>
      </c>
      <c r="F435" s="26" t="s">
        <v>35</v>
      </c>
      <c r="G435" s="26" t="s">
        <v>36</v>
      </c>
      <c r="H435" s="26" t="s">
        <v>95</v>
      </c>
      <c r="I435" s="26">
        <v>79252</v>
      </c>
      <c r="J435" s="26">
        <v>169140</v>
      </c>
      <c r="K435" s="26">
        <v>345</v>
      </c>
      <c r="L435" s="26">
        <v>1502860</v>
      </c>
      <c r="M435" s="26">
        <v>45467</v>
      </c>
      <c r="N435" s="26">
        <v>493574</v>
      </c>
      <c r="O435" s="26">
        <v>81295</v>
      </c>
      <c r="P435" s="26">
        <v>34000</v>
      </c>
      <c r="Q435" s="26">
        <v>6662416</v>
      </c>
      <c r="R435" s="26">
        <v>23498</v>
      </c>
      <c r="S435" s="26">
        <v>23917</v>
      </c>
      <c r="T435" s="26">
        <v>251798</v>
      </c>
      <c r="U435" s="26">
        <v>29418</v>
      </c>
      <c r="V435" s="26" t="s">
        <v>31</v>
      </c>
      <c r="W435" s="26">
        <v>277</v>
      </c>
      <c r="X435" s="26" t="s">
        <v>31</v>
      </c>
      <c r="Y435" s="26">
        <v>40273</v>
      </c>
      <c r="Z435" s="26" t="s">
        <v>31</v>
      </c>
      <c r="AA435" s="26" t="s">
        <v>31</v>
      </c>
      <c r="AB435" s="26" t="s">
        <v>31</v>
      </c>
      <c r="AC435" s="26" t="s">
        <v>31</v>
      </c>
      <c r="AD435" s="26" t="s">
        <v>31</v>
      </c>
    </row>
    <row r="436" spans="1:30" x14ac:dyDescent="0.2">
      <c r="A436">
        <f>_xlfn.XLOOKUP(E436,Lookups!$E:$E,Lookups!$F:$F,0)</f>
        <v>0</v>
      </c>
      <c r="B436">
        <v>1</v>
      </c>
      <c r="C436" s="3" t="d">
        <v>2026-07-03</v>
      </c>
      <c r="D436" s="3"/>
      <c r="E436" s="26" t="s">
        <v>648</v>
      </c>
      <c r="F436" s="26" t="s">
        <v>27</v>
      </c>
      <c r="G436" s="26" t="s">
        <v>28</v>
      </c>
      <c r="H436" s="26" t="s">
        <v>95</v>
      </c>
      <c r="I436" s="26">
        <v>79355</v>
      </c>
      <c r="J436" s="26">
        <v>32570</v>
      </c>
      <c r="K436" s="26">
        <v>4257</v>
      </c>
      <c r="L436" s="26">
        <v>22499700</v>
      </c>
      <c r="M436" s="26">
        <v>8676</v>
      </c>
      <c r="N436" s="26">
        <v>3229727</v>
      </c>
      <c r="O436" s="26">
        <v>613359</v>
      </c>
      <c r="P436" s="26" t="s">
        <v>31</v>
      </c>
      <c r="Q436" s="26" t="s">
        <v>31</v>
      </c>
      <c r="R436" s="26" t="s">
        <v>31</v>
      </c>
      <c r="S436" s="26">
        <v>834709</v>
      </c>
      <c r="T436" s="26" t="s">
        <v>31</v>
      </c>
      <c r="U436" s="26" t="s">
        <v>31</v>
      </c>
      <c r="V436" s="26" t="s">
        <v>31</v>
      </c>
      <c r="W436" s="26" t="s">
        <v>31</v>
      </c>
      <c r="X436" s="26" t="s">
        <v>31</v>
      </c>
      <c r="Y436" s="26">
        <v>466238</v>
      </c>
      <c r="Z436" s="26" t="s">
        <v>31</v>
      </c>
      <c r="AA436" s="26" t="s">
        <v>31</v>
      </c>
      <c r="AB436" s="26" t="s">
        <v>31</v>
      </c>
      <c r="AC436" s="26" t="s">
        <v>31</v>
      </c>
      <c r="AD436" s="26" t="s">
        <v>31</v>
      </c>
    </row>
    <row r="437" spans="1:30" x14ac:dyDescent="0.2">
      <c r="A437">
        <f>_xlfn.XLOOKUP(E437,Lookups!$E:$E,Lookups!$F:$F,0)</f>
        <v>0</v>
      </c>
      <c r="B437">
        <v>1</v>
      </c>
      <c r="C437" s="3" t="d">
        <v>2026-07-03</v>
      </c>
      <c r="D437" s="3"/>
      <c r="E437" s="26" t="s">
        <v>449</v>
      </c>
      <c r="F437" s="26" t="s">
        <v>27</v>
      </c>
      <c r="G437" s="26" t="s">
        <v>77</v>
      </c>
      <c r="H437" s="26" t="s">
        <v>37</v>
      </c>
      <c r="I437" s="26">
        <v>79865</v>
      </c>
      <c r="J437" s="26">
        <v>122223</v>
      </c>
      <c r="K437" s="26">
        <v>19980</v>
      </c>
      <c r="L437" s="26">
        <v>7575016</v>
      </c>
      <c r="M437" s="26">
        <v>55826</v>
      </c>
      <c r="N437" s="26">
        <v>88812</v>
      </c>
      <c r="O437" s="26">
        <v>91333</v>
      </c>
      <c r="P437" s="26">
        <v>4180</v>
      </c>
      <c r="Q437" s="26">
        <v>229414</v>
      </c>
      <c r="R437" s="26">
        <v>4417</v>
      </c>
      <c r="S437" s="26">
        <v>59959</v>
      </c>
      <c r="T437" s="26">
        <v>84493</v>
      </c>
      <c r="U437" s="26">
        <v>6198</v>
      </c>
      <c r="V437" s="26">
        <v>98258</v>
      </c>
      <c r="W437" s="26">
        <v>33</v>
      </c>
      <c r="X437" s="26" t="s">
        <v>31</v>
      </c>
      <c r="Y437" s="26">
        <v>305769</v>
      </c>
      <c r="Z437" s="26">
        <v>37299</v>
      </c>
      <c r="AA437" s="26">
        <v>49</v>
      </c>
      <c r="AB437" s="26">
        <v>0</v>
      </c>
      <c r="AC437" s="26">
        <v>0</v>
      </c>
      <c r="AD437" s="26">
        <v>40.598985639777098</v>
      </c>
    </row>
    <row r="438" spans="1:30" x14ac:dyDescent="0.2">
      <c r="A438">
        <f>_xlfn.XLOOKUP(E438,Lookups!$E:$E,Lookups!$F:$F,0)</f>
        <v>0</v>
      </c>
      <c r="B438">
        <v>1</v>
      </c>
      <c r="C438" s="3" t="d">
        <v>2026-07-03</v>
      </c>
      <c r="D438" s="3"/>
      <c r="E438" s="26" t="s">
        <v>413</v>
      </c>
      <c r="F438" s="26" t="s">
        <v>27</v>
      </c>
      <c r="G438" s="26" t="s">
        <v>28</v>
      </c>
      <c r="H438" s="26" t="s">
        <v>62</v>
      </c>
      <c r="I438" s="26">
        <v>80179</v>
      </c>
      <c r="J438" s="26">
        <v>64759</v>
      </c>
      <c r="K438" s="26">
        <v>28598</v>
      </c>
      <c r="L438" s="26">
        <v>47629731</v>
      </c>
      <c r="M438" s="26">
        <v>99757</v>
      </c>
      <c r="N438" s="26">
        <v>2893497</v>
      </c>
      <c r="O438" s="26">
        <v>613359</v>
      </c>
      <c r="P438" s="26" t="s">
        <v>31</v>
      </c>
      <c r="Q438" s="26" t="s">
        <v>31</v>
      </c>
      <c r="R438" s="26" t="s">
        <v>31</v>
      </c>
      <c r="S438" s="26">
        <v>87718</v>
      </c>
      <c r="T438" s="26">
        <v>32105</v>
      </c>
      <c r="U438" s="26">
        <v>12777</v>
      </c>
      <c r="V438" s="26" t="s">
        <v>31</v>
      </c>
      <c r="W438" s="26">
        <v>31</v>
      </c>
      <c r="X438" s="26" t="s">
        <v>31</v>
      </c>
      <c r="Y438" s="26">
        <v>75368</v>
      </c>
      <c r="Z438" s="26">
        <v>16174</v>
      </c>
      <c r="AA438" s="26">
        <v>116</v>
      </c>
      <c r="AB438" s="26">
        <v>0</v>
      </c>
      <c r="AC438" s="26">
        <v>0</v>
      </c>
      <c r="AD438" s="26">
        <v>132.90861253769901</v>
      </c>
    </row>
    <row r="439" spans="1:30" x14ac:dyDescent="0.2">
      <c r="A439">
        <f>_xlfn.XLOOKUP(E439,Lookups!$E:$E,Lookups!$F:$F,0)</f>
        <v>0</v>
      </c>
      <c r="B439">
        <v>1</v>
      </c>
      <c r="C439" s="3" t="d">
        <v>2026-07-03</v>
      </c>
      <c r="D439" s="3"/>
      <c r="E439" s="26" t="s">
        <v>465</v>
      </c>
      <c r="F439" s="26" t="s">
        <v>27</v>
      </c>
      <c r="G439" s="26" t="s">
        <v>28</v>
      </c>
      <c r="H439" s="26" t="s">
        <v>46</v>
      </c>
      <c r="I439" s="26">
        <v>80190</v>
      </c>
      <c r="J439" s="26">
        <v>101412</v>
      </c>
      <c r="K439" s="26">
        <v>17759</v>
      </c>
      <c r="L439" s="26">
        <v>9793002</v>
      </c>
      <c r="M439" s="26">
        <v>102746</v>
      </c>
      <c r="N439" s="26">
        <v>455466</v>
      </c>
      <c r="O439" s="26">
        <v>56132</v>
      </c>
      <c r="P439" s="26">
        <v>11100</v>
      </c>
      <c r="Q439" s="26">
        <v>10631258</v>
      </c>
      <c r="R439" s="26">
        <v>81241</v>
      </c>
      <c r="S439" s="26">
        <v>152266</v>
      </c>
      <c r="T439" s="26" t="s">
        <v>31</v>
      </c>
      <c r="U439" s="26">
        <v>13497</v>
      </c>
      <c r="V439" s="26">
        <v>48410</v>
      </c>
      <c r="W439" s="26">
        <v>772</v>
      </c>
      <c r="X439" s="26">
        <v>843</v>
      </c>
      <c r="Y439" s="26">
        <v>124175</v>
      </c>
      <c r="Z439" s="26">
        <v>32803</v>
      </c>
      <c r="AA439" s="26">
        <v>106</v>
      </c>
      <c r="AB439" s="26">
        <v>9</v>
      </c>
      <c r="AC439" s="26">
        <v>213</v>
      </c>
      <c r="AD439" s="26">
        <v>773.31061014438603</v>
      </c>
    </row>
    <row r="440" spans="1:30" x14ac:dyDescent="0.2">
      <c r="A440">
        <f>_xlfn.XLOOKUP(E440,Lookups!$E:$E,Lookups!$F:$F,0)</f>
        <v>0</v>
      </c>
      <c r="B440">
        <v>1</v>
      </c>
      <c r="C440" s="3" t="d">
        <v>2026-07-03</v>
      </c>
      <c r="D440" s="3"/>
      <c r="E440" s="26" t="s">
        <v>649</v>
      </c>
      <c r="F440" s="26" t="s">
        <v>27</v>
      </c>
      <c r="G440" s="26" t="s">
        <v>28</v>
      </c>
      <c r="H440" s="26" t="s">
        <v>31</v>
      </c>
      <c r="I440" s="26">
        <v>80261</v>
      </c>
      <c r="J440" s="26">
        <v>39835</v>
      </c>
      <c r="K440" s="26">
        <v>13922</v>
      </c>
      <c r="L440" s="26">
        <v>9646934</v>
      </c>
      <c r="M440" s="26">
        <v>686746</v>
      </c>
      <c r="N440" s="26">
        <v>441745</v>
      </c>
      <c r="O440" s="26">
        <v>613359</v>
      </c>
      <c r="P440" s="26" t="s">
        <v>31</v>
      </c>
      <c r="Q440" s="26" t="s">
        <v>31</v>
      </c>
      <c r="R440" s="26" t="s">
        <v>31</v>
      </c>
      <c r="S440" s="26">
        <v>834709</v>
      </c>
      <c r="T440" s="26" t="s">
        <v>31</v>
      </c>
      <c r="U440" s="26" t="s">
        <v>31</v>
      </c>
      <c r="V440" s="26" t="s">
        <v>31</v>
      </c>
      <c r="W440" s="26" t="s">
        <v>31</v>
      </c>
      <c r="X440" s="26" t="s">
        <v>31</v>
      </c>
      <c r="Y440" s="26">
        <v>426374</v>
      </c>
      <c r="Z440" s="26">
        <v>64682</v>
      </c>
      <c r="AA440" s="26">
        <v>7</v>
      </c>
      <c r="AB440" s="26">
        <v>0</v>
      </c>
      <c r="AC440" s="26">
        <v>0</v>
      </c>
      <c r="AD440" s="26">
        <v>8.6564646317180092</v>
      </c>
    </row>
    <row r="441" spans="1:30" x14ac:dyDescent="0.2">
      <c r="A441">
        <f>_xlfn.XLOOKUP(E441,Lookups!$E:$E,Lookups!$F:$F,0)</f>
        <v>0</v>
      </c>
      <c r="B441">
        <v>1</v>
      </c>
      <c r="C441" s="3" t="d">
        <v>2026-07-03</v>
      </c>
      <c r="D441" s="3"/>
      <c r="E441" s="26" t="s">
        <v>450</v>
      </c>
      <c r="F441" s="26" t="s">
        <v>27</v>
      </c>
      <c r="G441" s="26" t="s">
        <v>28</v>
      </c>
      <c r="H441" s="26" t="s">
        <v>132</v>
      </c>
      <c r="I441" s="26">
        <v>80688</v>
      </c>
      <c r="J441" s="26">
        <v>135539</v>
      </c>
      <c r="K441" s="26">
        <v>19812</v>
      </c>
      <c r="L441" s="26">
        <v>4008897</v>
      </c>
      <c r="M441" s="26">
        <v>48160</v>
      </c>
      <c r="N441" s="26">
        <v>69</v>
      </c>
      <c r="O441" s="26">
        <v>52483</v>
      </c>
      <c r="P441" s="26">
        <v>17600</v>
      </c>
      <c r="Q441" s="26">
        <v>4353231</v>
      </c>
      <c r="R441" s="26">
        <v>39812</v>
      </c>
      <c r="S441" s="26">
        <v>446433</v>
      </c>
      <c r="T441" s="26" t="s">
        <v>31</v>
      </c>
      <c r="U441" s="26">
        <v>2280</v>
      </c>
      <c r="V441" s="26">
        <v>9</v>
      </c>
      <c r="W441" s="26">
        <v>164</v>
      </c>
      <c r="X441" s="26" t="s">
        <v>31</v>
      </c>
      <c r="Y441" s="26">
        <v>29857</v>
      </c>
      <c r="Z441" s="26" t="s">
        <v>31</v>
      </c>
      <c r="AA441" s="26" t="s">
        <v>31</v>
      </c>
      <c r="AB441" s="26" t="s">
        <v>31</v>
      </c>
      <c r="AC441" s="26" t="s">
        <v>31</v>
      </c>
      <c r="AD441" s="26" t="s">
        <v>31</v>
      </c>
    </row>
    <row r="442" spans="1:30" x14ac:dyDescent="0.2">
      <c r="A442">
        <f>_xlfn.XLOOKUP(E442,Lookups!$E:$E,Lookups!$F:$F,0)</f>
        <v>0</v>
      </c>
      <c r="B442">
        <v>1</v>
      </c>
      <c r="C442" s="3" t="d">
        <v>2026-07-03</v>
      </c>
      <c r="D442" s="3"/>
      <c r="E442" s="26" t="s">
        <v>473</v>
      </c>
      <c r="F442" s="26" t="s">
        <v>27</v>
      </c>
      <c r="G442" s="26" t="s">
        <v>28</v>
      </c>
      <c r="H442" s="26" t="s">
        <v>40</v>
      </c>
      <c r="I442" s="26">
        <v>80997</v>
      </c>
      <c r="J442" s="26">
        <v>65675</v>
      </c>
      <c r="K442" s="26">
        <v>16449</v>
      </c>
      <c r="L442" s="26">
        <v>42955487</v>
      </c>
      <c r="M442" s="26">
        <v>210130</v>
      </c>
      <c r="N442" s="26">
        <v>668155</v>
      </c>
      <c r="O442" s="26">
        <v>613359</v>
      </c>
      <c r="P442" s="26" t="s">
        <v>31</v>
      </c>
      <c r="Q442" s="26" t="s">
        <v>31</v>
      </c>
      <c r="R442" s="26" t="s">
        <v>31</v>
      </c>
      <c r="S442" s="26">
        <v>113182</v>
      </c>
      <c r="T442" s="26">
        <v>31500</v>
      </c>
      <c r="U442" s="26">
        <v>12285</v>
      </c>
      <c r="V442" s="26">
        <v>517</v>
      </c>
      <c r="W442" s="26">
        <v>185</v>
      </c>
      <c r="X442" s="26" t="s">
        <v>31</v>
      </c>
      <c r="Y442" s="26">
        <v>132354</v>
      </c>
      <c r="Z442" s="26">
        <v>13456</v>
      </c>
      <c r="AA442" s="26">
        <v>108</v>
      </c>
      <c r="AB442" s="26">
        <v>0</v>
      </c>
      <c r="AC442" s="26">
        <v>0</v>
      </c>
      <c r="AD442" s="26">
        <v>132.46144650006201</v>
      </c>
    </row>
    <row r="443" spans="1:30" x14ac:dyDescent="0.2">
      <c r="A443">
        <f>_xlfn.XLOOKUP(E443,Lookups!$E:$E,Lookups!$F:$F,0)</f>
        <v>0</v>
      </c>
      <c r="B443">
        <v>1</v>
      </c>
      <c r="C443" s="3" t="d">
        <v>2026-07-03</v>
      </c>
      <c r="D443" s="3"/>
      <c r="E443" s="26" t="s">
        <v>468</v>
      </c>
      <c r="F443" s="26" t="s">
        <v>27</v>
      </c>
      <c r="G443" s="26" t="s">
        <v>28</v>
      </c>
      <c r="H443" s="26" t="s">
        <v>132</v>
      </c>
      <c r="I443" s="26">
        <v>81007</v>
      </c>
      <c r="J443" s="26">
        <v>72907</v>
      </c>
      <c r="K443" s="26">
        <v>17284</v>
      </c>
      <c r="L443" s="26">
        <v>10648582</v>
      </c>
      <c r="M443" s="26">
        <v>209884</v>
      </c>
      <c r="N443" s="26">
        <v>8645</v>
      </c>
      <c r="O443" s="26">
        <v>613359</v>
      </c>
      <c r="P443" s="26" t="s">
        <v>31</v>
      </c>
      <c r="Q443" s="26" t="s">
        <v>31</v>
      </c>
      <c r="R443" s="26" t="s">
        <v>31</v>
      </c>
      <c r="S443" s="26">
        <v>834709</v>
      </c>
      <c r="T443" s="26" t="s">
        <v>31</v>
      </c>
      <c r="U443" s="26" t="s">
        <v>31</v>
      </c>
      <c r="V443" s="26" t="s">
        <v>31</v>
      </c>
      <c r="W443" s="26">
        <v>17</v>
      </c>
      <c r="X443" s="26" t="s">
        <v>31</v>
      </c>
      <c r="Y443" s="26">
        <v>409581</v>
      </c>
      <c r="Z443" s="26">
        <v>86026</v>
      </c>
      <c r="AA443" s="26">
        <v>6</v>
      </c>
      <c r="AB443" s="26">
        <v>0</v>
      </c>
      <c r="AC443" s="26">
        <v>0</v>
      </c>
      <c r="AD443" s="26">
        <v>5.31555878857049</v>
      </c>
    </row>
    <row r="444" spans="1:30" x14ac:dyDescent="0.2">
      <c r="A444">
        <f>_xlfn.XLOOKUP(E444,Lookups!$E:$E,Lookups!$F:$F,0)</f>
        <v>0</v>
      </c>
      <c r="B444">
        <v>1</v>
      </c>
      <c r="C444" s="3" t="d">
        <v>2026-07-03</v>
      </c>
      <c r="D444" s="3"/>
      <c r="E444" s="26" t="s">
        <v>476</v>
      </c>
      <c r="F444" s="26" t="s">
        <v>27</v>
      </c>
      <c r="G444" s="26" t="s">
        <v>28</v>
      </c>
      <c r="H444" s="26" t="s">
        <v>57</v>
      </c>
      <c r="I444" s="26">
        <v>81009</v>
      </c>
      <c r="J444" s="26">
        <v>73212</v>
      </c>
      <c r="K444" s="26">
        <v>15742</v>
      </c>
      <c r="L444" s="26">
        <v>15005443</v>
      </c>
      <c r="M444" s="26">
        <v>209717</v>
      </c>
      <c r="N444" s="26">
        <v>366656</v>
      </c>
      <c r="O444" s="26">
        <v>89377</v>
      </c>
      <c r="P444" s="26">
        <v>8090</v>
      </c>
      <c r="Q444" s="26">
        <v>9736</v>
      </c>
      <c r="R444" s="26">
        <v>223</v>
      </c>
      <c r="S444" s="26">
        <v>172690</v>
      </c>
      <c r="T444" s="26">
        <v>12900</v>
      </c>
      <c r="U444" s="26" t="s">
        <v>31</v>
      </c>
      <c r="V444" s="26" t="s">
        <v>31</v>
      </c>
      <c r="W444" s="26">
        <v>14</v>
      </c>
      <c r="X444" s="26" t="s">
        <v>31</v>
      </c>
      <c r="Y444" s="26">
        <v>188434</v>
      </c>
      <c r="Z444" s="26">
        <v>19251</v>
      </c>
      <c r="AA444" s="26">
        <v>64</v>
      </c>
      <c r="AB444" s="26">
        <v>0</v>
      </c>
      <c r="AC444" s="26">
        <v>0</v>
      </c>
      <c r="AD444" s="26">
        <v>78.935976635802504</v>
      </c>
    </row>
    <row r="445" spans="1:30" x14ac:dyDescent="0.2">
      <c r="A445">
        <f>_xlfn.XLOOKUP(E445,Lookups!$E:$E,Lookups!$F:$F,0)</f>
        <v>0</v>
      </c>
      <c r="B445">
        <v>1</v>
      </c>
      <c r="C445" s="3" t="d">
        <v>2026-07-03</v>
      </c>
      <c r="D445" s="3"/>
      <c r="E445" s="26" t="s">
        <v>351</v>
      </c>
      <c r="F445" s="26" t="s">
        <v>27</v>
      </c>
      <c r="G445" s="26" t="s">
        <v>28</v>
      </c>
      <c r="H445" s="26" t="s">
        <v>31</v>
      </c>
      <c r="I445" s="26">
        <v>81023</v>
      </c>
      <c r="J445" s="26">
        <v>106540</v>
      </c>
      <c r="K445" s="26">
        <v>46016</v>
      </c>
      <c r="L445" s="26">
        <v>17446535</v>
      </c>
      <c r="M445" s="26">
        <v>50181</v>
      </c>
      <c r="N445" s="26">
        <v>26391</v>
      </c>
      <c r="O445" s="26">
        <v>613359</v>
      </c>
      <c r="P445" s="26" t="s">
        <v>31</v>
      </c>
      <c r="Q445" s="26" t="s">
        <v>31</v>
      </c>
      <c r="R445" s="26" t="s">
        <v>31</v>
      </c>
      <c r="S445" s="26">
        <v>50848</v>
      </c>
      <c r="T445" s="26">
        <v>2076</v>
      </c>
      <c r="U445" s="26">
        <v>173550</v>
      </c>
      <c r="V445" s="26">
        <v>342589</v>
      </c>
      <c r="W445" s="26">
        <v>1330</v>
      </c>
      <c r="X445" s="26">
        <v>391</v>
      </c>
      <c r="Y445" s="26">
        <v>346851</v>
      </c>
      <c r="Z445" s="26">
        <v>110658</v>
      </c>
      <c r="AA445" s="26">
        <v>5</v>
      </c>
      <c r="AB445" s="26">
        <v>0</v>
      </c>
      <c r="AC445" s="26">
        <v>0</v>
      </c>
      <c r="AD445" s="26">
        <v>2.13239766704505</v>
      </c>
    </row>
    <row r="446" spans="1:30" x14ac:dyDescent="0.2">
      <c r="A446">
        <f>_xlfn.XLOOKUP(E446,Lookups!$E:$E,Lookups!$F:$F,0)</f>
        <v>0</v>
      </c>
      <c r="B446">
        <v>1</v>
      </c>
      <c r="C446" s="3" t="d">
        <v>2026-07-03</v>
      </c>
      <c r="D446" s="3"/>
      <c r="E446" s="26" t="s">
        <v>650</v>
      </c>
      <c r="F446" s="26" t="s">
        <v>27</v>
      </c>
      <c r="G446" s="26" t="s">
        <v>28</v>
      </c>
      <c r="H446" s="26" t="s">
        <v>95</v>
      </c>
      <c r="I446" s="26">
        <v>81286</v>
      </c>
      <c r="J446" s="26">
        <v>45452</v>
      </c>
      <c r="K446" s="26">
        <v>801</v>
      </c>
      <c r="L446" s="26">
        <v>2877664</v>
      </c>
      <c r="M446" s="26">
        <v>336802</v>
      </c>
      <c r="N446" s="26">
        <v>1141744</v>
      </c>
      <c r="O446" s="26">
        <v>613359</v>
      </c>
      <c r="P446" s="26" t="s">
        <v>31</v>
      </c>
      <c r="Q446" s="26" t="s">
        <v>31</v>
      </c>
      <c r="R446" s="26" t="s">
        <v>31</v>
      </c>
      <c r="S446" s="26">
        <v>834709</v>
      </c>
      <c r="T446" s="26" t="s">
        <v>31</v>
      </c>
      <c r="U446" s="26">
        <v>272832</v>
      </c>
      <c r="V446" s="26" t="s">
        <v>31</v>
      </c>
      <c r="W446" s="26">
        <v>2</v>
      </c>
      <c r="X446" s="26" t="s">
        <v>31</v>
      </c>
      <c r="Y446" s="26">
        <v>466238</v>
      </c>
      <c r="Z446" s="26" t="s">
        <v>31</v>
      </c>
      <c r="AA446" s="26" t="s">
        <v>31</v>
      </c>
      <c r="AB446" s="26" t="s">
        <v>31</v>
      </c>
      <c r="AC446" s="26" t="s">
        <v>31</v>
      </c>
      <c r="AD446" s="26" t="s">
        <v>31</v>
      </c>
    </row>
    <row r="447" spans="1:30" x14ac:dyDescent="0.2">
      <c r="A447">
        <f>_xlfn.XLOOKUP(E447,Lookups!$E:$E,Lookups!$F:$F,0)</f>
        <v>0</v>
      </c>
      <c r="B447">
        <v>1</v>
      </c>
      <c r="C447" s="3" t="d">
        <v>2026-07-03</v>
      </c>
      <c r="D447" s="3"/>
      <c r="E447" s="26" t="s">
        <v>364</v>
      </c>
      <c r="F447" s="26" t="s">
        <v>27</v>
      </c>
      <c r="G447" s="26" t="s">
        <v>77</v>
      </c>
      <c r="H447" s="26" t="s">
        <v>57</v>
      </c>
      <c r="I447" s="26">
        <v>81339</v>
      </c>
      <c r="J447" s="26">
        <v>51134</v>
      </c>
      <c r="K447" s="26">
        <v>43186</v>
      </c>
      <c r="L447" s="26">
        <v>18943802</v>
      </c>
      <c r="M447" s="26">
        <v>146944</v>
      </c>
      <c r="N447" s="26">
        <v>2832578</v>
      </c>
      <c r="O447" s="26">
        <v>613359</v>
      </c>
      <c r="P447" s="26" t="s">
        <v>31</v>
      </c>
      <c r="Q447" s="26" t="s">
        <v>31</v>
      </c>
      <c r="R447" s="26" t="s">
        <v>31</v>
      </c>
      <c r="S447" s="26">
        <v>412873</v>
      </c>
      <c r="T447" s="26">
        <v>244</v>
      </c>
      <c r="U447" s="26">
        <v>4287</v>
      </c>
      <c r="V447" s="26" t="s">
        <v>31</v>
      </c>
      <c r="W447" s="26">
        <v>38</v>
      </c>
      <c r="X447" s="26">
        <v>2114</v>
      </c>
      <c r="Y447" s="26">
        <v>185272</v>
      </c>
      <c r="Z447" s="26">
        <v>16209</v>
      </c>
      <c r="AA447" s="26">
        <v>62</v>
      </c>
      <c r="AB447" s="26">
        <v>0</v>
      </c>
      <c r="AC447" s="26">
        <v>0</v>
      </c>
      <c r="AD447" s="26">
        <v>85.619864089422904</v>
      </c>
    </row>
    <row r="448" spans="1:30" x14ac:dyDescent="0.2">
      <c r="A448">
        <f>_xlfn.XLOOKUP(E448,Lookups!$E:$E,Lookups!$F:$F,0)</f>
        <v>0</v>
      </c>
      <c r="B448">
        <v>1</v>
      </c>
      <c r="C448" s="3" t="d">
        <v>2026-07-03</v>
      </c>
      <c r="D448" s="3"/>
      <c r="E448" s="26" t="s">
        <v>651</v>
      </c>
      <c r="F448" s="26" t="s">
        <v>27</v>
      </c>
      <c r="G448" s="26" t="s">
        <v>28</v>
      </c>
      <c r="H448" s="26" t="s">
        <v>62</v>
      </c>
      <c r="I448" s="26">
        <v>81454</v>
      </c>
      <c r="J448" s="26">
        <v>52979</v>
      </c>
      <c r="K448" s="26">
        <v>12077</v>
      </c>
      <c r="L448" s="26">
        <v>9013412</v>
      </c>
      <c r="M448" s="26">
        <v>437880</v>
      </c>
      <c r="N448" s="26">
        <v>2882358</v>
      </c>
      <c r="O448" s="26">
        <v>613359</v>
      </c>
      <c r="P448" s="26" t="s">
        <v>31</v>
      </c>
      <c r="Q448" s="26" t="s">
        <v>31</v>
      </c>
      <c r="R448" s="26" t="s">
        <v>31</v>
      </c>
      <c r="S448" s="26">
        <v>640140</v>
      </c>
      <c r="T448" s="26" t="s">
        <v>31</v>
      </c>
      <c r="U448" s="26">
        <v>919</v>
      </c>
      <c r="V448" s="26" t="s">
        <v>31</v>
      </c>
      <c r="W448" s="26">
        <v>24</v>
      </c>
      <c r="X448" s="26" t="s">
        <v>31</v>
      </c>
      <c r="Y448" s="26">
        <v>466238</v>
      </c>
      <c r="Z448" s="26" t="s">
        <v>31</v>
      </c>
      <c r="AA448" s="26" t="s">
        <v>31</v>
      </c>
      <c r="AB448" s="26" t="s">
        <v>31</v>
      </c>
      <c r="AC448" s="26" t="s">
        <v>31</v>
      </c>
      <c r="AD448" s="26" t="s">
        <v>31</v>
      </c>
    </row>
    <row r="449" spans="1:30" x14ac:dyDescent="0.2">
      <c r="A449">
        <f>_xlfn.XLOOKUP(E449,Lookups!$E:$E,Lookups!$F:$F,0)</f>
        <v>0</v>
      </c>
      <c r="B449">
        <v>1</v>
      </c>
      <c r="C449" s="3" t="d">
        <v>2026-07-03</v>
      </c>
      <c r="D449" s="3"/>
      <c r="E449" s="26" t="s">
        <v>312</v>
      </c>
      <c r="F449" s="26" t="s">
        <v>27</v>
      </c>
      <c r="G449" s="26" t="s">
        <v>28</v>
      </c>
      <c r="H449" s="26" t="s">
        <v>62</v>
      </c>
      <c r="I449" s="26">
        <v>81495</v>
      </c>
      <c r="J449" s="26">
        <v>60328</v>
      </c>
      <c r="K449" s="26">
        <v>62147</v>
      </c>
      <c r="L449" s="26">
        <v>21297338</v>
      </c>
      <c r="M449" s="26">
        <v>120789</v>
      </c>
      <c r="N449" s="26">
        <v>611303</v>
      </c>
      <c r="O449" s="26">
        <v>613359</v>
      </c>
      <c r="P449" s="26" t="s">
        <v>31</v>
      </c>
      <c r="Q449" s="26" t="s">
        <v>31</v>
      </c>
      <c r="R449" s="26" t="s">
        <v>31</v>
      </c>
      <c r="S449" s="26">
        <v>144309</v>
      </c>
      <c r="T449" s="26" t="s">
        <v>31</v>
      </c>
      <c r="U449" s="26">
        <v>13281</v>
      </c>
      <c r="V449" s="26" t="s">
        <v>31</v>
      </c>
      <c r="W449" s="26">
        <v>73</v>
      </c>
      <c r="X449" s="26" t="s">
        <v>31</v>
      </c>
      <c r="Y449" s="26">
        <v>178666</v>
      </c>
      <c r="Z449" s="26" t="s">
        <v>31</v>
      </c>
      <c r="AA449" s="26" t="s">
        <v>31</v>
      </c>
      <c r="AB449" s="26" t="s">
        <v>31</v>
      </c>
      <c r="AC449" s="26" t="s">
        <v>31</v>
      </c>
      <c r="AD449" s="26" t="s">
        <v>31</v>
      </c>
    </row>
    <row r="450" spans="1:30" x14ac:dyDescent="0.2">
      <c r="A450">
        <f>_xlfn.XLOOKUP(E450,Lookups!$E:$E,Lookups!$F:$F,0)</f>
        <v>0</v>
      </c>
      <c r="B450">
        <v>1</v>
      </c>
      <c r="C450" s="3" t="d">
        <v>2026-07-03</v>
      </c>
      <c r="D450" s="3"/>
      <c r="E450" s="26" t="s">
        <v>652</v>
      </c>
      <c r="F450" s="26" t="s">
        <v>27</v>
      </c>
      <c r="G450" s="26" t="s">
        <v>28</v>
      </c>
      <c r="H450" s="26" t="s">
        <v>37</v>
      </c>
      <c r="I450" s="26">
        <v>81518</v>
      </c>
      <c r="J450" s="26">
        <v>113345</v>
      </c>
      <c r="K450" s="26">
        <v>12627</v>
      </c>
      <c r="L450" s="26">
        <v>15339075</v>
      </c>
      <c r="M450" s="26">
        <v>64677</v>
      </c>
      <c r="N450" s="26">
        <v>260772</v>
      </c>
      <c r="O450" s="26">
        <v>44520</v>
      </c>
      <c r="P450" s="26">
        <v>44100</v>
      </c>
      <c r="Q450" s="26">
        <v>48103963</v>
      </c>
      <c r="R450" s="26">
        <v>515554</v>
      </c>
      <c r="S450" s="26">
        <v>91070</v>
      </c>
      <c r="T450" s="26">
        <v>571</v>
      </c>
      <c r="U450" s="26">
        <v>112488</v>
      </c>
      <c r="V450" s="26">
        <v>5126</v>
      </c>
      <c r="W450" s="26">
        <v>408</v>
      </c>
      <c r="X450" s="26">
        <v>400</v>
      </c>
      <c r="Y450" s="26">
        <v>39890</v>
      </c>
      <c r="Z450" s="26">
        <v>13706</v>
      </c>
      <c r="AA450" s="26">
        <v>180</v>
      </c>
      <c r="AB450" s="26">
        <v>1</v>
      </c>
      <c r="AC450" s="26">
        <v>6</v>
      </c>
      <c r="AD450" s="26">
        <v>187.799423451904</v>
      </c>
    </row>
    <row r="451" spans="1:30" x14ac:dyDescent="0.2">
      <c r="A451">
        <f>_xlfn.XLOOKUP(E451,Lookups!$E:$E,Lookups!$F:$F,0)</f>
        <v>0</v>
      </c>
      <c r="B451">
        <v>1</v>
      </c>
      <c r="C451" s="3" t="d">
        <v>2026-07-03</v>
      </c>
      <c r="D451" s="3"/>
      <c r="E451" s="26" t="s">
        <v>653</v>
      </c>
      <c r="F451" s="26" t="s">
        <v>27</v>
      </c>
      <c r="G451" s="26" t="s">
        <v>28</v>
      </c>
      <c r="H451" s="26" t="s">
        <v>46</v>
      </c>
      <c r="I451" s="26">
        <v>81571</v>
      </c>
      <c r="J451" s="26">
        <v>127513</v>
      </c>
      <c r="K451" s="26">
        <v>4829</v>
      </c>
      <c r="L451" s="26">
        <v>30387607</v>
      </c>
      <c r="M451" s="26">
        <v>12967</v>
      </c>
      <c r="N451" s="26">
        <v>955772</v>
      </c>
      <c r="O451" s="26">
        <v>613359</v>
      </c>
      <c r="P451" s="26" t="s">
        <v>31</v>
      </c>
      <c r="Q451" s="26" t="s">
        <v>31</v>
      </c>
      <c r="R451" s="26" t="s">
        <v>31</v>
      </c>
      <c r="S451" s="26">
        <v>85384</v>
      </c>
      <c r="T451" s="26">
        <v>25283</v>
      </c>
      <c r="U451" s="26">
        <v>77351</v>
      </c>
      <c r="V451" s="26">
        <v>25700</v>
      </c>
      <c r="W451" s="26">
        <v>61</v>
      </c>
      <c r="X451" s="26" t="s">
        <v>31</v>
      </c>
      <c r="Y451" s="26">
        <v>373262</v>
      </c>
      <c r="Z451" s="26">
        <v>67782</v>
      </c>
      <c r="AA451" s="26">
        <v>30</v>
      </c>
      <c r="AB451" s="26">
        <v>0</v>
      </c>
      <c r="AC451" s="26">
        <v>0</v>
      </c>
      <c r="AD451" s="26">
        <v>24.276835657508101</v>
      </c>
    </row>
    <row r="452" spans="1:30" x14ac:dyDescent="0.2">
      <c r="A452">
        <f>_xlfn.XLOOKUP(E452,Lookups!$E:$E,Lookups!$F:$F,0)</f>
        <v>0</v>
      </c>
      <c r="B452">
        <v>1</v>
      </c>
      <c r="C452" s="3" t="d">
        <v>2026-07-03</v>
      </c>
      <c r="D452" s="3"/>
      <c r="E452" s="26" t="s">
        <v>207</v>
      </c>
      <c r="F452" s="26" t="s">
        <v>27</v>
      </c>
      <c r="G452" s="26" t="s">
        <v>28</v>
      </c>
      <c r="H452" s="26" t="s">
        <v>31</v>
      </c>
      <c r="I452" s="26">
        <v>81727</v>
      </c>
      <c r="J452" s="26">
        <v>44913</v>
      </c>
      <c r="K452" s="26">
        <v>154718</v>
      </c>
      <c r="L452" s="26">
        <v>3717721</v>
      </c>
      <c r="M452" s="26">
        <v>304456</v>
      </c>
      <c r="N452" s="26">
        <v>61511</v>
      </c>
      <c r="O452" s="26">
        <v>259346</v>
      </c>
      <c r="P452" s="26">
        <v>527</v>
      </c>
      <c r="Q452" s="26">
        <v>17126</v>
      </c>
      <c r="R452" s="26">
        <v>420</v>
      </c>
      <c r="S452" s="26">
        <v>100304</v>
      </c>
      <c r="T452" s="26">
        <v>37530</v>
      </c>
      <c r="U452" s="26">
        <v>24884</v>
      </c>
      <c r="V452" s="26">
        <v>19496</v>
      </c>
      <c r="W452" s="26">
        <v>771</v>
      </c>
      <c r="X452" s="26">
        <v>162</v>
      </c>
      <c r="Y452" s="26">
        <v>151919</v>
      </c>
      <c r="Z452" s="26">
        <v>10201</v>
      </c>
      <c r="AA452" s="26">
        <v>160</v>
      </c>
      <c r="AB452" s="26">
        <v>0</v>
      </c>
      <c r="AC452" s="26">
        <v>0</v>
      </c>
      <c r="AD452" s="26">
        <v>196.36651663107401</v>
      </c>
    </row>
    <row r="453" spans="1:30" x14ac:dyDescent="0.2">
      <c r="A453">
        <f>_xlfn.XLOOKUP(E453,Lookups!$E:$E,Lookups!$F:$F,0)</f>
        <v>0</v>
      </c>
      <c r="B453">
        <v>1</v>
      </c>
      <c r="C453" s="3" t="d">
        <v>2026-07-03</v>
      </c>
      <c r="D453" s="3"/>
      <c r="E453" s="26" t="s">
        <v>451</v>
      </c>
      <c r="F453" s="26" t="s">
        <v>27</v>
      </c>
      <c r="G453" s="26" t="s">
        <v>28</v>
      </c>
      <c r="H453" s="26" t="s">
        <v>132</v>
      </c>
      <c r="I453" s="26">
        <v>81755</v>
      </c>
      <c r="J453" s="26">
        <v>71716</v>
      </c>
      <c r="K453" s="26">
        <v>19452</v>
      </c>
      <c r="L453" s="26">
        <v>16434450</v>
      </c>
      <c r="M453" s="26">
        <v>197680</v>
      </c>
      <c r="N453" s="26">
        <v>42625</v>
      </c>
      <c r="O453" s="26">
        <v>102395</v>
      </c>
      <c r="P453" s="26">
        <v>4370</v>
      </c>
      <c r="Q453" s="26">
        <v>22756</v>
      </c>
      <c r="R453" s="26">
        <v>314</v>
      </c>
      <c r="S453" s="26">
        <v>73190</v>
      </c>
      <c r="T453" s="26">
        <v>86695</v>
      </c>
      <c r="U453" s="26">
        <v>2752</v>
      </c>
      <c r="V453" s="26">
        <v>11713</v>
      </c>
      <c r="W453" s="26">
        <v>170</v>
      </c>
      <c r="X453" s="26" t="s">
        <v>31</v>
      </c>
      <c r="Y453" s="26">
        <v>466238</v>
      </c>
      <c r="Z453" s="26">
        <v>48126</v>
      </c>
      <c r="AA453" s="26">
        <v>25</v>
      </c>
      <c r="AB453" s="26">
        <v>0</v>
      </c>
      <c r="AC453" s="26">
        <v>0</v>
      </c>
      <c r="AD453" s="26">
        <v>22.4053204525779</v>
      </c>
    </row>
    <row r="454" spans="1:30" x14ac:dyDescent="0.2">
      <c r="A454">
        <f>_xlfn.XLOOKUP(E454,Lookups!$E:$E,Lookups!$F:$F,0)</f>
        <v>0</v>
      </c>
      <c r="B454">
        <v>1</v>
      </c>
      <c r="C454" s="3" t="d">
        <v>2026-07-03</v>
      </c>
      <c r="D454" s="3"/>
      <c r="E454" s="26" t="s">
        <v>654</v>
      </c>
      <c r="F454" s="26" t="s">
        <v>27</v>
      </c>
      <c r="G454" s="26" t="s">
        <v>77</v>
      </c>
      <c r="H454" s="26" t="s">
        <v>118</v>
      </c>
      <c r="I454" s="26">
        <v>81834</v>
      </c>
      <c r="J454" s="26">
        <v>126964</v>
      </c>
      <c r="K454" s="26">
        <v>12424</v>
      </c>
      <c r="L454" s="26">
        <v>21193520</v>
      </c>
      <c r="M454" s="26">
        <v>70716</v>
      </c>
      <c r="N454" s="26">
        <v>135591</v>
      </c>
      <c r="O454" s="26">
        <v>613359</v>
      </c>
      <c r="P454" s="26" t="s">
        <v>31</v>
      </c>
      <c r="Q454" s="26" t="s">
        <v>31</v>
      </c>
      <c r="R454" s="26" t="s">
        <v>31</v>
      </c>
      <c r="S454" s="26">
        <v>86789</v>
      </c>
      <c r="T454" s="26">
        <v>246</v>
      </c>
      <c r="U454" s="26">
        <v>44989</v>
      </c>
      <c r="V454" s="26">
        <v>31933</v>
      </c>
      <c r="W454" s="26">
        <v>252</v>
      </c>
      <c r="X454" s="26" t="s">
        <v>31</v>
      </c>
      <c r="Y454" s="26">
        <v>98588</v>
      </c>
      <c r="Z454" s="26">
        <v>64793</v>
      </c>
      <c r="AA454" s="26">
        <v>29</v>
      </c>
      <c r="AB454" s="26">
        <v>0</v>
      </c>
      <c r="AC454" s="26">
        <v>0</v>
      </c>
      <c r="AD454" s="26">
        <v>36.0024539401551</v>
      </c>
    </row>
    <row r="455" spans="1:30" x14ac:dyDescent="0.2">
      <c r="A455">
        <f>_xlfn.XLOOKUP(E455,Lookups!$E:$E,Lookups!$F:$F,0)</f>
        <v>0</v>
      </c>
      <c r="B455">
        <v>1</v>
      </c>
      <c r="C455" s="3" t="d">
        <v>2026-07-03</v>
      </c>
      <c r="D455" s="3"/>
      <c r="E455" s="26" t="s">
        <v>466</v>
      </c>
      <c r="F455" s="26" t="s">
        <v>27</v>
      </c>
      <c r="G455" s="26" t="s">
        <v>28</v>
      </c>
      <c r="H455" s="26" t="s">
        <v>46</v>
      </c>
      <c r="I455" s="26">
        <v>83571</v>
      </c>
      <c r="J455" s="26">
        <v>66077</v>
      </c>
      <c r="K455" s="26">
        <v>17398</v>
      </c>
      <c r="L455" s="26">
        <v>37454161</v>
      </c>
      <c r="M455" s="26">
        <v>144654</v>
      </c>
      <c r="N455" s="26">
        <v>535282</v>
      </c>
      <c r="O455" s="26">
        <v>613359</v>
      </c>
      <c r="P455" s="26" t="s">
        <v>31</v>
      </c>
      <c r="Q455" s="26" t="s">
        <v>31</v>
      </c>
      <c r="R455" s="26" t="s">
        <v>31</v>
      </c>
      <c r="S455" s="26">
        <v>35998</v>
      </c>
      <c r="T455" s="26">
        <v>43132</v>
      </c>
      <c r="U455" s="26">
        <v>37231</v>
      </c>
      <c r="V455" s="26" t="s">
        <v>31</v>
      </c>
      <c r="W455" s="26" t="s">
        <v>31</v>
      </c>
      <c r="X455" s="26" t="s">
        <v>31</v>
      </c>
      <c r="Y455" s="26">
        <v>466238</v>
      </c>
      <c r="Z455" s="26">
        <v>40082</v>
      </c>
      <c r="AA455" s="26">
        <v>30</v>
      </c>
      <c r="AB455" s="26">
        <v>0</v>
      </c>
      <c r="AC455" s="26">
        <v>0</v>
      </c>
      <c r="AD455" s="26">
        <v>32.919102977021801</v>
      </c>
    </row>
    <row r="456" spans="1:30" x14ac:dyDescent="0.2">
      <c r="A456">
        <f>_xlfn.XLOOKUP(E456,Lookups!$E:$E,Lookups!$F:$F,0)</f>
        <v>0</v>
      </c>
      <c r="B456">
        <v>1</v>
      </c>
      <c r="C456" s="3" t="d">
        <v>2026-07-03</v>
      </c>
      <c r="D456" s="3"/>
      <c r="E456" s="26" t="s">
        <v>655</v>
      </c>
      <c r="F456" s="26" t="s">
        <v>27</v>
      </c>
      <c r="G456" s="26" t="s">
        <v>28</v>
      </c>
      <c r="H456" s="26" t="s">
        <v>40</v>
      </c>
      <c r="I456" s="26">
        <v>83811</v>
      </c>
      <c r="J456" s="26">
        <v>92688</v>
      </c>
      <c r="K456" s="26">
        <v>7288</v>
      </c>
      <c r="L456" s="26">
        <v>60688626</v>
      </c>
      <c r="M456" s="26">
        <v>14583</v>
      </c>
      <c r="N456" s="26">
        <v>1696810</v>
      </c>
      <c r="O456" s="26">
        <v>613359</v>
      </c>
      <c r="P456" s="26" t="s">
        <v>31</v>
      </c>
      <c r="Q456" s="26" t="s">
        <v>31</v>
      </c>
      <c r="R456" s="26" t="s">
        <v>31</v>
      </c>
      <c r="S456" s="26">
        <v>136201</v>
      </c>
      <c r="T456" s="26">
        <v>11455</v>
      </c>
      <c r="U456" s="26">
        <v>15568</v>
      </c>
      <c r="V456" s="26">
        <v>2447</v>
      </c>
      <c r="W456" s="26">
        <v>13</v>
      </c>
      <c r="X456" s="26" t="s">
        <v>31</v>
      </c>
      <c r="Y456" s="26">
        <v>248920</v>
      </c>
      <c r="Z456" s="26">
        <v>28504</v>
      </c>
      <c r="AA456" s="26">
        <v>38</v>
      </c>
      <c r="AB456" s="26">
        <v>0</v>
      </c>
      <c r="AC456" s="26">
        <v>0</v>
      </c>
      <c r="AD456" s="26">
        <v>52.309324465446103</v>
      </c>
    </row>
    <row r="457" spans="1:30" x14ac:dyDescent="0.2">
      <c r="A457">
        <f>_xlfn.XLOOKUP(E457,Lookups!$E:$E,Lookups!$F:$F,0)</f>
        <v>0</v>
      </c>
      <c r="B457">
        <v>1</v>
      </c>
      <c r="C457" s="3" t="d">
        <v>2026-07-03</v>
      </c>
      <c r="D457" s="3"/>
      <c r="E457" s="26" t="s">
        <v>458</v>
      </c>
      <c r="F457" s="26" t="s">
        <v>27</v>
      </c>
      <c r="G457" s="26" t="s">
        <v>28</v>
      </c>
      <c r="H457" s="26" t="s">
        <v>46</v>
      </c>
      <c r="I457" s="26">
        <v>84231</v>
      </c>
      <c r="J457" s="26">
        <v>93640</v>
      </c>
      <c r="K457" s="26">
        <v>18222</v>
      </c>
      <c r="L457" s="26">
        <v>9397136</v>
      </c>
      <c r="M457" s="26">
        <v>127303</v>
      </c>
      <c r="N457" s="26">
        <v>205878</v>
      </c>
      <c r="O457" s="26">
        <v>613359</v>
      </c>
      <c r="P457" s="26" t="s">
        <v>31</v>
      </c>
      <c r="Q457" s="26" t="s">
        <v>31</v>
      </c>
      <c r="R457" s="26" t="s">
        <v>31</v>
      </c>
      <c r="S457" s="26">
        <v>157094</v>
      </c>
      <c r="T457" s="26">
        <v>17434</v>
      </c>
      <c r="U457" s="26">
        <v>9427</v>
      </c>
      <c r="V457" s="26">
        <v>25630</v>
      </c>
      <c r="W457" s="26">
        <v>2071</v>
      </c>
      <c r="X457" s="26">
        <v>2198</v>
      </c>
      <c r="Y457" s="26">
        <v>149665</v>
      </c>
      <c r="Z457" s="26">
        <v>41568</v>
      </c>
      <c r="AA457" s="26">
        <v>72</v>
      </c>
      <c r="AB457" s="26">
        <v>0</v>
      </c>
      <c r="AC457" s="26">
        <v>0</v>
      </c>
      <c r="AD457" s="26">
        <v>84.105131117729798</v>
      </c>
    </row>
    <row r="458" spans="1:30" x14ac:dyDescent="0.2">
      <c r="A458">
        <f>_xlfn.XLOOKUP(E458,Lookups!$E:$E,Lookups!$F:$F,0)</f>
        <v>0</v>
      </c>
      <c r="B458">
        <v>1</v>
      </c>
      <c r="C458" s="3" t="d">
        <v>2026-07-03</v>
      </c>
      <c r="D458" s="3"/>
      <c r="E458" s="26" t="s">
        <v>656</v>
      </c>
      <c r="F458" s="26" t="s">
        <v>27</v>
      </c>
      <c r="G458" s="26" t="s">
        <v>28</v>
      </c>
      <c r="H458" s="26" t="s">
        <v>46</v>
      </c>
      <c r="I458" s="26">
        <v>84352</v>
      </c>
      <c r="J458" s="26">
        <v>92172</v>
      </c>
      <c r="K458" s="26">
        <v>4384</v>
      </c>
      <c r="L458" s="26">
        <v>7222554</v>
      </c>
      <c r="M458" s="26">
        <v>204050</v>
      </c>
      <c r="N458" s="26">
        <v>42758</v>
      </c>
      <c r="O458" s="26">
        <v>55946</v>
      </c>
      <c r="P458" s="26">
        <v>18200</v>
      </c>
      <c r="Q458" s="26">
        <v>7404974</v>
      </c>
      <c r="R458" s="26">
        <v>90616</v>
      </c>
      <c r="S458" s="26">
        <v>42814</v>
      </c>
      <c r="T458" s="26">
        <v>113378</v>
      </c>
      <c r="U458" s="26">
        <v>4090</v>
      </c>
      <c r="V458" s="26">
        <v>16430</v>
      </c>
      <c r="W458" s="26">
        <v>124</v>
      </c>
      <c r="X458" s="26">
        <v>497</v>
      </c>
      <c r="Y458" s="26">
        <v>362973</v>
      </c>
      <c r="Z458" s="26">
        <v>94438</v>
      </c>
      <c r="AA458" s="26">
        <v>13</v>
      </c>
      <c r="AB458" s="26">
        <v>0</v>
      </c>
      <c r="AC458" s="26">
        <v>0</v>
      </c>
      <c r="AD458" s="26">
        <v>6.2156677389103399</v>
      </c>
    </row>
    <row r="459" spans="1:30" x14ac:dyDescent="0.2">
      <c r="A459">
        <f>_xlfn.XLOOKUP(E459,Lookups!$E:$E,Lookups!$F:$F,0)</f>
        <v>0</v>
      </c>
      <c r="B459">
        <v>1</v>
      </c>
      <c r="C459" s="3" t="d">
        <v>2026-07-03</v>
      </c>
      <c r="D459" s="3"/>
      <c r="E459" s="26" t="s">
        <v>424</v>
      </c>
      <c r="F459" s="26" t="s">
        <v>27</v>
      </c>
      <c r="G459" s="26" t="s">
        <v>28</v>
      </c>
      <c r="H459" s="26" t="s">
        <v>44</v>
      </c>
      <c r="I459" s="26">
        <v>84422</v>
      </c>
      <c r="J459" s="26">
        <v>140312</v>
      </c>
      <c r="K459" s="26">
        <v>24798</v>
      </c>
      <c r="L459" s="26">
        <v>6410192</v>
      </c>
      <c r="M459" s="26">
        <v>28369</v>
      </c>
      <c r="N459" s="26">
        <v>368142</v>
      </c>
      <c r="O459" s="26">
        <v>71165</v>
      </c>
      <c r="P459" s="26">
        <v>15300</v>
      </c>
      <c r="Q459" s="26">
        <v>8079887</v>
      </c>
      <c r="R459" s="26">
        <v>66252</v>
      </c>
      <c r="S459" s="26">
        <v>93703</v>
      </c>
      <c r="T459" s="26" t="s">
        <v>31</v>
      </c>
      <c r="U459" s="26">
        <v>29087</v>
      </c>
      <c r="V459" s="26">
        <v>91154</v>
      </c>
      <c r="W459" s="26">
        <v>2411</v>
      </c>
      <c r="X459" s="26">
        <v>7629</v>
      </c>
      <c r="Y459" s="26">
        <v>41874</v>
      </c>
      <c r="Z459" s="26">
        <v>26339</v>
      </c>
      <c r="AA459" s="26">
        <v>223</v>
      </c>
      <c r="AB459" s="26">
        <v>3</v>
      </c>
      <c r="AC459" s="26">
        <v>26</v>
      </c>
      <c r="AD459" s="26">
        <v>342.83712291913599</v>
      </c>
    </row>
    <row r="460" spans="1:30" x14ac:dyDescent="0.2">
      <c r="A460">
        <f>_xlfn.XLOOKUP(E460,Lookups!$E:$E,Lookups!$F:$F,0)</f>
        <v>0</v>
      </c>
      <c r="B460">
        <v>1</v>
      </c>
      <c r="C460" s="3" t="d">
        <v>2026-07-03</v>
      </c>
      <c r="D460" s="3"/>
      <c r="E460" s="26" t="s">
        <v>462</v>
      </c>
      <c r="F460" s="26" t="s">
        <v>27</v>
      </c>
      <c r="G460" s="26" t="s">
        <v>28</v>
      </c>
      <c r="H460" s="26" t="s">
        <v>44</v>
      </c>
      <c r="I460" s="26">
        <v>84435</v>
      </c>
      <c r="J460" s="26">
        <v>80684</v>
      </c>
      <c r="K460" s="26">
        <v>17848</v>
      </c>
      <c r="L460" s="26">
        <v>8683196</v>
      </c>
      <c r="M460" s="26">
        <v>217039</v>
      </c>
      <c r="N460" s="26">
        <v>174785</v>
      </c>
      <c r="O460" s="26">
        <v>72159</v>
      </c>
      <c r="P460" s="26">
        <v>21100</v>
      </c>
      <c r="Q460" s="26">
        <v>5184039</v>
      </c>
      <c r="R460" s="26">
        <v>36092</v>
      </c>
      <c r="S460" s="26">
        <v>115322</v>
      </c>
      <c r="T460" s="26">
        <v>30183</v>
      </c>
      <c r="U460" s="26">
        <v>35441</v>
      </c>
      <c r="V460" s="26">
        <v>14308</v>
      </c>
      <c r="W460" s="26">
        <v>510</v>
      </c>
      <c r="X460" s="26" t="s">
        <v>31</v>
      </c>
      <c r="Y460" s="26">
        <v>67263</v>
      </c>
      <c r="Z460" s="26">
        <v>101977</v>
      </c>
      <c r="AA460" s="26">
        <v>39</v>
      </c>
      <c r="AB460" s="26">
        <v>0</v>
      </c>
      <c r="AC460" s="26">
        <v>0</v>
      </c>
      <c r="AD460" s="26">
        <v>15.9261437450771</v>
      </c>
    </row>
    <row r="461" spans="1:30" x14ac:dyDescent="0.2">
      <c r="A461">
        <f>_xlfn.XLOOKUP(E461,Lookups!$E:$E,Lookups!$F:$F,0)</f>
        <v>0</v>
      </c>
      <c r="B461">
        <v>1</v>
      </c>
      <c r="C461" s="3" t="d">
        <v>2026-07-03</v>
      </c>
      <c r="D461" s="3"/>
      <c r="E461" s="26" t="s">
        <v>657</v>
      </c>
      <c r="F461" s="26" t="s">
        <v>27</v>
      </c>
      <c r="G461" s="26" t="s">
        <v>28</v>
      </c>
      <c r="H461" s="26" t="s">
        <v>37</v>
      </c>
      <c r="I461" s="26">
        <v>84855</v>
      </c>
      <c r="J461" s="26">
        <v>192373</v>
      </c>
      <c r="K461" s="26">
        <v>3337</v>
      </c>
      <c r="L461" s="26">
        <v>13586688</v>
      </c>
      <c r="M461" s="26">
        <v>6188</v>
      </c>
      <c r="N461" s="26">
        <v>396942</v>
      </c>
      <c r="O461" s="26">
        <v>27090</v>
      </c>
      <c r="P461" s="26">
        <v>209000</v>
      </c>
      <c r="Q461" s="26">
        <v>36905649</v>
      </c>
      <c r="R461" s="26">
        <v>214666</v>
      </c>
      <c r="S461" s="26">
        <v>266963</v>
      </c>
      <c r="T461" s="26">
        <v>14019</v>
      </c>
      <c r="U461" s="26">
        <v>3362</v>
      </c>
      <c r="V461" s="26">
        <v>1252</v>
      </c>
      <c r="W461" s="26">
        <v>135</v>
      </c>
      <c r="X461" s="26">
        <v>12</v>
      </c>
      <c r="Y461" s="26">
        <v>66168</v>
      </c>
      <c r="Z461" s="26">
        <v>68068</v>
      </c>
      <c r="AA461" s="26">
        <v>35</v>
      </c>
      <c r="AB461" s="26">
        <v>0</v>
      </c>
      <c r="AC461" s="26">
        <v>0</v>
      </c>
      <c r="AD461" s="26">
        <v>21.150277260765701</v>
      </c>
    </row>
    <row r="462" spans="1:30" x14ac:dyDescent="0.2">
      <c r="A462">
        <f>_xlfn.XLOOKUP(E462,Lookups!$E:$E,Lookups!$F:$F,0)</f>
        <v>0</v>
      </c>
      <c r="B462">
        <v>1</v>
      </c>
      <c r="C462" s="3" t="d">
        <v>2026-07-03</v>
      </c>
      <c r="D462" s="3"/>
      <c r="E462" s="26" t="s">
        <v>409</v>
      </c>
      <c r="F462" s="26" t="s">
        <v>27</v>
      </c>
      <c r="G462" s="26" t="s">
        <v>28</v>
      </c>
      <c r="H462" s="26" t="s">
        <v>44</v>
      </c>
      <c r="I462" s="26">
        <v>85044</v>
      </c>
      <c r="J462" s="26">
        <v>92288</v>
      </c>
      <c r="K462" s="26">
        <v>29777</v>
      </c>
      <c r="L462" s="26">
        <v>13515231</v>
      </c>
      <c r="M462" s="26">
        <v>98818</v>
      </c>
      <c r="N462" s="26">
        <v>233106</v>
      </c>
      <c r="O462" s="26">
        <v>433081</v>
      </c>
      <c r="P462" s="26">
        <v>81</v>
      </c>
      <c r="Q462" s="26">
        <v>1598</v>
      </c>
      <c r="R462" s="26">
        <v>18</v>
      </c>
      <c r="S462" s="26">
        <v>42894</v>
      </c>
      <c r="T462" s="26">
        <v>167103</v>
      </c>
      <c r="U462" s="26">
        <v>115472</v>
      </c>
      <c r="V462" s="26">
        <v>192360</v>
      </c>
      <c r="W462" s="26">
        <v>41</v>
      </c>
      <c r="X462" s="26">
        <v>130</v>
      </c>
      <c r="Y462" s="26">
        <v>407177</v>
      </c>
      <c r="Z462" s="26">
        <v>75983</v>
      </c>
      <c r="AA462" s="26">
        <v>10</v>
      </c>
      <c r="AB462" s="26">
        <v>0</v>
      </c>
      <c r="AC462" s="26">
        <v>0</v>
      </c>
      <c r="AD462" s="26">
        <v>12.3694125433264</v>
      </c>
    </row>
    <row r="463" spans="1:30" x14ac:dyDescent="0.2">
      <c r="A463">
        <f>_xlfn.XLOOKUP(E463,Lookups!$E:$E,Lookups!$F:$F,0)</f>
        <v>0</v>
      </c>
      <c r="B463">
        <v>1</v>
      </c>
      <c r="C463" s="3" t="d">
        <v>2026-07-03</v>
      </c>
      <c r="D463" s="3"/>
      <c r="E463" s="26" t="s">
        <v>429</v>
      </c>
      <c r="F463" s="26" t="s">
        <v>27</v>
      </c>
      <c r="G463" s="26" t="s">
        <v>28</v>
      </c>
      <c r="H463" s="26" t="s">
        <v>37</v>
      </c>
      <c r="I463" s="26">
        <v>85050</v>
      </c>
      <c r="J463" s="26">
        <v>69171</v>
      </c>
      <c r="K463" s="26">
        <v>24025</v>
      </c>
      <c r="L463" s="26">
        <v>19328695</v>
      </c>
      <c r="M463" s="26">
        <v>181723</v>
      </c>
      <c r="N463" s="26">
        <v>1910551</v>
      </c>
      <c r="O463" s="26">
        <v>144444</v>
      </c>
      <c r="P463" s="26">
        <v>2100</v>
      </c>
      <c r="Q463" s="26">
        <v>2059</v>
      </c>
      <c r="R463" s="26">
        <v>76</v>
      </c>
      <c r="S463" s="26">
        <v>114601</v>
      </c>
      <c r="T463" s="26">
        <v>8545</v>
      </c>
      <c r="U463" s="26">
        <v>7498</v>
      </c>
      <c r="V463" s="26">
        <v>8113</v>
      </c>
      <c r="W463" s="26">
        <v>8</v>
      </c>
      <c r="X463" s="26" t="s">
        <v>31</v>
      </c>
      <c r="Y463" s="26">
        <v>240911</v>
      </c>
      <c r="Z463" s="26">
        <v>17313</v>
      </c>
      <c r="AA463" s="26">
        <v>77</v>
      </c>
      <c r="AB463" s="26">
        <v>0</v>
      </c>
      <c r="AC463" s="26">
        <v>0</v>
      </c>
      <c r="AD463" s="26">
        <v>136.13907586597799</v>
      </c>
    </row>
    <row r="464" spans="1:30" x14ac:dyDescent="0.2">
      <c r="A464">
        <f>_xlfn.XLOOKUP(E464,Lookups!$E:$E,Lookups!$F:$F,0)</f>
        <v>0</v>
      </c>
      <c r="B464">
        <v>1</v>
      </c>
      <c r="C464" s="3" t="d">
        <v>2026-07-03</v>
      </c>
      <c r="D464" s="3"/>
      <c r="E464" s="26" t="s">
        <v>340</v>
      </c>
      <c r="F464" s="26" t="s">
        <v>35</v>
      </c>
      <c r="G464" s="26" t="s">
        <v>36</v>
      </c>
      <c r="H464" s="26" t="s">
        <v>46</v>
      </c>
      <c r="I464" s="26">
        <v>85251</v>
      </c>
      <c r="J464" s="26">
        <v>89266</v>
      </c>
      <c r="K464" s="26">
        <v>51113</v>
      </c>
      <c r="L464" s="26">
        <v>10187405</v>
      </c>
      <c r="M464" s="26">
        <v>105107</v>
      </c>
      <c r="N464" s="26">
        <v>86132</v>
      </c>
      <c r="O464" s="26">
        <v>67382</v>
      </c>
      <c r="P464" s="26">
        <v>16500</v>
      </c>
      <c r="Q464" s="26">
        <v>1223851</v>
      </c>
      <c r="R464" s="26">
        <v>17622</v>
      </c>
      <c r="S464" s="26">
        <v>102964</v>
      </c>
      <c r="T464" s="26">
        <v>81890</v>
      </c>
      <c r="U464" s="26">
        <v>12503</v>
      </c>
      <c r="V464" s="26">
        <v>1513</v>
      </c>
      <c r="W464" s="26">
        <v>97</v>
      </c>
      <c r="X464" s="26">
        <v>119</v>
      </c>
      <c r="Y464" s="26">
        <v>185136</v>
      </c>
      <c r="Z464" s="26">
        <v>37062</v>
      </c>
      <c r="AA464" s="26">
        <v>25</v>
      </c>
      <c r="AB464" s="26">
        <v>0</v>
      </c>
      <c r="AC464" s="26">
        <v>0</v>
      </c>
      <c r="AD464" s="26">
        <v>26.649200902811302</v>
      </c>
    </row>
    <row r="465" spans="1:30" x14ac:dyDescent="0.2">
      <c r="A465">
        <f>_xlfn.XLOOKUP(E465,Lookups!$E:$E,Lookups!$F:$F,0)</f>
        <v>0</v>
      </c>
      <c r="B465">
        <v>1</v>
      </c>
      <c r="C465" s="3" t="d">
        <v>2026-07-03</v>
      </c>
      <c r="D465" s="3"/>
      <c r="E465" s="26" t="s">
        <v>373</v>
      </c>
      <c r="F465" s="26" t="s">
        <v>27</v>
      </c>
      <c r="G465" s="26" t="s">
        <v>28</v>
      </c>
      <c r="H465" s="26" t="s">
        <v>31</v>
      </c>
      <c r="I465" s="26">
        <v>85253</v>
      </c>
      <c r="J465" s="26">
        <v>57321</v>
      </c>
      <c r="K465" s="26">
        <v>40807</v>
      </c>
      <c r="L465" s="26">
        <v>23854972</v>
      </c>
      <c r="M465" s="26">
        <v>256065</v>
      </c>
      <c r="N465" s="26">
        <v>182630</v>
      </c>
      <c r="O465" s="26">
        <v>613359</v>
      </c>
      <c r="P465" s="26" t="s">
        <v>31</v>
      </c>
      <c r="Q465" s="26" t="s">
        <v>31</v>
      </c>
      <c r="R465" s="26" t="s">
        <v>31</v>
      </c>
      <c r="S465" s="26">
        <v>834709</v>
      </c>
      <c r="T465" s="26" t="s">
        <v>31</v>
      </c>
      <c r="U465" s="26" t="s">
        <v>31</v>
      </c>
      <c r="V465" s="26" t="s">
        <v>31</v>
      </c>
      <c r="W465" s="26">
        <v>27</v>
      </c>
      <c r="X465" s="26">
        <v>9</v>
      </c>
      <c r="Y465" s="26">
        <v>100640</v>
      </c>
      <c r="Z465" s="26" t="s">
        <v>31</v>
      </c>
      <c r="AA465" s="26" t="s">
        <v>31</v>
      </c>
      <c r="AB465" s="26" t="s">
        <v>31</v>
      </c>
      <c r="AC465" s="26" t="s">
        <v>31</v>
      </c>
      <c r="AD465" s="26" t="s">
        <v>31</v>
      </c>
    </row>
    <row r="466" spans="1:30" x14ac:dyDescent="0.2">
      <c r="A466">
        <f>_xlfn.XLOOKUP(E466,Lookups!$E:$E,Lookups!$F:$F,0)</f>
        <v>0</v>
      </c>
      <c r="B466">
        <v>1</v>
      </c>
      <c r="C466" s="3" t="d">
        <v>2026-07-03</v>
      </c>
      <c r="D466" s="3"/>
      <c r="E466" s="26" t="s">
        <v>658</v>
      </c>
      <c r="F466" s="26" t="s">
        <v>27</v>
      </c>
      <c r="G466" s="26" t="s">
        <v>28</v>
      </c>
      <c r="H466" s="26" t="s">
        <v>659</v>
      </c>
      <c r="I466" s="26">
        <v>85423</v>
      </c>
      <c r="J466" s="26">
        <v>79260</v>
      </c>
      <c r="K466" s="26">
        <v>9292</v>
      </c>
      <c r="L466" s="26">
        <v>9315427</v>
      </c>
      <c r="M466" s="26">
        <v>92804</v>
      </c>
      <c r="N466" s="26">
        <v>166497</v>
      </c>
      <c r="O466" s="26">
        <v>130145</v>
      </c>
      <c r="P466" s="26">
        <v>2400</v>
      </c>
      <c r="Q466" s="26">
        <v>459516</v>
      </c>
      <c r="R466" s="26">
        <v>9648</v>
      </c>
      <c r="S466" s="26">
        <v>25563</v>
      </c>
      <c r="T466" s="26">
        <v>75287</v>
      </c>
      <c r="U466" s="26">
        <v>36198</v>
      </c>
      <c r="V466" s="26" t="s">
        <v>31</v>
      </c>
      <c r="W466" s="26">
        <v>10</v>
      </c>
      <c r="X466" s="26" t="s">
        <v>31</v>
      </c>
      <c r="Y466" s="26">
        <v>466238</v>
      </c>
      <c r="Z466" s="26" t="s">
        <v>31</v>
      </c>
      <c r="AA466" s="26" t="s">
        <v>31</v>
      </c>
      <c r="AB466" s="26" t="s">
        <v>31</v>
      </c>
      <c r="AC466" s="26" t="s">
        <v>31</v>
      </c>
      <c r="AD466" s="26" t="s">
        <v>31</v>
      </c>
    </row>
    <row r="467" spans="1:30" x14ac:dyDescent="0.2">
      <c r="A467">
        <f>_xlfn.XLOOKUP(E467,Lookups!$E:$E,Lookups!$F:$F,0)</f>
        <v>0</v>
      </c>
      <c r="B467">
        <v>1</v>
      </c>
      <c r="C467" s="3" t="d">
        <v>2026-07-03</v>
      </c>
      <c r="D467" s="3"/>
      <c r="E467" s="26" t="s">
        <v>660</v>
      </c>
      <c r="F467" s="26" t="s">
        <v>27</v>
      </c>
      <c r="G467" s="26" t="s">
        <v>28</v>
      </c>
      <c r="H467" s="26" t="s">
        <v>31</v>
      </c>
      <c r="I467" s="26">
        <v>85692</v>
      </c>
      <c r="J467" s="26">
        <v>276764</v>
      </c>
      <c r="K467" s="26">
        <v>4398</v>
      </c>
      <c r="L467" s="26">
        <v>5497453</v>
      </c>
      <c r="M467" s="26">
        <v>7038</v>
      </c>
      <c r="N467" s="26">
        <v>1728</v>
      </c>
      <c r="O467" s="26">
        <v>39468</v>
      </c>
      <c r="P467" s="26">
        <v>23100</v>
      </c>
      <c r="Q467" s="26">
        <v>1788215</v>
      </c>
      <c r="R467" s="26">
        <v>12994</v>
      </c>
      <c r="S467" s="26">
        <v>26773</v>
      </c>
      <c r="T467" s="26">
        <v>165657</v>
      </c>
      <c r="U467" s="26">
        <v>7411</v>
      </c>
      <c r="V467" s="26" t="s">
        <v>31</v>
      </c>
      <c r="W467" s="26">
        <v>14</v>
      </c>
      <c r="X467" s="26" t="s">
        <v>31</v>
      </c>
      <c r="Y467" s="26">
        <v>122355</v>
      </c>
      <c r="Z467" s="26" t="s">
        <v>31</v>
      </c>
      <c r="AA467" s="26" t="s">
        <v>31</v>
      </c>
      <c r="AB467" s="26" t="s">
        <v>31</v>
      </c>
      <c r="AC467" s="26" t="s">
        <v>31</v>
      </c>
      <c r="AD467" s="26" t="s">
        <v>31</v>
      </c>
    </row>
    <row r="468" spans="1:30" x14ac:dyDescent="0.2">
      <c r="A468">
        <f>_xlfn.XLOOKUP(E468,Lookups!$E:$E,Lookups!$F:$F,0)</f>
        <v>0</v>
      </c>
      <c r="B468">
        <v>1</v>
      </c>
      <c r="C468" s="3" t="d">
        <v>2026-07-03</v>
      </c>
      <c r="D468" s="3"/>
      <c r="E468" s="26" t="s">
        <v>661</v>
      </c>
      <c r="F468" s="26" t="s">
        <v>27</v>
      </c>
      <c r="G468" s="26" t="s">
        <v>77</v>
      </c>
      <c r="H468" s="26" t="s">
        <v>37</v>
      </c>
      <c r="I468" s="26">
        <v>85737</v>
      </c>
      <c r="J468" s="26">
        <v>75415</v>
      </c>
      <c r="K468" s="26">
        <v>14810</v>
      </c>
      <c r="L468" s="26">
        <v>20126081</v>
      </c>
      <c r="M468" s="26">
        <v>121022</v>
      </c>
      <c r="N468" s="26">
        <v>562834</v>
      </c>
      <c r="O468" s="26">
        <v>72997</v>
      </c>
      <c r="P468" s="26">
        <v>15600</v>
      </c>
      <c r="Q468" s="26">
        <v>5316297</v>
      </c>
      <c r="R468" s="26">
        <v>100660</v>
      </c>
      <c r="S468" s="26">
        <v>103678</v>
      </c>
      <c r="T468" s="26">
        <v>140889</v>
      </c>
      <c r="U468" s="26">
        <v>10550</v>
      </c>
      <c r="V468" s="26">
        <v>9710</v>
      </c>
      <c r="W468" s="26">
        <v>816</v>
      </c>
      <c r="X468" s="26">
        <v>50160</v>
      </c>
      <c r="Y468" s="26">
        <v>79420</v>
      </c>
      <c r="Z468" s="26">
        <v>27778</v>
      </c>
      <c r="AA468" s="26">
        <v>37</v>
      </c>
      <c r="AB468" s="26">
        <v>0</v>
      </c>
      <c r="AC468" s="26">
        <v>0</v>
      </c>
      <c r="AD468" s="26">
        <v>93.871378776752096</v>
      </c>
    </row>
    <row r="469" spans="1:30" x14ac:dyDescent="0.2">
      <c r="A469">
        <f>_xlfn.XLOOKUP(E469,Lookups!$E:$E,Lookups!$F:$F,0)</f>
        <v>0</v>
      </c>
      <c r="B469">
        <v>1</v>
      </c>
      <c r="C469" s="3" t="d">
        <v>2026-07-03</v>
      </c>
      <c r="D469" s="3"/>
      <c r="E469" s="26" t="s">
        <v>662</v>
      </c>
      <c r="F469" s="26" t="s">
        <v>27</v>
      </c>
      <c r="G469" s="26" t="s">
        <v>28</v>
      </c>
      <c r="H469" s="26" t="s">
        <v>72</v>
      </c>
      <c r="I469" s="26">
        <v>86229</v>
      </c>
      <c r="J469" s="26">
        <v>72898</v>
      </c>
      <c r="K469" s="26">
        <v>3366</v>
      </c>
      <c r="L469" s="26">
        <v>44425431</v>
      </c>
      <c r="M469" s="26">
        <v>31866</v>
      </c>
      <c r="N469" s="26">
        <v>3441122</v>
      </c>
      <c r="O469" s="26">
        <v>613359</v>
      </c>
      <c r="P469" s="26" t="s">
        <v>31</v>
      </c>
      <c r="Q469" s="26" t="s">
        <v>31</v>
      </c>
      <c r="R469" s="26" t="s">
        <v>31</v>
      </c>
      <c r="S469" s="26">
        <v>265782</v>
      </c>
      <c r="T469" s="26">
        <v>1519</v>
      </c>
      <c r="U469" s="26">
        <v>6859</v>
      </c>
      <c r="V469" s="26" t="s">
        <v>31</v>
      </c>
      <c r="W469" s="26">
        <v>204</v>
      </c>
      <c r="X469" s="26" t="s">
        <v>31</v>
      </c>
      <c r="Y469" s="26">
        <v>190306</v>
      </c>
      <c r="Z469" s="26">
        <v>552</v>
      </c>
      <c r="AA469" s="26">
        <v>206</v>
      </c>
      <c r="AB469" s="26">
        <v>29</v>
      </c>
      <c r="AC469" s="26">
        <v>1274</v>
      </c>
      <c r="AD469" s="26">
        <v>13697.218316521699</v>
      </c>
    </row>
    <row r="470" spans="1:30" x14ac:dyDescent="0.2">
      <c r="A470">
        <f>_xlfn.XLOOKUP(E470,Lookups!$E:$E,Lookups!$F:$F,0)</f>
        <v>0</v>
      </c>
      <c r="B470">
        <v>1</v>
      </c>
      <c r="C470" s="3" t="d">
        <v>2026-07-03</v>
      </c>
      <c r="D470" s="3"/>
      <c r="E470" s="26" t="s">
        <v>402</v>
      </c>
      <c r="F470" s="26" t="s">
        <v>27</v>
      </c>
      <c r="G470" s="26" t="s">
        <v>28</v>
      </c>
      <c r="H470" s="26" t="s">
        <v>31</v>
      </c>
      <c r="I470" s="26">
        <v>86515</v>
      </c>
      <c r="J470" s="26">
        <v>41500</v>
      </c>
      <c r="K470" s="26">
        <v>31074</v>
      </c>
      <c r="L470" s="26">
        <v>24317590</v>
      </c>
      <c r="M470" s="26">
        <v>228130</v>
      </c>
      <c r="N470" s="26">
        <v>325542</v>
      </c>
      <c r="O470" s="26">
        <v>613359</v>
      </c>
      <c r="P470" s="26" t="s">
        <v>31</v>
      </c>
      <c r="Q470" s="26" t="s">
        <v>31</v>
      </c>
      <c r="R470" s="26" t="s">
        <v>31</v>
      </c>
      <c r="S470" s="26">
        <v>834709</v>
      </c>
      <c r="T470" s="26" t="s">
        <v>31</v>
      </c>
      <c r="U470" s="26" t="s">
        <v>31</v>
      </c>
      <c r="V470" s="26" t="s">
        <v>31</v>
      </c>
      <c r="W470" s="26" t="s">
        <v>31</v>
      </c>
      <c r="X470" s="26" t="s">
        <v>31</v>
      </c>
      <c r="Y470" s="26">
        <v>466238</v>
      </c>
      <c r="Z470" s="26">
        <v>17456</v>
      </c>
      <c r="AA470" s="26">
        <v>98</v>
      </c>
      <c r="AB470" s="26">
        <v>0</v>
      </c>
      <c r="AC470" s="26">
        <v>0</v>
      </c>
      <c r="AD470" s="26">
        <v>73.409852004373207</v>
      </c>
    </row>
    <row r="471" spans="1:30" x14ac:dyDescent="0.2">
      <c r="A471">
        <f>_xlfn.XLOOKUP(E471,Lookups!$E:$E,Lookups!$F:$F,0)</f>
        <v>0</v>
      </c>
      <c r="B471">
        <v>1</v>
      </c>
      <c r="C471" s="3" t="d">
        <v>2026-07-03</v>
      </c>
      <c r="D471" s="3"/>
      <c r="E471" s="26" t="s">
        <v>289</v>
      </c>
      <c r="F471" s="26" t="s">
        <v>27</v>
      </c>
      <c r="G471" s="26" t="s">
        <v>28</v>
      </c>
      <c r="H471" s="26" t="s">
        <v>46</v>
      </c>
      <c r="I471" s="26">
        <v>86529</v>
      </c>
      <c r="J471" s="26">
        <v>68392</v>
      </c>
      <c r="K471" s="26">
        <v>77487</v>
      </c>
      <c r="L471" s="26">
        <v>19416993</v>
      </c>
      <c r="M471" s="26">
        <v>114803</v>
      </c>
      <c r="N471" s="26">
        <v>108211</v>
      </c>
      <c r="O471" s="26">
        <v>613359</v>
      </c>
      <c r="P471" s="26" t="s">
        <v>31</v>
      </c>
      <c r="Q471" s="26" t="s">
        <v>31</v>
      </c>
      <c r="R471" s="26" t="s">
        <v>31</v>
      </c>
      <c r="S471" s="26">
        <v>76148</v>
      </c>
      <c r="T471" s="26">
        <v>104849</v>
      </c>
      <c r="U471" s="26">
        <v>18648</v>
      </c>
      <c r="V471" s="26">
        <v>11934</v>
      </c>
      <c r="W471" s="26">
        <v>134</v>
      </c>
      <c r="X471" s="26" t="s">
        <v>31</v>
      </c>
      <c r="Y471" s="26">
        <v>226301</v>
      </c>
      <c r="Z471" s="26">
        <v>54834</v>
      </c>
      <c r="AA471" s="26">
        <v>27</v>
      </c>
      <c r="AB471" s="26">
        <v>0</v>
      </c>
      <c r="AC471" s="26">
        <v>0</v>
      </c>
      <c r="AD471" s="26">
        <v>15.9592876602155</v>
      </c>
    </row>
    <row r="472" spans="1:30" x14ac:dyDescent="0.2">
      <c r="A472">
        <f>_xlfn.XLOOKUP(E472,Lookups!$E:$E,Lookups!$F:$F,0)</f>
        <v>0</v>
      </c>
      <c r="B472">
        <v>1</v>
      </c>
      <c r="C472" s="3" t="d">
        <v>2026-07-03</v>
      </c>
      <c r="D472" s="3"/>
      <c r="E472" s="26" t="s">
        <v>663</v>
      </c>
      <c r="F472" s="26" t="s">
        <v>27</v>
      </c>
      <c r="G472" s="26" t="s">
        <v>77</v>
      </c>
      <c r="H472" s="26" t="s">
        <v>415</v>
      </c>
      <c r="I472" s="26">
        <v>86647</v>
      </c>
      <c r="J472" s="26">
        <v>151208</v>
      </c>
      <c r="K472" s="26">
        <v>2106</v>
      </c>
      <c r="L472" s="26">
        <v>6343379</v>
      </c>
      <c r="M472" s="26">
        <v>44350</v>
      </c>
      <c r="N472" s="26">
        <v>181530</v>
      </c>
      <c r="O472" s="26">
        <v>78471</v>
      </c>
      <c r="P472" s="26">
        <v>4040</v>
      </c>
      <c r="Q472" s="26">
        <v>319865</v>
      </c>
      <c r="R472" s="26">
        <v>7907</v>
      </c>
      <c r="S472" s="26">
        <v>61423</v>
      </c>
      <c r="T472" s="26">
        <v>117896</v>
      </c>
      <c r="U472" s="26">
        <v>67110</v>
      </c>
      <c r="V472" s="26">
        <v>2439</v>
      </c>
      <c r="W472" s="26">
        <v>21</v>
      </c>
      <c r="X472" s="26">
        <v>3378</v>
      </c>
      <c r="Y472" s="26">
        <v>386716</v>
      </c>
      <c r="Z472" s="26" t="s">
        <v>31</v>
      </c>
      <c r="AA472" s="26" t="s">
        <v>31</v>
      </c>
      <c r="AB472" s="26" t="s">
        <v>31</v>
      </c>
      <c r="AC472" s="26" t="s">
        <v>31</v>
      </c>
      <c r="AD472" s="26" t="s">
        <v>31</v>
      </c>
    </row>
    <row r="473" spans="1:30" x14ac:dyDescent="0.2">
      <c r="A473">
        <f>_xlfn.XLOOKUP(E473,Lookups!$E:$E,Lookups!$F:$F,0)</f>
        <v>0</v>
      </c>
      <c r="B473">
        <v>1</v>
      </c>
      <c r="C473" s="3" t="d">
        <v>2026-07-03</v>
      </c>
      <c r="D473" s="3"/>
      <c r="E473" s="26" t="s">
        <v>387</v>
      </c>
      <c r="F473" s="26" t="s">
        <v>27</v>
      </c>
      <c r="G473" s="26" t="s">
        <v>36</v>
      </c>
      <c r="H473" s="26" t="s">
        <v>46</v>
      </c>
      <c r="I473" s="26">
        <v>86999</v>
      </c>
      <c r="J473" s="26">
        <v>94843</v>
      </c>
      <c r="K473" s="26">
        <v>35561</v>
      </c>
      <c r="L473" s="26">
        <v>8028138</v>
      </c>
      <c r="M473" s="26">
        <v>128173</v>
      </c>
      <c r="N473" s="26">
        <v>166087</v>
      </c>
      <c r="O473" s="26">
        <v>72442</v>
      </c>
      <c r="P473" s="26">
        <v>37</v>
      </c>
      <c r="Q473" s="26">
        <v>7324629</v>
      </c>
      <c r="R473" s="26">
        <v>48156</v>
      </c>
      <c r="S473" s="26">
        <v>85163</v>
      </c>
      <c r="T473" s="26">
        <v>9759</v>
      </c>
      <c r="U473" s="26">
        <v>5480</v>
      </c>
      <c r="V473" s="26">
        <v>124262</v>
      </c>
      <c r="W473" s="26">
        <v>773</v>
      </c>
      <c r="X473" s="26" t="s">
        <v>31</v>
      </c>
      <c r="Y473" s="26">
        <v>171960</v>
      </c>
      <c r="Z473" s="26">
        <v>104125</v>
      </c>
      <c r="AA473" s="26">
        <v>12</v>
      </c>
      <c r="AB473" s="26">
        <v>0</v>
      </c>
      <c r="AC473" s="26">
        <v>0</v>
      </c>
      <c r="AD473" s="26">
        <v>16.726634746876599</v>
      </c>
    </row>
    <row r="474" spans="1:30" x14ac:dyDescent="0.2">
      <c r="A474">
        <f>_xlfn.XLOOKUP(E474,Lookups!$E:$E,Lookups!$F:$F,0)</f>
        <v>0</v>
      </c>
      <c r="B474">
        <v>1</v>
      </c>
      <c r="C474" s="3" t="d">
        <v>2026-07-03</v>
      </c>
      <c r="D474" s="3"/>
      <c r="E474" s="26" t="s">
        <v>435</v>
      </c>
      <c r="F474" s="26" t="s">
        <v>27</v>
      </c>
      <c r="G474" s="26" t="s">
        <v>28</v>
      </c>
      <c r="H474" s="26" t="s">
        <v>31</v>
      </c>
      <c r="I474" s="26">
        <v>87123</v>
      </c>
      <c r="J474" s="26">
        <v>47656</v>
      </c>
      <c r="K474" s="26">
        <v>23433</v>
      </c>
      <c r="L474" s="26">
        <v>7469830</v>
      </c>
      <c r="M474" s="26">
        <v>337249</v>
      </c>
      <c r="N474" s="26">
        <v>55878</v>
      </c>
      <c r="O474" s="26">
        <v>613359</v>
      </c>
      <c r="P474" s="26" t="s">
        <v>31</v>
      </c>
      <c r="Q474" s="26" t="s">
        <v>31</v>
      </c>
      <c r="R474" s="26" t="s">
        <v>31</v>
      </c>
      <c r="S474" s="26" t="s">
        <v>31</v>
      </c>
      <c r="T474" s="26" t="s">
        <v>31</v>
      </c>
      <c r="U474" s="26" t="s">
        <v>31</v>
      </c>
      <c r="V474" s="26" t="s">
        <v>31</v>
      </c>
      <c r="W474" s="26">
        <v>47</v>
      </c>
      <c r="X474" s="26" t="s">
        <v>31</v>
      </c>
      <c r="Y474" s="26">
        <v>466238</v>
      </c>
      <c r="Z474" s="26" t="s">
        <v>31</v>
      </c>
      <c r="AA474" s="26" t="s">
        <v>31</v>
      </c>
      <c r="AB474" s="26" t="s">
        <v>31</v>
      </c>
      <c r="AC474" s="26" t="s">
        <v>31</v>
      </c>
      <c r="AD474" s="26" t="s">
        <v>31</v>
      </c>
    </row>
    <row r="475" spans="1:30" x14ac:dyDescent="0.2">
      <c r="A475">
        <f>_xlfn.XLOOKUP(E475,Lookups!$E:$E,Lookups!$F:$F,0)</f>
        <v>0</v>
      </c>
      <c r="B475">
        <v>1</v>
      </c>
      <c r="C475" s="3" t="d">
        <v>2026-07-03</v>
      </c>
      <c r="D475" s="3"/>
      <c r="E475" s="26" t="s">
        <v>664</v>
      </c>
      <c r="F475" s="26" t="s">
        <v>585</v>
      </c>
      <c r="G475" s="26" t="s">
        <v>28</v>
      </c>
      <c r="H475" s="26" t="s">
        <v>46</v>
      </c>
      <c r="I475" s="26">
        <v>87554</v>
      </c>
      <c r="J475" s="26">
        <v>93181</v>
      </c>
      <c r="K475" s="26">
        <v>4527</v>
      </c>
      <c r="L475" s="26">
        <v>14828975</v>
      </c>
      <c r="M475" s="26">
        <v>186507</v>
      </c>
      <c r="N475" s="26">
        <v>1154349</v>
      </c>
      <c r="O475" s="26">
        <v>324944</v>
      </c>
      <c r="P475" s="26">
        <v>550</v>
      </c>
      <c r="Q475" s="26">
        <v>49784</v>
      </c>
      <c r="R475" s="26">
        <v>566</v>
      </c>
      <c r="S475" s="26">
        <v>95537</v>
      </c>
      <c r="T475" s="26">
        <v>4743</v>
      </c>
      <c r="U475" s="26">
        <v>56782</v>
      </c>
      <c r="V475" s="26">
        <v>1188</v>
      </c>
      <c r="W475" s="26">
        <v>48</v>
      </c>
      <c r="X475" s="26">
        <v>297</v>
      </c>
      <c r="Y475" s="26">
        <v>392656</v>
      </c>
      <c r="Z475" s="26" t="s">
        <v>31</v>
      </c>
      <c r="AA475" s="26" t="s">
        <v>31</v>
      </c>
      <c r="AB475" s="26" t="s">
        <v>31</v>
      </c>
      <c r="AC475" s="26" t="s">
        <v>31</v>
      </c>
      <c r="AD475" s="26" t="s">
        <v>31</v>
      </c>
    </row>
    <row r="476" spans="1:30" x14ac:dyDescent="0.2">
      <c r="A476">
        <f>_xlfn.XLOOKUP(E476,Lookups!$E:$E,Lookups!$F:$F,0)</f>
        <v>0</v>
      </c>
      <c r="B476">
        <v>1</v>
      </c>
      <c r="C476" s="3" t="d">
        <v>2026-07-03</v>
      </c>
      <c r="D476" s="3"/>
      <c r="E476" s="26" t="s">
        <v>386</v>
      </c>
      <c r="F476" s="26" t="s">
        <v>27</v>
      </c>
      <c r="G476" s="26" t="s">
        <v>77</v>
      </c>
      <c r="H476" s="26" t="s">
        <v>46</v>
      </c>
      <c r="I476" s="26">
        <v>87569</v>
      </c>
      <c r="J476" s="26">
        <v>116284</v>
      </c>
      <c r="K476" s="26">
        <v>36218</v>
      </c>
      <c r="L476" s="26">
        <v>6489860</v>
      </c>
      <c r="M476" s="26">
        <v>39872</v>
      </c>
      <c r="N476" s="26">
        <v>7247</v>
      </c>
      <c r="O476" s="26">
        <v>97432</v>
      </c>
      <c r="P476" s="26">
        <v>58300</v>
      </c>
      <c r="Q476" s="26" t="s">
        <v>31</v>
      </c>
      <c r="R476" s="26" t="s">
        <v>31</v>
      </c>
      <c r="S476" s="26">
        <v>63471</v>
      </c>
      <c r="T476" s="26" t="s">
        <v>31</v>
      </c>
      <c r="U476" s="26">
        <v>17358</v>
      </c>
      <c r="V476" s="26">
        <v>241342</v>
      </c>
      <c r="W476" s="26">
        <v>143</v>
      </c>
      <c r="X476" s="26">
        <v>225</v>
      </c>
      <c r="Y476" s="26">
        <v>463828</v>
      </c>
      <c r="Z476" s="26" t="s">
        <v>31</v>
      </c>
      <c r="AA476" s="26" t="s">
        <v>31</v>
      </c>
      <c r="AB476" s="26" t="s">
        <v>31</v>
      </c>
      <c r="AC476" s="26" t="s">
        <v>31</v>
      </c>
      <c r="AD476" s="26" t="s">
        <v>31</v>
      </c>
    </row>
    <row r="477" spans="1:30" x14ac:dyDescent="0.2">
      <c r="A477">
        <f>_xlfn.XLOOKUP(E477,Lookups!$E:$E,Lookups!$F:$F,0)</f>
        <v>0</v>
      </c>
      <c r="B477">
        <v>1</v>
      </c>
      <c r="C477" s="3" t="d">
        <v>2026-07-03</v>
      </c>
      <c r="D477" s="3"/>
      <c r="E477" s="26" t="s">
        <v>331</v>
      </c>
      <c r="F477" s="26" t="s">
        <v>27</v>
      </c>
      <c r="G477" s="26" t="s">
        <v>28</v>
      </c>
      <c r="H477" s="26" t="s">
        <v>57</v>
      </c>
      <c r="I477" s="26">
        <v>87687</v>
      </c>
      <c r="J477" s="26">
        <v>91458</v>
      </c>
      <c r="K477" s="26">
        <v>53684</v>
      </c>
      <c r="L477" s="26">
        <v>19813055</v>
      </c>
      <c r="M477" s="26">
        <v>67116</v>
      </c>
      <c r="N477" s="26">
        <v>135026</v>
      </c>
      <c r="O477" s="26">
        <v>613359</v>
      </c>
      <c r="P477" s="26" t="s">
        <v>31</v>
      </c>
      <c r="Q477" s="26" t="s">
        <v>31</v>
      </c>
      <c r="R477" s="26" t="s">
        <v>31</v>
      </c>
      <c r="S477" s="26">
        <v>70780</v>
      </c>
      <c r="T477" s="26">
        <v>13883</v>
      </c>
      <c r="U477" s="26">
        <v>17425</v>
      </c>
      <c r="V477" s="26">
        <v>60641</v>
      </c>
      <c r="W477" s="26">
        <v>16</v>
      </c>
      <c r="X477" s="26" t="s">
        <v>31</v>
      </c>
      <c r="Y477" s="26">
        <v>81703</v>
      </c>
      <c r="Z477" s="26" t="s">
        <v>31</v>
      </c>
      <c r="AA477" s="26" t="s">
        <v>31</v>
      </c>
      <c r="AB477" s="26" t="s">
        <v>31</v>
      </c>
      <c r="AC477" s="26" t="s">
        <v>31</v>
      </c>
      <c r="AD477" s="26" t="s">
        <v>31</v>
      </c>
    </row>
    <row r="478" spans="1:30" x14ac:dyDescent="0.2">
      <c r="A478">
        <f>_xlfn.XLOOKUP(E478,Lookups!$E:$E,Lookups!$F:$F,0)</f>
        <v>0</v>
      </c>
      <c r="B478">
        <v>1</v>
      </c>
      <c r="C478" s="3" t="d">
        <v>2026-07-03</v>
      </c>
      <c r="D478" s="3"/>
      <c r="E478" s="26" t="s">
        <v>311</v>
      </c>
      <c r="F478" s="26" t="s">
        <v>27</v>
      </c>
      <c r="G478" s="26" t="s">
        <v>28</v>
      </c>
      <c r="H478" s="26" t="s">
        <v>31</v>
      </c>
      <c r="I478" s="26">
        <v>87725</v>
      </c>
      <c r="J478" s="26">
        <v>80536</v>
      </c>
      <c r="K478" s="26">
        <v>64290</v>
      </c>
      <c r="L478" s="26">
        <v>16039808</v>
      </c>
      <c r="M478" s="26">
        <v>105119</v>
      </c>
      <c r="N478" s="26">
        <v>451094</v>
      </c>
      <c r="O478" s="26">
        <v>613359</v>
      </c>
      <c r="P478" s="26" t="s">
        <v>31</v>
      </c>
      <c r="Q478" s="26" t="s">
        <v>31</v>
      </c>
      <c r="R478" s="26" t="s">
        <v>31</v>
      </c>
      <c r="S478" s="26">
        <v>206859</v>
      </c>
      <c r="T478" s="26" t="s">
        <v>31</v>
      </c>
      <c r="U478" s="26">
        <v>8936</v>
      </c>
      <c r="V478" s="26">
        <v>20174</v>
      </c>
      <c r="W478" s="26">
        <v>618</v>
      </c>
      <c r="X478" s="26" t="s">
        <v>31</v>
      </c>
      <c r="Y478" s="26">
        <v>168931</v>
      </c>
      <c r="Z478" s="26">
        <v>19508</v>
      </c>
      <c r="AA478" s="26">
        <v>95</v>
      </c>
      <c r="AB478" s="26">
        <v>0</v>
      </c>
      <c r="AC478" s="26">
        <v>0</v>
      </c>
      <c r="AD478" s="26">
        <v>146.31220383244801</v>
      </c>
    </row>
    <row r="479" spans="1:30" x14ac:dyDescent="0.2">
      <c r="A479">
        <f>_xlfn.XLOOKUP(E479,Lookups!$E:$E,Lookups!$F:$F,0)</f>
        <v>0</v>
      </c>
      <c r="B479">
        <v>1</v>
      </c>
      <c r="C479" s="3" t="d">
        <v>2026-07-03</v>
      </c>
      <c r="D479" s="3"/>
      <c r="E479" s="26" t="s">
        <v>665</v>
      </c>
      <c r="F479" s="26" t="s">
        <v>27</v>
      </c>
      <c r="G479" s="26" t="s">
        <v>28</v>
      </c>
      <c r="H479" s="26" t="s">
        <v>46</v>
      </c>
      <c r="I479" s="26">
        <v>87742</v>
      </c>
      <c r="J479" s="26">
        <v>111370</v>
      </c>
      <c r="K479" s="26">
        <v>6195</v>
      </c>
      <c r="L479" s="26">
        <v>7529833</v>
      </c>
      <c r="M479" s="26">
        <v>100348</v>
      </c>
      <c r="N479" s="26">
        <v>66868</v>
      </c>
      <c r="O479" s="26">
        <v>43067</v>
      </c>
      <c r="P479" s="26">
        <v>108000</v>
      </c>
      <c r="Q479" s="26">
        <v>21751345</v>
      </c>
      <c r="R479" s="26">
        <v>462015</v>
      </c>
      <c r="S479" s="26">
        <v>164573</v>
      </c>
      <c r="T479" s="26">
        <v>10501</v>
      </c>
      <c r="U479" s="26">
        <v>6138</v>
      </c>
      <c r="V479" s="26">
        <v>2088</v>
      </c>
      <c r="W479" s="26">
        <v>257</v>
      </c>
      <c r="X479" s="26">
        <v>319</v>
      </c>
      <c r="Y479" s="26">
        <v>129649</v>
      </c>
      <c r="Z479" s="26" t="s">
        <v>31</v>
      </c>
      <c r="AA479" s="26" t="s">
        <v>31</v>
      </c>
      <c r="AB479" s="26" t="s">
        <v>31</v>
      </c>
      <c r="AC479" s="26" t="s">
        <v>31</v>
      </c>
      <c r="AD479" s="26" t="s">
        <v>31</v>
      </c>
    </row>
    <row r="480" spans="1:30" x14ac:dyDescent="0.2">
      <c r="A480">
        <f>_xlfn.XLOOKUP(E480,Lookups!$E:$E,Lookups!$F:$F,0)</f>
        <v>0</v>
      </c>
      <c r="B480">
        <v>1</v>
      </c>
      <c r="C480" s="3" t="d">
        <v>2026-07-03</v>
      </c>
      <c r="D480" s="3"/>
      <c r="E480" s="26" t="s">
        <v>666</v>
      </c>
      <c r="F480" s="26" t="s">
        <v>27</v>
      </c>
      <c r="G480" s="26" t="s">
        <v>28</v>
      </c>
      <c r="H480" s="26" t="s">
        <v>132</v>
      </c>
      <c r="I480" s="26">
        <v>87786</v>
      </c>
      <c r="J480" s="26">
        <v>96522</v>
      </c>
      <c r="K480" s="26">
        <v>13655</v>
      </c>
      <c r="L480" s="26">
        <v>9507195</v>
      </c>
      <c r="M480" s="26">
        <v>126780</v>
      </c>
      <c r="N480" s="26">
        <v>459308</v>
      </c>
      <c r="O480" s="26">
        <v>396485</v>
      </c>
      <c r="P480" s="26">
        <v>167</v>
      </c>
      <c r="Q480" s="26">
        <v>18006</v>
      </c>
      <c r="R480" s="26">
        <v>205</v>
      </c>
      <c r="S480" s="26">
        <v>53755</v>
      </c>
      <c r="T480" s="26">
        <v>96919</v>
      </c>
      <c r="U480" s="26">
        <v>23351</v>
      </c>
      <c r="V480" s="26">
        <v>31306</v>
      </c>
      <c r="W480" s="26">
        <v>842</v>
      </c>
      <c r="X480" s="26">
        <v>420</v>
      </c>
      <c r="Y480" s="26">
        <v>68040</v>
      </c>
      <c r="Z480" s="26">
        <v>79005</v>
      </c>
      <c r="AA480" s="26">
        <v>31</v>
      </c>
      <c r="AB480" s="26">
        <v>0</v>
      </c>
      <c r="AC480" s="26">
        <v>0</v>
      </c>
      <c r="AD480" s="26">
        <v>14.544204008793701</v>
      </c>
    </row>
    <row r="481" spans="1:30" x14ac:dyDescent="0.2">
      <c r="A481">
        <f>_xlfn.XLOOKUP(E481,Lookups!$E:$E,Lookups!$F:$F,0)</f>
        <v>0</v>
      </c>
      <c r="B481">
        <v>1</v>
      </c>
      <c r="C481" s="3" t="d">
        <v>2026-07-03</v>
      </c>
      <c r="D481" s="3"/>
      <c r="E481" s="26" t="s">
        <v>418</v>
      </c>
      <c r="F481" s="26" t="s">
        <v>27</v>
      </c>
      <c r="G481" s="26" t="s">
        <v>28</v>
      </c>
      <c r="H481" s="26" t="s">
        <v>46</v>
      </c>
      <c r="I481" s="26">
        <v>87893</v>
      </c>
      <c r="J481" s="26">
        <v>91649</v>
      </c>
      <c r="K481" s="26">
        <v>26595</v>
      </c>
      <c r="L481" s="26">
        <v>7375425</v>
      </c>
      <c r="M481" s="26">
        <v>100916</v>
      </c>
      <c r="N481" s="26">
        <v>162360</v>
      </c>
      <c r="O481" s="26">
        <v>221313</v>
      </c>
      <c r="P481" s="26">
        <v>4960</v>
      </c>
      <c r="Q481" s="26" t="s">
        <v>31</v>
      </c>
      <c r="R481" s="26" t="s">
        <v>31</v>
      </c>
      <c r="S481" s="26">
        <v>49769</v>
      </c>
      <c r="T481" s="26">
        <v>238347</v>
      </c>
      <c r="U481" s="26">
        <v>5771</v>
      </c>
      <c r="V481" s="26">
        <v>264</v>
      </c>
      <c r="W481" s="26">
        <v>17</v>
      </c>
      <c r="X481" s="26">
        <v>5</v>
      </c>
      <c r="Y481" s="26">
        <v>466238</v>
      </c>
      <c r="Z481" s="26">
        <v>40343</v>
      </c>
      <c r="AA481" s="26">
        <v>31</v>
      </c>
      <c r="AB481" s="26">
        <v>0</v>
      </c>
      <c r="AC481" s="26">
        <v>0</v>
      </c>
      <c r="AD481" s="26">
        <v>24.602679060919399</v>
      </c>
    </row>
    <row r="482" spans="1:30" x14ac:dyDescent="0.2">
      <c r="A482">
        <f>_xlfn.XLOOKUP(E482,Lookups!$E:$E,Lookups!$F:$F,0)</f>
        <v>0</v>
      </c>
      <c r="B482">
        <v>1</v>
      </c>
      <c r="C482" s="3" t="d">
        <v>2026-07-03</v>
      </c>
      <c r="D482" s="3"/>
      <c r="E482" s="26" t="s">
        <v>442</v>
      </c>
      <c r="F482" s="26" t="s">
        <v>27</v>
      </c>
      <c r="G482" s="26" t="s">
        <v>28</v>
      </c>
      <c r="H482" s="26" t="s">
        <v>31</v>
      </c>
      <c r="I482" s="26">
        <v>87905</v>
      </c>
      <c r="J482" s="26">
        <v>50173</v>
      </c>
      <c r="K482" s="26">
        <v>21521</v>
      </c>
      <c r="L482" s="26">
        <v>17858944</v>
      </c>
      <c r="M482" s="26">
        <v>366413</v>
      </c>
      <c r="N482" s="26">
        <v>74626</v>
      </c>
      <c r="O482" s="26">
        <v>613359</v>
      </c>
      <c r="P482" s="26" t="s">
        <v>31</v>
      </c>
      <c r="Q482" s="26" t="s">
        <v>31</v>
      </c>
      <c r="R482" s="26" t="s">
        <v>31</v>
      </c>
      <c r="S482" s="26">
        <v>160642</v>
      </c>
      <c r="T482" s="26">
        <v>115792</v>
      </c>
      <c r="U482" s="26" t="s">
        <v>31</v>
      </c>
      <c r="V482" s="26" t="s">
        <v>31</v>
      </c>
      <c r="W482" s="26">
        <v>96</v>
      </c>
      <c r="X482" s="26" t="s">
        <v>31</v>
      </c>
      <c r="Y482" s="26">
        <v>243435</v>
      </c>
      <c r="Z482" s="26" t="s">
        <v>31</v>
      </c>
      <c r="AA482" s="26" t="s">
        <v>31</v>
      </c>
      <c r="AB482" s="26" t="s">
        <v>31</v>
      </c>
      <c r="AC482" s="26" t="s">
        <v>31</v>
      </c>
      <c r="AD482" s="26" t="s">
        <v>31</v>
      </c>
    </row>
    <row r="483" spans="1:30" x14ac:dyDescent="0.2">
      <c r="A483">
        <f>_xlfn.XLOOKUP(E483,Lookups!$E:$E,Lookups!$F:$F,0)</f>
        <v>0</v>
      </c>
      <c r="B483">
        <v>1</v>
      </c>
      <c r="C483" s="3" t="d">
        <v>2026-07-03</v>
      </c>
      <c r="D483" s="3"/>
      <c r="E483" s="26" t="s">
        <v>667</v>
      </c>
      <c r="F483" s="26" t="s">
        <v>408</v>
      </c>
      <c r="G483" s="26" t="s">
        <v>28</v>
      </c>
      <c r="H483" s="26" t="s">
        <v>46</v>
      </c>
      <c r="I483" s="26">
        <v>87952</v>
      </c>
      <c r="J483" s="26">
        <v>56328</v>
      </c>
      <c r="K483" s="26">
        <v>3080</v>
      </c>
      <c r="L483" s="26">
        <v>13282872</v>
      </c>
      <c r="M483" s="26">
        <v>227792</v>
      </c>
      <c r="N483" s="26">
        <v>671872</v>
      </c>
      <c r="O483" s="26">
        <v>368221</v>
      </c>
      <c r="P483" s="26">
        <v>23</v>
      </c>
      <c r="Q483" s="26">
        <v>1761</v>
      </c>
      <c r="R483" s="26">
        <v>31</v>
      </c>
      <c r="S483" s="26">
        <v>159687</v>
      </c>
      <c r="T483" s="26" t="s">
        <v>31</v>
      </c>
      <c r="U483" s="26">
        <v>3309</v>
      </c>
      <c r="V483" s="26" t="s">
        <v>31</v>
      </c>
      <c r="W483" s="26">
        <v>43</v>
      </c>
      <c r="X483" s="26">
        <v>2557</v>
      </c>
      <c r="Y483" s="26">
        <v>73479</v>
      </c>
      <c r="Z483" s="26">
        <v>526</v>
      </c>
      <c r="AA483" s="26">
        <v>24</v>
      </c>
      <c r="AB483" s="26">
        <v>5</v>
      </c>
      <c r="AC483" s="26">
        <v>647</v>
      </c>
      <c r="AD483" s="26">
        <v>9700.6150383244203</v>
      </c>
    </row>
    <row r="484" spans="1:30" x14ac:dyDescent="0.2">
      <c r="A484">
        <f>_xlfn.XLOOKUP(E484,Lookups!$E:$E,Lookups!$F:$F,0)</f>
        <v>0</v>
      </c>
      <c r="B484">
        <v>1</v>
      </c>
      <c r="C484" s="3" t="d">
        <v>2026-07-03</v>
      </c>
      <c r="D484" s="3"/>
      <c r="E484" s="26" t="s">
        <v>379</v>
      </c>
      <c r="F484" s="26" t="s">
        <v>27</v>
      </c>
      <c r="G484" s="26" t="s">
        <v>28</v>
      </c>
      <c r="H484" s="26" t="s">
        <v>46</v>
      </c>
      <c r="I484" s="26">
        <v>88001</v>
      </c>
      <c r="J484" s="26">
        <v>98153</v>
      </c>
      <c r="K484" s="26">
        <v>37808</v>
      </c>
      <c r="L484" s="26">
        <v>35842807</v>
      </c>
      <c r="M484" s="26">
        <v>12707</v>
      </c>
      <c r="N484" s="26">
        <v>1532010</v>
      </c>
      <c r="O484" s="26">
        <v>613359</v>
      </c>
      <c r="P484" s="26" t="s">
        <v>31</v>
      </c>
      <c r="Q484" s="26" t="s">
        <v>31</v>
      </c>
      <c r="R484" s="26" t="s">
        <v>31</v>
      </c>
      <c r="S484" s="26">
        <v>324102</v>
      </c>
      <c r="T484" s="26">
        <v>347</v>
      </c>
      <c r="U484" s="26">
        <v>133</v>
      </c>
      <c r="V484" s="26">
        <v>15565</v>
      </c>
      <c r="W484" s="26">
        <v>572</v>
      </c>
      <c r="X484" s="26" t="s">
        <v>31</v>
      </c>
      <c r="Y484" s="26">
        <v>97063</v>
      </c>
      <c r="Z484" s="26">
        <v>19653</v>
      </c>
      <c r="AA484" s="26">
        <v>23</v>
      </c>
      <c r="AB484" s="26">
        <v>1</v>
      </c>
      <c r="AC484" s="26">
        <v>16</v>
      </c>
      <c r="AD484" s="26">
        <v>169.35104475495899</v>
      </c>
    </row>
    <row r="485" spans="1:30" x14ac:dyDescent="0.2">
      <c r="A485">
        <f>_xlfn.XLOOKUP(E485,Lookups!$E:$E,Lookups!$F:$F,0)</f>
        <v>0</v>
      </c>
      <c r="B485">
        <v>1</v>
      </c>
      <c r="C485" s="3" t="d">
        <v>2026-07-03</v>
      </c>
      <c r="D485" s="3"/>
      <c r="E485" s="26" t="s">
        <v>477</v>
      </c>
      <c r="F485" s="26" t="s">
        <v>27</v>
      </c>
      <c r="G485" s="26" t="s">
        <v>28</v>
      </c>
      <c r="H485" s="26" t="s">
        <v>40</v>
      </c>
      <c r="I485" s="26">
        <v>88181</v>
      </c>
      <c r="J485" s="26">
        <v>94692</v>
      </c>
      <c r="K485" s="26">
        <v>15563</v>
      </c>
      <c r="L485" s="26">
        <v>10200699</v>
      </c>
      <c r="M485" s="26">
        <v>186514</v>
      </c>
      <c r="N485" s="26">
        <v>631234</v>
      </c>
      <c r="O485" s="26">
        <v>261295</v>
      </c>
      <c r="P485" s="26">
        <v>217</v>
      </c>
      <c r="Q485" s="26">
        <v>19582</v>
      </c>
      <c r="R485" s="26">
        <v>318</v>
      </c>
      <c r="S485" s="26">
        <v>55172</v>
      </c>
      <c r="T485" s="26">
        <v>18819</v>
      </c>
      <c r="U485" s="26">
        <v>8548</v>
      </c>
      <c r="V485" s="26">
        <v>37</v>
      </c>
      <c r="W485" s="26">
        <v>11</v>
      </c>
      <c r="X485" s="26" t="s">
        <v>31</v>
      </c>
      <c r="Y485" s="26">
        <v>380708</v>
      </c>
      <c r="Z485" s="26">
        <v>21419</v>
      </c>
      <c r="AA485" s="26">
        <v>40</v>
      </c>
      <c r="AB485" s="26">
        <v>0</v>
      </c>
      <c r="AC485" s="26">
        <v>0</v>
      </c>
      <c r="AD485" s="26">
        <v>60.0481056396588</v>
      </c>
    </row>
    <row r="486" spans="1:30" x14ac:dyDescent="0.2">
      <c r="A486">
        <f>_xlfn.XLOOKUP(E486,Lookups!$E:$E,Lookups!$F:$F,0)</f>
        <v>0</v>
      </c>
      <c r="B486">
        <v>1</v>
      </c>
      <c r="C486" s="3" t="d">
        <v>2026-07-03</v>
      </c>
      <c r="D486" s="3"/>
      <c r="E486" s="26" t="s">
        <v>309</v>
      </c>
      <c r="F486" s="26" t="s">
        <v>27</v>
      </c>
      <c r="G486" s="26" t="s">
        <v>28</v>
      </c>
      <c r="H486" s="26" t="s">
        <v>46</v>
      </c>
      <c r="I486" s="26">
        <v>88207</v>
      </c>
      <c r="J486" s="26">
        <v>71583</v>
      </c>
      <c r="K486" s="26">
        <v>64578</v>
      </c>
      <c r="L486" s="26">
        <v>24896214</v>
      </c>
      <c r="M486" s="26">
        <v>128184</v>
      </c>
      <c r="N486" s="26">
        <v>177810</v>
      </c>
      <c r="O486" s="26">
        <v>613359</v>
      </c>
      <c r="P486" s="26" t="s">
        <v>31</v>
      </c>
      <c r="Q486" s="26" t="s">
        <v>31</v>
      </c>
      <c r="R486" s="26" t="s">
        <v>31</v>
      </c>
      <c r="S486" s="26">
        <v>141058</v>
      </c>
      <c r="T486" s="26" t="s">
        <v>31</v>
      </c>
      <c r="U486" s="26">
        <v>28077</v>
      </c>
      <c r="V486" s="26" t="s">
        <v>31</v>
      </c>
      <c r="W486" s="26">
        <v>311</v>
      </c>
      <c r="X486" s="26">
        <v>155</v>
      </c>
      <c r="Y486" s="26">
        <v>466238</v>
      </c>
      <c r="Z486" s="26" t="s">
        <v>31</v>
      </c>
      <c r="AA486" s="26" t="s">
        <v>31</v>
      </c>
      <c r="AB486" s="26" t="s">
        <v>31</v>
      </c>
      <c r="AC486" s="26" t="s">
        <v>31</v>
      </c>
      <c r="AD486" s="26" t="s">
        <v>31</v>
      </c>
    </row>
    <row r="487" spans="1:30" x14ac:dyDescent="0.2">
      <c r="A487">
        <f>_xlfn.XLOOKUP(E487,Lookups!$E:$E,Lookups!$F:$F,0)</f>
        <v>0</v>
      </c>
      <c r="B487">
        <v>1</v>
      </c>
      <c r="C487" s="3" t="d">
        <v>2026-07-03</v>
      </c>
      <c r="D487" s="3"/>
      <c r="E487" s="26" t="s">
        <v>668</v>
      </c>
      <c r="F487" s="26" t="s">
        <v>27</v>
      </c>
      <c r="G487" s="26" t="s">
        <v>77</v>
      </c>
      <c r="H487" s="26" t="s">
        <v>46</v>
      </c>
      <c r="I487" s="26">
        <v>88455</v>
      </c>
      <c r="J487" s="26">
        <v>83472</v>
      </c>
      <c r="K487" s="26">
        <v>12982</v>
      </c>
      <c r="L487" s="26">
        <v>8466486</v>
      </c>
      <c r="M487" s="26">
        <v>90656</v>
      </c>
      <c r="N487" s="26">
        <v>90799</v>
      </c>
      <c r="O487" s="26">
        <v>43469</v>
      </c>
      <c r="P487" s="26">
        <v>31700</v>
      </c>
      <c r="Q487" s="26">
        <v>7969770</v>
      </c>
      <c r="R487" s="26">
        <v>64336</v>
      </c>
      <c r="S487" s="26">
        <v>167729</v>
      </c>
      <c r="T487" s="26">
        <v>18153</v>
      </c>
      <c r="U487" s="26">
        <v>19063</v>
      </c>
      <c r="V487" s="26">
        <v>866</v>
      </c>
      <c r="W487" s="26">
        <v>22</v>
      </c>
      <c r="X487" s="26">
        <v>92</v>
      </c>
      <c r="Y487" s="26">
        <v>93382</v>
      </c>
      <c r="Z487" s="26" t="s">
        <v>31</v>
      </c>
      <c r="AA487" s="26" t="s">
        <v>31</v>
      </c>
      <c r="AB487" s="26" t="s">
        <v>31</v>
      </c>
      <c r="AC487" s="26" t="s">
        <v>31</v>
      </c>
      <c r="AD487" s="26" t="s">
        <v>31</v>
      </c>
    </row>
    <row r="488" spans="1:30" x14ac:dyDescent="0.2">
      <c r="A488">
        <f>_xlfn.XLOOKUP(E488,Lookups!$E:$E,Lookups!$F:$F,0)</f>
        <v>0</v>
      </c>
      <c r="B488">
        <v>1</v>
      </c>
      <c r="C488" s="3" t="d">
        <v>2026-07-03</v>
      </c>
      <c r="D488" s="3"/>
      <c r="E488" s="26" t="s">
        <v>669</v>
      </c>
      <c r="F488" s="26" t="s">
        <v>35</v>
      </c>
      <c r="G488" s="26" t="s">
        <v>36</v>
      </c>
      <c r="H488" s="26" t="s">
        <v>46</v>
      </c>
      <c r="I488" s="26">
        <v>88546</v>
      </c>
      <c r="J488" s="26">
        <v>129930</v>
      </c>
      <c r="K488" s="26">
        <v>12213</v>
      </c>
      <c r="L488" s="26">
        <v>6534417</v>
      </c>
      <c r="M488" s="26">
        <v>67707</v>
      </c>
      <c r="N488" s="26">
        <v>6247</v>
      </c>
      <c r="O488" s="26">
        <v>6474</v>
      </c>
      <c r="P488" s="26">
        <v>186000</v>
      </c>
      <c r="Q488" s="26">
        <v>244632301</v>
      </c>
      <c r="R488" s="26">
        <v>4872836</v>
      </c>
      <c r="S488" s="26">
        <v>834709</v>
      </c>
      <c r="T488" s="26" t="s">
        <v>31</v>
      </c>
      <c r="U488" s="26" t="s">
        <v>31</v>
      </c>
      <c r="V488" s="26" t="s">
        <v>31</v>
      </c>
      <c r="W488" s="26">
        <v>85</v>
      </c>
      <c r="X488" s="26" t="s">
        <v>31</v>
      </c>
      <c r="Y488" s="26">
        <v>220731</v>
      </c>
      <c r="Z488" s="26" t="s">
        <v>31</v>
      </c>
      <c r="AA488" s="26" t="s">
        <v>31</v>
      </c>
      <c r="AB488" s="26" t="s">
        <v>31</v>
      </c>
      <c r="AC488" s="26" t="s">
        <v>31</v>
      </c>
      <c r="AD488" s="26" t="s">
        <v>31</v>
      </c>
    </row>
    <row r="489" spans="1:30" x14ac:dyDescent="0.2">
      <c r="A489">
        <f>_xlfn.XLOOKUP(E489,Lookups!$E:$E,Lookups!$F:$F,0)</f>
        <v>0</v>
      </c>
      <c r="B489">
        <v>1</v>
      </c>
      <c r="C489" s="3" t="d">
        <v>2026-07-03</v>
      </c>
      <c r="D489" s="3"/>
      <c r="E489" s="26" t="s">
        <v>670</v>
      </c>
      <c r="F489" s="26" t="s">
        <v>27</v>
      </c>
      <c r="G489" s="26" t="s">
        <v>28</v>
      </c>
      <c r="H489" s="26" t="s">
        <v>46</v>
      </c>
      <c r="I489" s="26">
        <v>88733</v>
      </c>
      <c r="J489" s="26">
        <v>121380</v>
      </c>
      <c r="K489" s="26">
        <v>14873</v>
      </c>
      <c r="L489" s="26">
        <v>10567218</v>
      </c>
      <c r="M489" s="26">
        <v>27730</v>
      </c>
      <c r="N489" s="26">
        <v>139418</v>
      </c>
      <c r="O489" s="26">
        <v>104832</v>
      </c>
      <c r="P489" s="26">
        <v>4200</v>
      </c>
      <c r="Q489" s="26">
        <v>515948</v>
      </c>
      <c r="R489" s="26">
        <v>7478</v>
      </c>
      <c r="S489" s="26">
        <v>41826</v>
      </c>
      <c r="T489" s="26">
        <v>37770</v>
      </c>
      <c r="U489" s="26">
        <v>7698</v>
      </c>
      <c r="V489" s="26">
        <v>97750</v>
      </c>
      <c r="W489" s="26">
        <v>396</v>
      </c>
      <c r="X489" s="26">
        <v>215</v>
      </c>
      <c r="Y489" s="26">
        <v>381957</v>
      </c>
      <c r="Z489" s="26">
        <v>111965</v>
      </c>
      <c r="AA489" s="26">
        <v>6</v>
      </c>
      <c r="AB489" s="26">
        <v>0</v>
      </c>
      <c r="AC489" s="26">
        <v>0</v>
      </c>
      <c r="AD489" s="26">
        <v>4.5246991242760499</v>
      </c>
    </row>
    <row r="490" spans="1:30" x14ac:dyDescent="0.2">
      <c r="A490">
        <f>_xlfn.XLOOKUP(E490,Lookups!$E:$E,Lookups!$F:$F,0)</f>
        <v>0</v>
      </c>
      <c r="B490">
        <v>1</v>
      </c>
      <c r="C490" s="3" t="d">
        <v>2026-07-03</v>
      </c>
      <c r="D490" s="3"/>
      <c r="E490" s="26" t="s">
        <v>464</v>
      </c>
      <c r="F490" s="26" t="s">
        <v>27</v>
      </c>
      <c r="G490" s="26" t="s">
        <v>28</v>
      </c>
      <c r="H490" s="26" t="s">
        <v>46</v>
      </c>
      <c r="I490" s="26">
        <v>88969</v>
      </c>
      <c r="J490" s="26">
        <v>98655</v>
      </c>
      <c r="K490" s="26">
        <v>17788</v>
      </c>
      <c r="L490" s="26">
        <v>5777457</v>
      </c>
      <c r="M490" s="26">
        <v>124718</v>
      </c>
      <c r="N490" s="26">
        <v>98987</v>
      </c>
      <c r="O490" s="26">
        <v>613359</v>
      </c>
      <c r="P490" s="26" t="s">
        <v>31</v>
      </c>
      <c r="Q490" s="26" t="s">
        <v>31</v>
      </c>
      <c r="R490" s="26" t="s">
        <v>31</v>
      </c>
      <c r="S490" s="26">
        <v>46035</v>
      </c>
      <c r="T490" s="26">
        <v>53189</v>
      </c>
      <c r="U490" s="26" t="s">
        <v>31</v>
      </c>
      <c r="V490" s="26" t="s">
        <v>31</v>
      </c>
      <c r="W490" s="26">
        <v>27</v>
      </c>
      <c r="X490" s="26" t="s">
        <v>31</v>
      </c>
      <c r="Y490" s="26">
        <v>445840</v>
      </c>
      <c r="Z490" s="26" t="s">
        <v>31</v>
      </c>
      <c r="AA490" s="26" t="s">
        <v>31</v>
      </c>
      <c r="AB490" s="26" t="s">
        <v>31</v>
      </c>
      <c r="AC490" s="26" t="s">
        <v>31</v>
      </c>
      <c r="AD490" s="26" t="s">
        <v>31</v>
      </c>
    </row>
    <row r="491" spans="1:30" x14ac:dyDescent="0.2">
      <c r="A491">
        <f>_xlfn.XLOOKUP(E491,Lookups!$E:$E,Lookups!$F:$F,0)</f>
        <v>0</v>
      </c>
      <c r="B491">
        <v>1</v>
      </c>
      <c r="C491" s="3" t="d">
        <v>2026-07-03</v>
      </c>
      <c r="D491" s="3"/>
      <c r="E491" s="26" t="s">
        <v>405</v>
      </c>
      <c r="F491" s="26" t="s">
        <v>27</v>
      </c>
      <c r="G491" s="26" t="s">
        <v>28</v>
      </c>
      <c r="H491" s="26" t="s">
        <v>46</v>
      </c>
      <c r="I491" s="26">
        <v>89158</v>
      </c>
      <c r="J491" s="26">
        <v>89928</v>
      </c>
      <c r="K491" s="26">
        <v>30125</v>
      </c>
      <c r="L491" s="26">
        <v>9851981</v>
      </c>
      <c r="M491" s="26">
        <v>107893</v>
      </c>
      <c r="N491" s="26">
        <v>522158</v>
      </c>
      <c r="O491" s="26">
        <v>613359</v>
      </c>
      <c r="P491" s="26" t="s">
        <v>31</v>
      </c>
      <c r="Q491" s="26" t="s">
        <v>31</v>
      </c>
      <c r="R491" s="26" t="s">
        <v>31</v>
      </c>
      <c r="S491" s="26">
        <v>82589</v>
      </c>
      <c r="T491" s="26" t="s">
        <v>31</v>
      </c>
      <c r="U491" s="26">
        <v>15642</v>
      </c>
      <c r="V491" s="26">
        <v>49733</v>
      </c>
      <c r="W491" s="26">
        <v>453</v>
      </c>
      <c r="X491" s="26">
        <v>721</v>
      </c>
      <c r="Y491" s="26">
        <v>138501</v>
      </c>
      <c r="Z491" s="26">
        <v>9181</v>
      </c>
      <c r="AA491" s="26">
        <v>186</v>
      </c>
      <c r="AB491" s="26">
        <v>2</v>
      </c>
      <c r="AC491" s="26">
        <v>8</v>
      </c>
      <c r="AD491" s="26">
        <v>345.58637881662401</v>
      </c>
    </row>
    <row r="492" spans="1:30" x14ac:dyDescent="0.2">
      <c r="A492">
        <f>_xlfn.XLOOKUP(E492,Lookups!$E:$E,Lookups!$F:$F,0)</f>
        <v>0</v>
      </c>
      <c r="B492">
        <v>1</v>
      </c>
      <c r="C492" s="3" t="d">
        <v>2026-07-03</v>
      </c>
      <c r="D492" s="3"/>
      <c r="E492" s="26" t="s">
        <v>333</v>
      </c>
      <c r="F492" s="26" t="s">
        <v>27</v>
      </c>
      <c r="G492" s="26" t="s">
        <v>28</v>
      </c>
      <c r="H492" s="26" t="s">
        <v>46</v>
      </c>
      <c r="I492" s="26">
        <v>89232</v>
      </c>
      <c r="J492" s="26">
        <v>92142</v>
      </c>
      <c r="K492" s="26">
        <v>53023</v>
      </c>
      <c r="L492" s="26">
        <v>19689478</v>
      </c>
      <c r="M492" s="26">
        <v>60396</v>
      </c>
      <c r="N492" s="26">
        <v>752607</v>
      </c>
      <c r="O492" s="26">
        <v>201796</v>
      </c>
      <c r="P492" s="26">
        <v>5</v>
      </c>
      <c r="Q492" s="26">
        <v>705633</v>
      </c>
      <c r="R492" s="26">
        <v>9382</v>
      </c>
      <c r="S492" s="26">
        <v>68782</v>
      </c>
      <c r="T492" s="26" t="s">
        <v>31</v>
      </c>
      <c r="U492" s="26">
        <v>70922</v>
      </c>
      <c r="V492" s="26">
        <v>158806</v>
      </c>
      <c r="W492" s="26">
        <v>2022</v>
      </c>
      <c r="X492" s="26">
        <v>6201</v>
      </c>
      <c r="Y492" s="26">
        <v>141831</v>
      </c>
      <c r="Z492" s="26">
        <v>29527</v>
      </c>
      <c r="AA492" s="26">
        <v>98</v>
      </c>
      <c r="AB492" s="26">
        <v>2</v>
      </c>
      <c r="AC492" s="26">
        <v>18</v>
      </c>
      <c r="AD492" s="26">
        <v>149.16821271000899</v>
      </c>
    </row>
    <row r="493" spans="1:30" x14ac:dyDescent="0.2">
      <c r="A493">
        <f>_xlfn.XLOOKUP(E493,Lookups!$E:$E,Lookups!$F:$F,0)</f>
        <v>0</v>
      </c>
      <c r="B493">
        <v>1</v>
      </c>
      <c r="C493" s="3" t="d">
        <v>2026-07-03</v>
      </c>
      <c r="D493" s="3"/>
      <c r="E493" s="26" t="s">
        <v>671</v>
      </c>
      <c r="F493" s="26" t="s">
        <v>672</v>
      </c>
      <c r="G493" s="26" t="s">
        <v>28</v>
      </c>
      <c r="H493" s="26" t="s">
        <v>415</v>
      </c>
      <c r="I493" s="26">
        <v>90251</v>
      </c>
      <c r="J493" s="26">
        <v>28924</v>
      </c>
      <c r="K493" s="26">
        <v>1376</v>
      </c>
      <c r="L493" s="26">
        <v>24833579</v>
      </c>
      <c r="M493" s="26">
        <v>593176</v>
      </c>
      <c r="N493" s="26">
        <v>1929890</v>
      </c>
      <c r="O493" s="26">
        <v>613359</v>
      </c>
      <c r="P493" s="26" t="s">
        <v>31</v>
      </c>
      <c r="Q493" s="26" t="s">
        <v>31</v>
      </c>
      <c r="R493" s="26" t="s">
        <v>31</v>
      </c>
      <c r="S493" s="26">
        <v>834709</v>
      </c>
      <c r="T493" s="26" t="s">
        <v>31</v>
      </c>
      <c r="U493" s="26" t="s">
        <v>31</v>
      </c>
      <c r="V493" s="26" t="s">
        <v>31</v>
      </c>
      <c r="W493" s="26">
        <v>67</v>
      </c>
      <c r="X493" s="26" t="s">
        <v>31</v>
      </c>
      <c r="Y493" s="26">
        <v>466238</v>
      </c>
      <c r="Z493" s="26">
        <v>1913</v>
      </c>
      <c r="AA493" s="26">
        <v>27</v>
      </c>
      <c r="AB493" s="26">
        <v>2</v>
      </c>
      <c r="AC493" s="26">
        <v>243</v>
      </c>
      <c r="AD493" s="26">
        <v>2338.9447058351502</v>
      </c>
    </row>
    <row r="494" spans="1:30" x14ac:dyDescent="0.2">
      <c r="A494">
        <f>_xlfn.XLOOKUP(E494,Lookups!$E:$E,Lookups!$F:$F,0)</f>
        <v>0</v>
      </c>
      <c r="B494">
        <v>1</v>
      </c>
      <c r="C494" s="3" t="d">
        <v>2026-07-03</v>
      </c>
      <c r="D494" s="3"/>
      <c r="E494" s="26" t="s">
        <v>673</v>
      </c>
      <c r="F494" s="26" t="s">
        <v>593</v>
      </c>
      <c r="G494" s="26" t="s">
        <v>28</v>
      </c>
      <c r="H494" s="26" t="s">
        <v>46</v>
      </c>
      <c r="I494" s="26">
        <v>90273</v>
      </c>
      <c r="J494" s="26">
        <v>123564</v>
      </c>
      <c r="K494" s="26">
        <v>13314</v>
      </c>
      <c r="L494" s="26">
        <v>6638227</v>
      </c>
      <c r="M494" s="26">
        <v>60479</v>
      </c>
      <c r="N494" s="26">
        <v>172581</v>
      </c>
      <c r="O494" s="26">
        <v>40033</v>
      </c>
      <c r="P494" s="26">
        <v>69600</v>
      </c>
      <c r="Q494" s="26">
        <v>13688061</v>
      </c>
      <c r="R494" s="26">
        <v>154827</v>
      </c>
      <c r="S494" s="26">
        <v>74785</v>
      </c>
      <c r="T494" s="26">
        <v>21446</v>
      </c>
      <c r="U494" s="26">
        <v>41092</v>
      </c>
      <c r="V494" s="26">
        <v>1082</v>
      </c>
      <c r="W494" s="26" t="s">
        <v>31</v>
      </c>
      <c r="X494" s="26" t="s">
        <v>31</v>
      </c>
      <c r="Y494" s="26">
        <v>377491</v>
      </c>
      <c r="Z494" s="26" t="s">
        <v>31</v>
      </c>
      <c r="AA494" s="26" t="s">
        <v>31</v>
      </c>
      <c r="AB494" s="26" t="s">
        <v>31</v>
      </c>
      <c r="AC494" s="26" t="s">
        <v>31</v>
      </c>
      <c r="AD494" s="26" t="s">
        <v>31</v>
      </c>
    </row>
    <row r="495" spans="1:30" x14ac:dyDescent="0.2">
      <c r="A495">
        <f>_xlfn.XLOOKUP(E495,Lookups!$E:$E,Lookups!$F:$F,0)</f>
        <v>0</v>
      </c>
      <c r="B495">
        <v>1</v>
      </c>
      <c r="C495" s="3" t="d">
        <v>2026-07-03</v>
      </c>
      <c r="D495" s="3"/>
      <c r="E495" s="26" t="s">
        <v>674</v>
      </c>
      <c r="F495" s="26" t="s">
        <v>27</v>
      </c>
      <c r="G495" s="26" t="s">
        <v>77</v>
      </c>
      <c r="H495" s="26" t="s">
        <v>563</v>
      </c>
      <c r="I495" s="26">
        <v>90277</v>
      </c>
      <c r="J495" s="26">
        <v>278519</v>
      </c>
      <c r="K495" s="26">
        <v>1732</v>
      </c>
      <c r="L495" s="26">
        <v>828093</v>
      </c>
      <c r="M495" s="26">
        <v>4692</v>
      </c>
      <c r="N495" s="26">
        <v>95</v>
      </c>
      <c r="O495" s="26">
        <v>613359</v>
      </c>
      <c r="P495" s="26" t="s">
        <v>31</v>
      </c>
      <c r="Q495" s="26" t="s">
        <v>31</v>
      </c>
      <c r="R495" s="26" t="s">
        <v>31</v>
      </c>
      <c r="S495" s="26">
        <v>20160</v>
      </c>
      <c r="T495" s="26" t="s">
        <v>31</v>
      </c>
      <c r="U495" s="26" t="s">
        <v>31</v>
      </c>
      <c r="V495" s="26">
        <v>914953</v>
      </c>
      <c r="W495" s="26">
        <v>4</v>
      </c>
      <c r="X495" s="26">
        <v>105</v>
      </c>
      <c r="Y495" s="26">
        <v>411643</v>
      </c>
      <c r="Z495" s="26" t="s">
        <v>31</v>
      </c>
      <c r="AA495" s="26" t="s">
        <v>31</v>
      </c>
      <c r="AB495" s="26" t="s">
        <v>31</v>
      </c>
      <c r="AC495" s="26" t="s">
        <v>31</v>
      </c>
      <c r="AD495" s="26" t="s">
        <v>31</v>
      </c>
    </row>
    <row r="496" spans="1:30" x14ac:dyDescent="0.2">
      <c r="A496">
        <f>_xlfn.XLOOKUP(E496,Lookups!$E:$E,Lookups!$F:$F,0)</f>
        <v>0</v>
      </c>
      <c r="B496">
        <v>1</v>
      </c>
      <c r="C496" s="3" t="d">
        <v>2026-07-03</v>
      </c>
      <c r="D496" s="3"/>
      <c r="E496" s="26" t="s">
        <v>675</v>
      </c>
      <c r="F496" s="26" t="s">
        <v>27</v>
      </c>
      <c r="G496" s="26" t="s">
        <v>28</v>
      </c>
      <c r="H496" s="26" t="s">
        <v>46</v>
      </c>
      <c r="I496" s="26">
        <v>90486</v>
      </c>
      <c r="J496" s="26">
        <v>201323</v>
      </c>
      <c r="K496" s="26">
        <v>3749</v>
      </c>
      <c r="L496" s="26">
        <v>1899890</v>
      </c>
      <c r="M496" s="26">
        <v>25970</v>
      </c>
      <c r="N496" s="26">
        <v>3897</v>
      </c>
      <c r="O496" s="26">
        <v>34640</v>
      </c>
      <c r="P496" s="26">
        <v>29100</v>
      </c>
      <c r="Q496" s="26">
        <v>14770367</v>
      </c>
      <c r="R496" s="26">
        <v>44761</v>
      </c>
      <c r="S496" s="26">
        <v>102030</v>
      </c>
      <c r="T496" s="26">
        <v>5410</v>
      </c>
      <c r="U496" s="26">
        <v>6889</v>
      </c>
      <c r="V496" s="26">
        <v>63647</v>
      </c>
      <c r="W496" s="26">
        <v>6</v>
      </c>
      <c r="X496" s="26">
        <v>19</v>
      </c>
      <c r="Y496" s="26">
        <v>158346</v>
      </c>
      <c r="Z496" s="26" t="s">
        <v>31</v>
      </c>
      <c r="AA496" s="26" t="s">
        <v>31</v>
      </c>
      <c r="AB496" s="26" t="s">
        <v>31</v>
      </c>
      <c r="AC496" s="26" t="s">
        <v>31</v>
      </c>
      <c r="AD496" s="26" t="s">
        <v>31</v>
      </c>
    </row>
    <row r="497" spans="1:30" x14ac:dyDescent="0.2">
      <c r="A497">
        <f>_xlfn.XLOOKUP(E497,Lookups!$E:$E,Lookups!$F:$F,0)</f>
        <v>0</v>
      </c>
      <c r="B497">
        <v>1</v>
      </c>
      <c r="C497" s="3" t="d">
        <v>2026-07-03</v>
      </c>
      <c r="D497" s="3"/>
      <c r="E497" s="26" t="s">
        <v>257</v>
      </c>
      <c r="F497" s="26" t="s">
        <v>27</v>
      </c>
      <c r="G497" s="26" t="s">
        <v>28</v>
      </c>
      <c r="H497" s="26" t="s">
        <v>37</v>
      </c>
      <c r="I497" s="26">
        <v>90679</v>
      </c>
      <c r="J497" s="26">
        <v>79669</v>
      </c>
      <c r="K497" s="26">
        <v>105012</v>
      </c>
      <c r="L497" s="26">
        <v>20059229</v>
      </c>
      <c r="M497" s="26">
        <v>70862</v>
      </c>
      <c r="N497" s="26">
        <v>155142</v>
      </c>
      <c r="O497" s="26">
        <v>613359</v>
      </c>
      <c r="P497" s="26" t="s">
        <v>31</v>
      </c>
      <c r="Q497" s="26" t="s">
        <v>31</v>
      </c>
      <c r="R497" s="26" t="s">
        <v>31</v>
      </c>
      <c r="S497" s="26">
        <v>172768</v>
      </c>
      <c r="T497" s="26">
        <v>6862</v>
      </c>
      <c r="U497" s="26">
        <v>21733</v>
      </c>
      <c r="V497" s="26">
        <v>1605</v>
      </c>
      <c r="W497" s="26">
        <v>716</v>
      </c>
      <c r="X497" s="26">
        <v>12</v>
      </c>
      <c r="Y497" s="26">
        <v>197385</v>
      </c>
      <c r="Z497" s="26">
        <v>28786</v>
      </c>
      <c r="AA497" s="26">
        <v>121</v>
      </c>
      <c r="AB497" s="26">
        <v>0</v>
      </c>
      <c r="AC497" s="26">
        <v>0</v>
      </c>
      <c r="AD497" s="26">
        <v>108.04116237343101</v>
      </c>
    </row>
    <row r="498" spans="1:30" x14ac:dyDescent="0.2">
      <c r="A498">
        <f>_xlfn.XLOOKUP(E498,Lookups!$E:$E,Lookups!$F:$F,0)</f>
        <v>0</v>
      </c>
      <c r="B498">
        <v>1</v>
      </c>
      <c r="C498" s="3" t="d">
        <v>2026-07-03</v>
      </c>
      <c r="D498" s="3"/>
      <c r="E498" s="26" t="s">
        <v>676</v>
      </c>
      <c r="F498" s="26" t="s">
        <v>27</v>
      </c>
      <c r="G498" s="26" t="s">
        <v>77</v>
      </c>
      <c r="H498" s="26" t="s">
        <v>46</v>
      </c>
      <c r="I498" s="26">
        <v>91171</v>
      </c>
      <c r="J498" s="26">
        <v>64660</v>
      </c>
      <c r="K498" s="26">
        <v>11913</v>
      </c>
      <c r="L498" s="26">
        <v>17437049</v>
      </c>
      <c r="M498" s="26">
        <v>275494</v>
      </c>
      <c r="N498" s="26">
        <v>264038</v>
      </c>
      <c r="O498" s="26">
        <v>116249</v>
      </c>
      <c r="P498" s="26">
        <v>1070</v>
      </c>
      <c r="Q498" s="26">
        <v>10057</v>
      </c>
      <c r="R498" s="26">
        <v>397</v>
      </c>
      <c r="S498" s="26">
        <v>71384</v>
      </c>
      <c r="T498" s="26">
        <v>1022</v>
      </c>
      <c r="U498" s="26">
        <v>3125</v>
      </c>
      <c r="V498" s="26" t="s">
        <v>31</v>
      </c>
      <c r="W498" s="26">
        <v>32</v>
      </c>
      <c r="X498" s="26">
        <v>241</v>
      </c>
      <c r="Y498" s="26">
        <v>170405</v>
      </c>
      <c r="Z498" s="26" t="s">
        <v>31</v>
      </c>
      <c r="AA498" s="26" t="s">
        <v>31</v>
      </c>
      <c r="AB498" s="26" t="s">
        <v>31</v>
      </c>
      <c r="AC498" s="26" t="s">
        <v>31</v>
      </c>
      <c r="AD498" s="26" t="s">
        <v>31</v>
      </c>
    </row>
    <row r="499" spans="1:30" x14ac:dyDescent="0.2">
      <c r="A499">
        <f>_xlfn.XLOOKUP(E499,Lookups!$E:$E,Lookups!$F:$F,0)</f>
        <v>0</v>
      </c>
      <c r="B499">
        <v>1</v>
      </c>
      <c r="C499" s="3" t="d">
        <v>2026-07-03</v>
      </c>
      <c r="D499" s="3"/>
      <c r="E499" s="26" t="s">
        <v>677</v>
      </c>
      <c r="F499" s="26" t="s">
        <v>27</v>
      </c>
      <c r="G499" s="26" t="s">
        <v>131</v>
      </c>
      <c r="H499" s="26" t="s">
        <v>46</v>
      </c>
      <c r="I499" s="26">
        <v>91459</v>
      </c>
      <c r="J499" s="26">
        <v>238207</v>
      </c>
      <c r="K499" s="26">
        <v>2277</v>
      </c>
      <c r="L499" s="26">
        <v>1260565</v>
      </c>
      <c r="M499" s="26">
        <v>5384</v>
      </c>
      <c r="N499" s="26">
        <v>56786</v>
      </c>
      <c r="O499" s="26">
        <v>613359</v>
      </c>
      <c r="P499" s="26" t="s">
        <v>31</v>
      </c>
      <c r="Q499" s="26" t="s">
        <v>31</v>
      </c>
      <c r="R499" s="26" t="s">
        <v>31</v>
      </c>
      <c r="S499" s="26">
        <v>19878</v>
      </c>
      <c r="T499" s="26">
        <v>318920</v>
      </c>
      <c r="U499" s="26">
        <v>76460</v>
      </c>
      <c r="V499" s="26">
        <v>49772</v>
      </c>
      <c r="W499" s="26">
        <v>65</v>
      </c>
      <c r="X499" s="26" t="s">
        <v>31</v>
      </c>
      <c r="Y499" s="26">
        <v>364608</v>
      </c>
      <c r="Z499" s="26">
        <v>52564</v>
      </c>
      <c r="AA499" s="26">
        <v>38</v>
      </c>
      <c r="AB499" s="26">
        <v>0</v>
      </c>
      <c r="AC499" s="26">
        <v>0</v>
      </c>
      <c r="AD499" s="26">
        <v>37.167219441548703</v>
      </c>
    </row>
  </sheetData>
  <autoFilter ref="A1:AD499" xr:uid="{00000000-0001-0000-0000-000000000000}"/>
  <conditionalFormatting sqref="E2:E499">
    <cfRule type="duplicateValues" dxfId="0" priority="15"/>
  </conditionalFormatting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7CE0-6BA2-7341-AA17-D9914D3765D7}">
  <sheetPr>
    <tabColor theme="0"/>
  </sheetPr>
  <dimension ref="A1:AH513"/>
  <sheetViews>
    <sheetView zoomScale="125" zoomScaleNormal="87" workbookViewId="0">
      <pane ySplit="1" topLeftCell="A463" activePane="bottomLeft" state="frozen"/>
      <selection pane="bottomLeft" activeCell="D510" sqref="D510"/>
    </sheetView>
  </sheetViews>
  <sheetFormatPr baseColWidth="10" defaultRowHeight="16" x14ac:dyDescent="0.2"/>
  <cols>
    <col min="1" max="3" width="10.83203125" style="10"/>
    <col min="4" max="4" width="15" style="10" bestFit="1" customWidth="1"/>
    <col min="5" max="5" width="11" style="10" bestFit="1" customWidth="1"/>
    <col min="6" max="6" width="20.1640625" style="10" bestFit="1" customWidth="1"/>
    <col min="7" max="7" width="22.1640625" style="10" bestFit="1" customWidth="1"/>
    <col min="8" max="8" width="19" style="10" bestFit="1" customWidth="1"/>
    <col min="9" max="9" width="20.83203125" style="10" bestFit="1" customWidth="1"/>
    <col min="10" max="10" width="27" style="10" bestFit="1" customWidth="1"/>
    <col min="11" max="34" width="11" style="10" bestFit="1" customWidth="1"/>
    <col min="35" max="16384" width="10.83203125" style="10"/>
  </cols>
  <sheetData>
    <row r="1" spans="1:34" x14ac:dyDescent="0.2">
      <c r="A1" s="12" t="s">
        <v>541</v>
      </c>
      <c r="B1" s="12" t="s">
        <v>528</v>
      </c>
      <c r="C1" s="11" t="s">
        <v>494</v>
      </c>
      <c r="D1" s="10" t="s">
        <v>480</v>
      </c>
      <c r="E1" s="10" t="s">
        <v>484</v>
      </c>
      <c r="F1" s="10" t="s">
        <v>481</v>
      </c>
      <c r="G1" s="10" t="s">
        <v>527</v>
      </c>
      <c r="H1" s="10" t="s">
        <v>526</v>
      </c>
      <c r="I1" s="10" t="s">
        <v>525</v>
      </c>
      <c r="J1" s="10" t="s">
        <v>524</v>
      </c>
      <c r="K1" s="10" t="s">
        <v>523</v>
      </c>
      <c r="L1" s="10" t="s">
        <v>522</v>
      </c>
      <c r="M1" s="10" t="s">
        <v>521</v>
      </c>
      <c r="N1" s="10" t="s">
        <v>520</v>
      </c>
      <c r="O1" s="10" t="s">
        <v>519</v>
      </c>
      <c r="P1" s="10" t="s">
        <v>518</v>
      </c>
      <c r="Q1" s="10" t="s">
        <v>517</v>
      </c>
      <c r="R1" s="10" t="s">
        <v>516</v>
      </c>
      <c r="S1" s="10" t="s">
        <v>515</v>
      </c>
      <c r="T1" s="10" t="s">
        <v>514</v>
      </c>
      <c r="U1" s="10" t="s">
        <v>513</v>
      </c>
      <c r="V1" s="10" t="s">
        <v>512</v>
      </c>
      <c r="W1" s="10" t="s">
        <v>511</v>
      </c>
      <c r="X1" s="10" t="s">
        <v>510</v>
      </c>
      <c r="Y1" s="10" t="s">
        <v>509</v>
      </c>
      <c r="Z1" s="10" t="s">
        <v>508</v>
      </c>
      <c r="AA1" s="10" t="s">
        <v>507</v>
      </c>
      <c r="AB1" s="10" t="s">
        <v>506</v>
      </c>
      <c r="AC1" s="10" t="s">
        <v>505</v>
      </c>
      <c r="AD1" s="10" t="s">
        <v>504</v>
      </c>
      <c r="AE1" s="10" t="s">
        <v>503</v>
      </c>
      <c r="AF1" s="10" t="s">
        <v>502</v>
      </c>
      <c r="AG1" s="10" t="s">
        <v>501</v>
      </c>
      <c r="AH1" s="10" t="s">
        <v>500</v>
      </c>
    </row>
    <row r="2" spans="1:34" x14ac:dyDescent="0.2">
      <c r="A2" s="10">
        <f>YEAR(E2)</f>
        <v>2024</v>
      </c>
      <c r="B2" s="10">
        <f>MONTH(E2)</f>
        <v>7</v>
      </c>
      <c r="D2" s="10" t="s">
        <v>26</v>
      </c>
      <c r="E2" s="25" t="d">
        <v>2024-07-01</v>
      </c>
      <c r="F2" s="26">
        <v>3943718</v>
      </c>
      <c r="G2" s="26">
        <v>140077</v>
      </c>
      <c r="H2" s="26">
        <v>505367451</v>
      </c>
      <c r="I2" s="26">
        <v>21673764</v>
      </c>
      <c r="J2" s="26">
        <v>2333784</v>
      </c>
      <c r="K2" s="26">
        <v>182763</v>
      </c>
      <c r="L2" s="26">
        <v>372700</v>
      </c>
      <c r="M2" s="26">
        <v>8900</v>
      </c>
      <c r="N2" s="26">
        <v>280100</v>
      </c>
      <c r="O2" s="26">
        <v>4200</v>
      </c>
      <c r="P2" s="26">
        <v>60900</v>
      </c>
      <c r="Q2" s="26">
        <v>0</v>
      </c>
      <c r="R2" s="26">
        <v>335331667</v>
      </c>
      <c r="S2" s="26">
        <v>8542027</v>
      </c>
      <c r="T2" s="26">
        <v>2708658</v>
      </c>
      <c r="U2" s="26">
        <v>61564</v>
      </c>
      <c r="V2" s="26">
        <v>792000</v>
      </c>
      <c r="W2" s="26">
        <v>29262</v>
      </c>
      <c r="X2" s="26">
        <v>1316</v>
      </c>
      <c r="Y2" s="26" t="s">
        <v>31</v>
      </c>
      <c r="Z2" s="26" t="s">
        <v>31</v>
      </c>
      <c r="AA2" s="26">
        <v>2002234</v>
      </c>
      <c r="AB2" s="26">
        <v>4965</v>
      </c>
      <c r="AC2" s="26">
        <v>21773</v>
      </c>
      <c r="AD2" s="26">
        <v>196</v>
      </c>
      <c r="AE2" s="26" t="s">
        <v>31</v>
      </c>
      <c r="AF2" s="26" t="s">
        <v>31</v>
      </c>
      <c r="AG2" s="26">
        <v>212779</v>
      </c>
      <c r="AH2" s="26">
        <v>550</v>
      </c>
    </row>
    <row r="3" spans="1:34" x14ac:dyDescent="0.2">
      <c r="A3" s="10">
        <f t="shared" ref="A3:A66" si="0">YEAR(E3)</f>
        <v>2024</v>
      </c>
      <c r="B3" s="10">
        <f t="shared" ref="B3:B66" si="1">MONTH(E3)</f>
        <v>8</v>
      </c>
      <c r="D3" s="10" t="s">
        <v>26</v>
      </c>
      <c r="E3" s="25" t="d">
        <v>2024-08-01</v>
      </c>
      <c r="F3" s="26">
        <v>4127443</v>
      </c>
      <c r="G3" s="26">
        <v>183725</v>
      </c>
      <c r="H3" s="26">
        <v>526843061</v>
      </c>
      <c r="I3" s="26">
        <v>21244619</v>
      </c>
      <c r="J3" s="26">
        <v>2250150</v>
      </c>
      <c r="K3" s="26">
        <v>-83634</v>
      </c>
      <c r="L3" s="26">
        <v>379000</v>
      </c>
      <c r="M3" s="26">
        <v>6300</v>
      </c>
      <c r="N3" s="26">
        <v>283100</v>
      </c>
      <c r="O3" s="26">
        <v>3000</v>
      </c>
      <c r="P3" s="26">
        <v>60800</v>
      </c>
      <c r="Q3" s="26">
        <v>-100</v>
      </c>
      <c r="R3" s="26">
        <v>342904757</v>
      </c>
      <c r="S3" s="26">
        <v>7573090</v>
      </c>
      <c r="T3" s="26">
        <v>2731941</v>
      </c>
      <c r="U3" s="26">
        <v>23283</v>
      </c>
      <c r="V3" s="26">
        <v>405000</v>
      </c>
      <c r="W3" s="26">
        <v>30451</v>
      </c>
      <c r="X3" s="26">
        <v>1189</v>
      </c>
      <c r="Y3" s="26" t="s">
        <v>31</v>
      </c>
      <c r="Z3" s="26" t="s">
        <v>31</v>
      </c>
      <c r="AA3" s="26">
        <v>2002830</v>
      </c>
      <c r="AB3" s="26">
        <v>596</v>
      </c>
      <c r="AC3" s="26">
        <v>21926</v>
      </c>
      <c r="AD3" s="26">
        <v>153</v>
      </c>
      <c r="AE3" s="26" t="s">
        <v>31</v>
      </c>
      <c r="AF3" s="26" t="s">
        <v>31</v>
      </c>
      <c r="AG3" s="26">
        <v>213294</v>
      </c>
      <c r="AH3" s="26">
        <v>515</v>
      </c>
    </row>
    <row r="4" spans="1:34" x14ac:dyDescent="0.2">
      <c r="A4" s="10">
        <f t="shared" si="0"/>
        <v>2024</v>
      </c>
      <c r="B4" s="10">
        <f t="shared" si="1"/>
        <v>9</v>
      </c>
      <c r="D4" s="10" t="s">
        <v>26</v>
      </c>
      <c r="E4" s="25" t="d">
        <v>2024-09-01</v>
      </c>
      <c r="F4" s="26">
        <v>4372153</v>
      </c>
      <c r="G4" s="26">
        <v>244710</v>
      </c>
      <c r="H4" s="26">
        <v>547725136</v>
      </c>
      <c r="I4" s="26">
        <v>20684894</v>
      </c>
      <c r="J4" s="26">
        <v>2299229</v>
      </c>
      <c r="K4" s="26">
        <v>49079</v>
      </c>
      <c r="L4" s="26">
        <v>384700</v>
      </c>
      <c r="M4" s="26">
        <v>5700</v>
      </c>
      <c r="N4" s="26">
        <v>285500</v>
      </c>
      <c r="O4" s="26">
        <v>2400</v>
      </c>
      <c r="P4" s="26">
        <v>60800</v>
      </c>
      <c r="Q4" s="26">
        <v>0</v>
      </c>
      <c r="R4" s="26">
        <v>351402707</v>
      </c>
      <c r="S4" s="26">
        <v>8497951</v>
      </c>
      <c r="T4" s="26">
        <v>2744429</v>
      </c>
      <c r="U4" s="26">
        <v>12488</v>
      </c>
      <c r="V4" s="26">
        <v>149000</v>
      </c>
      <c r="W4" s="26">
        <v>31695</v>
      </c>
      <c r="X4" s="26">
        <v>1244</v>
      </c>
      <c r="Y4" s="26" t="s">
        <v>31</v>
      </c>
      <c r="Z4" s="26" t="s">
        <v>31</v>
      </c>
      <c r="AA4" s="26">
        <v>2003989</v>
      </c>
      <c r="AB4" s="26">
        <v>1159</v>
      </c>
      <c r="AC4" s="26">
        <v>22080</v>
      </c>
      <c r="AD4" s="26">
        <v>154</v>
      </c>
      <c r="AE4" s="26" t="s">
        <v>31</v>
      </c>
      <c r="AF4" s="26" t="s">
        <v>31</v>
      </c>
      <c r="AG4" s="26">
        <v>213834</v>
      </c>
      <c r="AH4" s="26">
        <v>540</v>
      </c>
    </row>
    <row r="5" spans="1:34" x14ac:dyDescent="0.2">
      <c r="A5" s="10">
        <f t="shared" si="0"/>
        <v>2024</v>
      </c>
      <c r="B5" s="10">
        <f t="shared" si="1"/>
        <v>10</v>
      </c>
      <c r="D5" s="10" t="s">
        <v>26</v>
      </c>
      <c r="E5" s="25" t="d">
        <v>2024-10-01</v>
      </c>
      <c r="F5" s="26">
        <v>4588310</v>
      </c>
      <c r="G5" s="26">
        <v>216157</v>
      </c>
      <c r="H5" s="26">
        <v>568595248</v>
      </c>
      <c r="I5" s="26">
        <v>20477035</v>
      </c>
      <c r="J5" s="26">
        <v>2291205</v>
      </c>
      <c r="K5" s="26">
        <v>-8024</v>
      </c>
      <c r="L5" s="26">
        <v>387840</v>
      </c>
      <c r="M5" s="26">
        <v>3140</v>
      </c>
      <c r="N5" s="26">
        <v>285500</v>
      </c>
      <c r="O5" s="26">
        <v>0</v>
      </c>
      <c r="P5" s="26">
        <v>60800</v>
      </c>
      <c r="Q5" s="26">
        <v>0</v>
      </c>
      <c r="R5" s="26">
        <v>359187005</v>
      </c>
      <c r="S5" s="26">
        <v>7784298</v>
      </c>
      <c r="T5" s="26">
        <v>2787904</v>
      </c>
      <c r="U5" s="26">
        <v>43475</v>
      </c>
      <c r="V5" s="26">
        <v>195552</v>
      </c>
      <c r="W5" s="26">
        <v>33004</v>
      </c>
      <c r="X5" s="26">
        <v>1309</v>
      </c>
      <c r="Y5" s="26" t="s">
        <v>31</v>
      </c>
      <c r="Z5" s="26" t="s">
        <v>31</v>
      </c>
      <c r="AA5" s="26">
        <v>2006996</v>
      </c>
      <c r="AB5" s="26">
        <v>3007</v>
      </c>
      <c r="AC5" s="26">
        <v>22169</v>
      </c>
      <c r="AD5" s="26">
        <v>89</v>
      </c>
      <c r="AE5" s="26" t="s">
        <v>31</v>
      </c>
      <c r="AF5" s="26" t="s">
        <v>31</v>
      </c>
      <c r="AG5" s="26">
        <v>214307</v>
      </c>
      <c r="AH5" s="26">
        <v>473</v>
      </c>
    </row>
    <row r="6" spans="1:34" x14ac:dyDescent="0.2">
      <c r="A6" s="10">
        <f t="shared" si="0"/>
        <v>2024</v>
      </c>
      <c r="B6" s="10">
        <f t="shared" si="1"/>
        <v>11</v>
      </c>
      <c r="D6" s="10" t="s">
        <v>26</v>
      </c>
      <c r="E6" s="25" t="d">
        <v>2024-11-01</v>
      </c>
      <c r="F6" s="26">
        <v>4782667</v>
      </c>
      <c r="G6" s="26">
        <v>194357</v>
      </c>
      <c r="H6" s="26">
        <v>590437778</v>
      </c>
      <c r="I6" s="26">
        <v>21316090</v>
      </c>
      <c r="J6" s="26">
        <v>2355684</v>
      </c>
      <c r="K6" s="26">
        <v>64479</v>
      </c>
      <c r="L6" s="26">
        <v>398750</v>
      </c>
      <c r="M6" s="26">
        <v>10910</v>
      </c>
      <c r="N6" s="26">
        <v>285500</v>
      </c>
      <c r="O6" s="26">
        <v>0</v>
      </c>
      <c r="P6" s="26">
        <v>300000</v>
      </c>
      <c r="Q6" s="26">
        <v>239200</v>
      </c>
      <c r="R6" s="26">
        <v>367357077</v>
      </c>
      <c r="S6" s="26">
        <v>7985247</v>
      </c>
      <c r="T6" s="26">
        <v>2814694</v>
      </c>
      <c r="U6" s="26">
        <v>26790</v>
      </c>
      <c r="V6" s="26">
        <v>558243</v>
      </c>
      <c r="W6" s="26">
        <v>34450</v>
      </c>
      <c r="X6" s="26">
        <v>1446</v>
      </c>
      <c r="Y6" s="26" t="s">
        <v>31</v>
      </c>
      <c r="Z6" s="26" t="s">
        <v>31</v>
      </c>
      <c r="AA6" s="26">
        <v>2010197</v>
      </c>
      <c r="AB6" s="26">
        <v>3201</v>
      </c>
      <c r="AC6" s="26">
        <v>22265</v>
      </c>
      <c r="AD6" s="26">
        <v>96</v>
      </c>
      <c r="AE6" s="26">
        <v>500547</v>
      </c>
      <c r="AF6" s="26">
        <v>255</v>
      </c>
      <c r="AG6" s="26">
        <v>214836</v>
      </c>
      <c r="AH6" s="26">
        <v>529</v>
      </c>
    </row>
    <row r="7" spans="1:34" x14ac:dyDescent="0.2">
      <c r="A7" s="10">
        <f t="shared" si="0"/>
        <v>2024</v>
      </c>
      <c r="B7" s="10">
        <f t="shared" si="1"/>
        <v>12</v>
      </c>
      <c r="D7" s="10" t="s">
        <v>26</v>
      </c>
      <c r="E7" s="25" t="d">
        <v>2024-12-01</v>
      </c>
      <c r="F7" s="26">
        <v>4993026</v>
      </c>
      <c r="G7" s="26">
        <v>210359</v>
      </c>
      <c r="H7" s="26">
        <v>614900690</v>
      </c>
      <c r="I7" s="26">
        <v>24191321</v>
      </c>
      <c r="J7" s="26">
        <v>2633727</v>
      </c>
      <c r="K7" s="26">
        <v>278043</v>
      </c>
      <c r="L7" s="26">
        <v>404700</v>
      </c>
      <c r="M7" s="26">
        <v>5950</v>
      </c>
      <c r="N7" s="26">
        <v>295700</v>
      </c>
      <c r="O7" s="26">
        <v>10200</v>
      </c>
      <c r="P7" s="26">
        <v>325000</v>
      </c>
      <c r="Q7" s="26">
        <v>25000</v>
      </c>
      <c r="R7" s="26">
        <v>377085048</v>
      </c>
      <c r="S7" s="26">
        <v>9727971</v>
      </c>
      <c r="T7" s="26">
        <v>2843408</v>
      </c>
      <c r="U7" s="26">
        <v>28714</v>
      </c>
      <c r="V7" s="26">
        <v>413466</v>
      </c>
      <c r="W7" s="26">
        <v>35805</v>
      </c>
      <c r="X7" s="26">
        <v>1355</v>
      </c>
      <c r="Y7" s="26" t="s">
        <v>31</v>
      </c>
      <c r="Z7" s="26" t="s">
        <v>31</v>
      </c>
      <c r="AA7" s="26">
        <v>2016647</v>
      </c>
      <c r="AB7" s="26">
        <v>6450</v>
      </c>
      <c r="AC7" s="26">
        <v>22345</v>
      </c>
      <c r="AD7" s="26">
        <v>80</v>
      </c>
      <c r="AE7" s="26">
        <v>507420</v>
      </c>
      <c r="AF7" s="26">
        <v>6873</v>
      </c>
      <c r="AG7" s="26">
        <v>215431</v>
      </c>
      <c r="AH7" s="26">
        <v>595</v>
      </c>
    </row>
    <row r="8" spans="1:34" x14ac:dyDescent="0.2">
      <c r="A8" s="10">
        <f t="shared" si="0"/>
        <v>2025</v>
      </c>
      <c r="B8" s="10">
        <f t="shared" si="1"/>
        <v>1</v>
      </c>
      <c r="D8" s="10" t="s">
        <v>26</v>
      </c>
      <c r="E8" s="25" t="d">
        <v>2025-01-01</v>
      </c>
      <c r="F8" s="26">
        <v>5222714</v>
      </c>
      <c r="G8" s="26">
        <v>229688</v>
      </c>
      <c r="H8" s="26">
        <v>643747228</v>
      </c>
      <c r="I8" s="26">
        <v>28325229</v>
      </c>
      <c r="J8" s="26">
        <v>3088574</v>
      </c>
      <c r="K8" s="26">
        <v>454847</v>
      </c>
      <c r="L8" s="26">
        <v>408700</v>
      </c>
      <c r="M8" s="26">
        <v>4000</v>
      </c>
      <c r="N8" s="26">
        <v>297200</v>
      </c>
      <c r="O8" s="26">
        <v>1500</v>
      </c>
      <c r="P8" s="26">
        <v>350000</v>
      </c>
      <c r="Q8" s="26">
        <v>25000</v>
      </c>
      <c r="R8" s="26">
        <v>388456111</v>
      </c>
      <c r="S8" s="26">
        <v>11310425</v>
      </c>
      <c r="T8" s="26">
        <v>2869736</v>
      </c>
      <c r="U8" s="26">
        <v>26328</v>
      </c>
      <c r="V8" s="26">
        <v>353867</v>
      </c>
      <c r="W8" s="26">
        <v>37226</v>
      </c>
      <c r="X8" s="26">
        <v>1421</v>
      </c>
      <c r="Y8" s="26" t="s">
        <v>31</v>
      </c>
      <c r="Z8" s="26" t="s">
        <v>31</v>
      </c>
      <c r="AA8" s="26">
        <v>2019042</v>
      </c>
      <c r="AB8" s="26">
        <v>2395</v>
      </c>
      <c r="AC8" s="26">
        <v>22416</v>
      </c>
      <c r="AD8" s="26">
        <v>71</v>
      </c>
      <c r="AE8" s="26">
        <v>515239</v>
      </c>
      <c r="AF8" s="26">
        <v>7584</v>
      </c>
      <c r="AG8" s="26">
        <v>216084</v>
      </c>
      <c r="AH8" s="26">
        <v>653</v>
      </c>
    </row>
    <row r="9" spans="1:34" x14ac:dyDescent="0.2">
      <c r="A9" s="10">
        <f t="shared" si="0"/>
        <v>2025</v>
      </c>
      <c r="B9" s="10">
        <f t="shared" si="1"/>
        <v>2</v>
      </c>
      <c r="D9" s="10" t="s">
        <v>26</v>
      </c>
      <c r="E9" s="25" t="d">
        <v>2025-02-01</v>
      </c>
      <c r="F9" s="26">
        <v>5387842</v>
      </c>
      <c r="G9" s="26">
        <v>165128</v>
      </c>
      <c r="H9" s="26">
        <v>664769093</v>
      </c>
      <c r="I9" s="26">
        <v>21021865</v>
      </c>
      <c r="J9" s="26">
        <v>2419870</v>
      </c>
      <c r="K9" s="26">
        <v>-668704</v>
      </c>
      <c r="L9" s="26">
        <v>408700</v>
      </c>
      <c r="M9" s="26">
        <v>0</v>
      </c>
      <c r="N9" s="26">
        <v>297200</v>
      </c>
      <c r="O9" s="26">
        <v>0</v>
      </c>
      <c r="P9" s="26">
        <v>363000</v>
      </c>
      <c r="Q9" s="26">
        <v>13000</v>
      </c>
      <c r="R9" s="26">
        <v>395696594</v>
      </c>
      <c r="S9" s="26">
        <v>7240483</v>
      </c>
      <c r="T9" s="26">
        <v>2884863</v>
      </c>
      <c r="U9" s="26">
        <v>15127</v>
      </c>
      <c r="V9" s="26">
        <v>177250</v>
      </c>
      <c r="W9" s="26">
        <v>38623</v>
      </c>
      <c r="X9" s="26">
        <v>1397</v>
      </c>
      <c r="Y9" s="26" t="s">
        <v>31</v>
      </c>
      <c r="Z9" s="26" t="s">
        <v>31</v>
      </c>
      <c r="AA9" s="26">
        <v>2019410</v>
      </c>
      <c r="AB9" s="26">
        <v>368</v>
      </c>
      <c r="AC9" s="26">
        <v>22495</v>
      </c>
      <c r="AD9" s="26">
        <v>79</v>
      </c>
      <c r="AE9" s="26">
        <v>523021</v>
      </c>
      <c r="AF9" s="26">
        <v>7782</v>
      </c>
      <c r="AG9" s="26">
        <v>216569</v>
      </c>
      <c r="AH9" s="26">
        <v>485</v>
      </c>
    </row>
    <row r="10" spans="1:34" x14ac:dyDescent="0.2">
      <c r="A10" s="10">
        <f t="shared" si="0"/>
        <v>2025</v>
      </c>
      <c r="B10" s="10">
        <f t="shared" si="1"/>
        <v>3</v>
      </c>
      <c r="D10" s="10" t="s">
        <v>26</v>
      </c>
      <c r="E10" s="25" t="d">
        <v>2025-03-01</v>
      </c>
      <c r="F10" s="26">
        <v>5522544</v>
      </c>
      <c r="G10" s="26">
        <v>134702</v>
      </c>
      <c r="H10" s="26">
        <v>682413795</v>
      </c>
      <c r="I10" s="26">
        <v>17612200</v>
      </c>
      <c r="J10" s="26">
        <v>2368723</v>
      </c>
      <c r="K10" s="26">
        <v>-51147</v>
      </c>
      <c r="L10" s="26">
        <v>408700</v>
      </c>
      <c r="M10" s="26">
        <v>0</v>
      </c>
      <c r="N10" s="26">
        <v>297200</v>
      </c>
      <c r="O10" s="26">
        <v>0</v>
      </c>
      <c r="P10" s="26">
        <v>374000</v>
      </c>
      <c r="Q10" s="26">
        <v>11000</v>
      </c>
      <c r="R10" s="26">
        <v>402522248</v>
      </c>
      <c r="S10" s="26">
        <v>6825654</v>
      </c>
      <c r="T10" s="26">
        <v>2897550</v>
      </c>
      <c r="U10" s="26">
        <v>12687</v>
      </c>
      <c r="V10" s="26">
        <v>193124</v>
      </c>
      <c r="W10" s="26">
        <v>39828</v>
      </c>
      <c r="X10" s="26">
        <v>1205</v>
      </c>
      <c r="Y10" s="26" t="s">
        <v>31</v>
      </c>
      <c r="Z10" s="26" t="s">
        <v>31</v>
      </c>
      <c r="AA10" s="26">
        <v>2020778</v>
      </c>
      <c r="AB10" s="26">
        <v>1368</v>
      </c>
      <c r="AC10" s="26">
        <v>22554</v>
      </c>
      <c r="AD10" s="26">
        <v>59</v>
      </c>
      <c r="AE10" s="26">
        <v>529810</v>
      </c>
      <c r="AF10" s="26">
        <v>6789</v>
      </c>
      <c r="AG10" s="26">
        <v>216946</v>
      </c>
      <c r="AH10" s="26">
        <v>377</v>
      </c>
    </row>
    <row r="11" spans="1:34" x14ac:dyDescent="0.2">
      <c r="A11" s="10">
        <f t="shared" si="0"/>
        <v>2025</v>
      </c>
      <c r="B11" s="10">
        <f t="shared" si="1"/>
        <v>4</v>
      </c>
      <c r="D11" s="10" t="s">
        <v>26</v>
      </c>
      <c r="E11" s="25" t="d">
        <v>2025-04-01</v>
      </c>
      <c r="F11" s="26">
        <v>5657707</v>
      </c>
      <c r="G11" s="26">
        <v>135163</v>
      </c>
      <c r="H11" s="26">
        <v>702950129</v>
      </c>
      <c r="I11" s="26">
        <v>20209966</v>
      </c>
      <c r="J11" s="26">
        <v>2397713</v>
      </c>
      <c r="K11" s="26">
        <v>28990</v>
      </c>
      <c r="L11" s="26">
        <v>408700</v>
      </c>
      <c r="M11" s="26">
        <v>0</v>
      </c>
      <c r="N11" s="26">
        <v>297200</v>
      </c>
      <c r="O11" s="26">
        <v>0</v>
      </c>
      <c r="P11" s="26">
        <v>388000</v>
      </c>
      <c r="Q11" s="26">
        <v>14000</v>
      </c>
      <c r="R11" s="26">
        <v>410289157</v>
      </c>
      <c r="S11" s="26">
        <v>7766909</v>
      </c>
      <c r="T11" s="26">
        <v>2928569</v>
      </c>
      <c r="U11" s="26">
        <v>31019</v>
      </c>
      <c r="V11" s="26">
        <v>747585</v>
      </c>
      <c r="W11" s="26">
        <v>41146</v>
      </c>
      <c r="X11" s="26">
        <v>1318</v>
      </c>
      <c r="Y11" s="26" t="s">
        <v>31</v>
      </c>
      <c r="Z11" s="26" t="s">
        <v>31</v>
      </c>
      <c r="AA11" s="26">
        <v>2024156</v>
      </c>
      <c r="AB11" s="26">
        <v>3378</v>
      </c>
      <c r="AC11" s="26">
        <v>22637</v>
      </c>
      <c r="AD11" s="26">
        <v>83</v>
      </c>
      <c r="AE11" s="26">
        <v>537807</v>
      </c>
      <c r="AF11" s="26">
        <v>7997</v>
      </c>
      <c r="AG11" s="26">
        <v>217610</v>
      </c>
      <c r="AH11" s="26">
        <v>664</v>
      </c>
    </row>
    <row r="12" spans="1:34" x14ac:dyDescent="0.2">
      <c r="A12" s="10">
        <f t="shared" si="0"/>
        <v>2025</v>
      </c>
      <c r="B12" s="10">
        <f t="shared" si="1"/>
        <v>5</v>
      </c>
      <c r="D12" s="10" t="s">
        <v>26</v>
      </c>
      <c r="E12" s="25" t="d">
        <v>2025-05-01</v>
      </c>
      <c r="F12" s="26">
        <v>5819145</v>
      </c>
      <c r="G12" s="26">
        <v>161438</v>
      </c>
      <c r="H12" s="26">
        <v>723180977</v>
      </c>
      <c r="I12" s="26">
        <v>19987562</v>
      </c>
      <c r="J12" s="26">
        <v>2514876</v>
      </c>
      <c r="K12" s="26">
        <v>117163</v>
      </c>
      <c r="L12" s="26">
        <v>408700</v>
      </c>
      <c r="M12" s="26">
        <v>0</v>
      </c>
      <c r="N12" s="26">
        <v>297200</v>
      </c>
      <c r="O12" s="26">
        <v>0</v>
      </c>
      <c r="P12" s="26">
        <v>405000</v>
      </c>
      <c r="Q12" s="26">
        <v>17000</v>
      </c>
      <c r="R12" s="26">
        <v>417746817</v>
      </c>
      <c r="S12" s="26">
        <v>7274514</v>
      </c>
      <c r="T12" s="26">
        <v>2948624</v>
      </c>
      <c r="U12" s="26">
        <v>20055</v>
      </c>
      <c r="V12" s="26">
        <v>433878</v>
      </c>
      <c r="W12" s="26">
        <v>42245</v>
      </c>
      <c r="X12" s="26">
        <v>1099</v>
      </c>
      <c r="Y12" s="26" t="s">
        <v>31</v>
      </c>
      <c r="Z12" s="26" t="s">
        <v>31</v>
      </c>
      <c r="AA12" s="26">
        <v>2021947</v>
      </c>
      <c r="AB12" s="26">
        <v>-2209</v>
      </c>
      <c r="AC12" s="26">
        <v>22711</v>
      </c>
      <c r="AD12" s="26">
        <v>74</v>
      </c>
      <c r="AE12" s="26">
        <v>545554</v>
      </c>
      <c r="AF12" s="26">
        <v>7747</v>
      </c>
      <c r="AG12" s="26">
        <v>218071</v>
      </c>
      <c r="AH12" s="26">
        <v>461</v>
      </c>
    </row>
    <row r="13" spans="1:34" x14ac:dyDescent="0.2">
      <c r="A13" s="10">
        <f t="shared" si="0"/>
        <v>2025</v>
      </c>
      <c r="B13" s="10">
        <f t="shared" si="1"/>
        <v>6</v>
      </c>
      <c r="D13" s="10" t="s">
        <v>26</v>
      </c>
      <c r="E13" s="25" t="d">
        <v>2025-06-01</v>
      </c>
      <c r="F13" s="26">
        <v>5968283</v>
      </c>
      <c r="G13" s="26">
        <v>149138</v>
      </c>
      <c r="H13" s="26">
        <v>747253152</v>
      </c>
      <c r="I13" s="26">
        <v>23979228</v>
      </c>
      <c r="J13" s="26">
        <v>2632370</v>
      </c>
      <c r="K13" s="26">
        <v>117494</v>
      </c>
      <c r="L13" s="26">
        <v>408700</v>
      </c>
      <c r="M13" s="26">
        <v>0</v>
      </c>
      <c r="N13" s="26">
        <v>297200</v>
      </c>
      <c r="O13" s="26">
        <v>0</v>
      </c>
      <c r="P13" s="26">
        <v>418000</v>
      </c>
      <c r="Q13" s="26">
        <v>13000</v>
      </c>
      <c r="R13" s="26">
        <v>425396293</v>
      </c>
      <c r="S13" s="26">
        <v>7639777</v>
      </c>
      <c r="T13" s="26">
        <v>2965004</v>
      </c>
      <c r="U13" s="26">
        <v>16380</v>
      </c>
      <c r="V13" s="26">
        <v>192416</v>
      </c>
      <c r="W13" s="26">
        <v>46424</v>
      </c>
      <c r="X13" s="26">
        <v>4179</v>
      </c>
      <c r="Y13" s="26" t="s">
        <v>31</v>
      </c>
      <c r="Z13" s="26" t="s">
        <v>31</v>
      </c>
      <c r="AA13" s="26">
        <v>2023045</v>
      </c>
      <c r="AB13" s="26">
        <v>1098</v>
      </c>
      <c r="AC13" s="26">
        <v>22799</v>
      </c>
      <c r="AD13" s="26">
        <v>88</v>
      </c>
      <c r="AE13" s="26">
        <v>554727</v>
      </c>
      <c r="AF13" s="26">
        <v>9173</v>
      </c>
      <c r="AG13" s="26">
        <v>218541</v>
      </c>
      <c r="AH13" s="26">
        <v>470</v>
      </c>
    </row>
    <row r="14" spans="1:34" x14ac:dyDescent="0.2">
      <c r="A14" s="10">
        <f t="shared" si="0"/>
        <v>2025</v>
      </c>
      <c r="B14" s="10">
        <f t="shared" si="1"/>
        <v>7</v>
      </c>
      <c r="D14" s="10" t="s">
        <v>26</v>
      </c>
      <c r="E14" s="25" t="d">
        <v>2025-07-01</v>
      </c>
      <c r="F14" s="26">
        <v>6073080</v>
      </c>
      <c r="G14" s="26">
        <v>104797</v>
      </c>
      <c r="H14" s="26">
        <v>770682482</v>
      </c>
      <c r="I14" s="26">
        <v>22966695</v>
      </c>
      <c r="J14" s="26">
        <v>2812208</v>
      </c>
      <c r="K14" s="26">
        <v>179838</v>
      </c>
      <c r="L14" s="26">
        <v>425920</v>
      </c>
      <c r="M14" s="26">
        <v>17220</v>
      </c>
      <c r="N14" s="26">
        <v>304020</v>
      </c>
      <c r="O14" s="26">
        <v>6820</v>
      </c>
      <c r="P14" s="26">
        <v>435000</v>
      </c>
      <c r="Q14" s="26">
        <v>17000</v>
      </c>
      <c r="R14" s="26">
        <v>432626415</v>
      </c>
      <c r="S14" s="26">
        <v>7227565</v>
      </c>
      <c r="T14" s="26">
        <v>2989468</v>
      </c>
      <c r="U14" s="26">
        <v>24464</v>
      </c>
      <c r="V14" s="26">
        <v>463424</v>
      </c>
      <c r="W14" s="26">
        <v>51197</v>
      </c>
      <c r="X14" s="26">
        <v>4773</v>
      </c>
      <c r="Y14" s="26" t="s">
        <v>31</v>
      </c>
      <c r="Z14" s="26" t="s">
        <v>31</v>
      </c>
      <c r="AA14" s="26">
        <v>2023387</v>
      </c>
      <c r="AB14" s="26">
        <v>342</v>
      </c>
      <c r="AC14" s="26">
        <v>22876</v>
      </c>
      <c r="AD14" s="26">
        <v>77</v>
      </c>
      <c r="AE14" s="26">
        <v>562851</v>
      </c>
      <c r="AF14" s="26">
        <v>8064</v>
      </c>
      <c r="AG14" s="26">
        <v>219102</v>
      </c>
      <c r="AH14" s="26">
        <v>561</v>
      </c>
    </row>
    <row r="15" spans="1:34" x14ac:dyDescent="0.2">
      <c r="A15" s="10">
        <f t="shared" si="0"/>
        <v>2025</v>
      </c>
      <c r="B15" s="10">
        <f t="shared" si="1"/>
        <v>8</v>
      </c>
      <c r="D15" s="10" t="s">
        <v>26</v>
      </c>
      <c r="E15" s="25" t="d">
        <v>2025-08-01</v>
      </c>
      <c r="F15" s="26">
        <v>6219373</v>
      </c>
      <c r="G15" s="26">
        <v>146293</v>
      </c>
      <c r="H15" s="26">
        <v>806892490</v>
      </c>
      <c r="I15" s="26">
        <v>32841299</v>
      </c>
      <c r="J15" s="26">
        <v>3271805</v>
      </c>
      <c r="K15" s="26">
        <v>459597</v>
      </c>
      <c r="L15" s="26">
        <v>432400</v>
      </c>
      <c r="M15" s="26">
        <v>6480</v>
      </c>
      <c r="N15" s="26">
        <v>309300</v>
      </c>
      <c r="O15" s="26">
        <v>5280</v>
      </c>
      <c r="P15" s="26">
        <v>462000</v>
      </c>
      <c r="Q15" s="26">
        <v>27000</v>
      </c>
      <c r="R15" s="26">
        <v>439676480</v>
      </c>
      <c r="S15" s="26">
        <v>7038938</v>
      </c>
      <c r="T15" s="26">
        <v>3029699</v>
      </c>
      <c r="U15" s="26">
        <v>40231</v>
      </c>
      <c r="V15" s="26">
        <v>729772</v>
      </c>
      <c r="W15" s="26">
        <v>56088</v>
      </c>
      <c r="X15" s="26">
        <v>4891</v>
      </c>
      <c r="Y15" s="26" t="s">
        <v>31</v>
      </c>
      <c r="Z15" s="26" t="s">
        <v>31</v>
      </c>
      <c r="AA15" s="26">
        <v>2033791</v>
      </c>
      <c r="AB15" s="26">
        <v>10404</v>
      </c>
      <c r="AC15" s="26">
        <v>22961</v>
      </c>
      <c r="AD15" s="26">
        <v>85</v>
      </c>
      <c r="AE15" s="26">
        <v>571123</v>
      </c>
      <c r="AF15" s="26">
        <v>8034</v>
      </c>
      <c r="AG15" s="26">
        <v>219810</v>
      </c>
      <c r="AH15" s="26">
        <v>708</v>
      </c>
    </row>
    <row r="16" spans="1:34" x14ac:dyDescent="0.2">
      <c r="A16" s="10">
        <f t="shared" si="0"/>
        <v>2025</v>
      </c>
      <c r="B16" s="10">
        <f t="shared" si="1"/>
        <v>9</v>
      </c>
      <c r="D16" s="10" t="s">
        <v>26</v>
      </c>
      <c r="E16" s="25" t="d">
        <v>2025-09-01</v>
      </c>
      <c r="F16" s="26">
        <v>6372718</v>
      </c>
      <c r="G16" s="26">
        <v>153345</v>
      </c>
      <c r="H16" s="26">
        <v>845746693</v>
      </c>
      <c r="I16" s="26">
        <v>38665680</v>
      </c>
      <c r="J16" s="26">
        <v>3375181</v>
      </c>
      <c r="K16" s="26">
        <v>103376</v>
      </c>
      <c r="L16" s="26">
        <v>438000</v>
      </c>
      <c r="M16" s="26">
        <v>5600</v>
      </c>
      <c r="N16" s="26">
        <v>314700</v>
      </c>
      <c r="O16" s="26">
        <v>5400</v>
      </c>
      <c r="P16" s="26">
        <v>482000</v>
      </c>
      <c r="Q16" s="26">
        <v>20000</v>
      </c>
      <c r="R16" s="26">
        <v>447075977</v>
      </c>
      <c r="S16" s="26">
        <v>7391766</v>
      </c>
      <c r="T16" s="26">
        <v>3047626</v>
      </c>
      <c r="U16" s="26">
        <v>17927</v>
      </c>
      <c r="V16" s="26">
        <v>807527</v>
      </c>
      <c r="W16" s="26">
        <v>61720</v>
      </c>
      <c r="X16" s="26">
        <v>5632</v>
      </c>
      <c r="Y16" s="26" t="s">
        <v>31</v>
      </c>
      <c r="Z16" s="26" t="s">
        <v>31</v>
      </c>
      <c r="AA16" s="26">
        <v>2049234</v>
      </c>
      <c r="AB16" s="26">
        <v>15443</v>
      </c>
      <c r="AC16" s="26">
        <v>23060</v>
      </c>
      <c r="AD16" s="26">
        <v>99</v>
      </c>
      <c r="AE16" s="26">
        <v>578998</v>
      </c>
      <c r="AF16" s="26">
        <v>7875</v>
      </c>
      <c r="AG16" s="26">
        <v>220493</v>
      </c>
      <c r="AH16" s="26">
        <v>683</v>
      </c>
    </row>
    <row r="17" spans="1:34" x14ac:dyDescent="0.2">
      <c r="A17" s="10">
        <f t="shared" si="0"/>
        <v>2025</v>
      </c>
      <c r="B17" s="10">
        <f t="shared" si="1"/>
        <v>10</v>
      </c>
      <c r="D17" s="10" t="s">
        <v>26</v>
      </c>
      <c r="E17" s="25" t="d">
        <v>2025-10-01</v>
      </c>
      <c r="F17" s="26">
        <v>6524304</v>
      </c>
      <c r="G17" s="26">
        <v>151586</v>
      </c>
      <c r="H17" s="26">
        <v>884818101</v>
      </c>
      <c r="I17" s="26">
        <v>38265832</v>
      </c>
      <c r="J17" s="26">
        <v>3497866</v>
      </c>
      <c r="K17" s="26">
        <v>122685</v>
      </c>
      <c r="L17" s="26">
        <v>441300</v>
      </c>
      <c r="M17" s="26">
        <v>3300</v>
      </c>
      <c r="N17" s="26">
        <v>317300</v>
      </c>
      <c r="O17" s="26">
        <v>2600</v>
      </c>
      <c r="P17" s="26">
        <v>498000</v>
      </c>
      <c r="Q17" s="26">
        <v>16000</v>
      </c>
      <c r="R17" s="26">
        <v>454091682</v>
      </c>
      <c r="S17" s="26">
        <v>7014415</v>
      </c>
      <c r="T17" s="26">
        <v>3068902</v>
      </c>
      <c r="U17" s="26">
        <v>21276</v>
      </c>
      <c r="V17" s="26">
        <v>116778</v>
      </c>
      <c r="W17" s="26">
        <v>67374</v>
      </c>
      <c r="X17" s="26">
        <v>5654</v>
      </c>
      <c r="Y17" s="26" t="s">
        <v>31</v>
      </c>
      <c r="Z17" s="26" t="s">
        <v>31</v>
      </c>
      <c r="AA17" s="26">
        <v>2063220</v>
      </c>
      <c r="AB17" s="26">
        <v>13986</v>
      </c>
      <c r="AC17" s="26">
        <v>23148</v>
      </c>
      <c r="AD17" s="26">
        <v>88</v>
      </c>
      <c r="AE17" s="26">
        <v>587216</v>
      </c>
      <c r="AF17" s="26">
        <v>8218</v>
      </c>
      <c r="AG17" s="26">
        <v>221066</v>
      </c>
      <c r="AH17" s="26">
        <v>573</v>
      </c>
    </row>
    <row r="18" spans="1:34" x14ac:dyDescent="0.2">
      <c r="A18" s="10">
        <f t="shared" si="0"/>
        <v>2025</v>
      </c>
      <c r="B18" s="10">
        <f t="shared" si="1"/>
        <v>11</v>
      </c>
      <c r="D18" s="10" t="s">
        <v>26</v>
      </c>
      <c r="E18" s="25" t="d">
        <v>2025-11-01</v>
      </c>
      <c r="F18" s="26">
        <v>6659618</v>
      </c>
      <c r="G18" s="26">
        <v>135314</v>
      </c>
      <c r="H18" s="26">
        <v>917587645</v>
      </c>
      <c r="I18" s="26">
        <v>33583591</v>
      </c>
      <c r="J18" s="26">
        <v>3366770</v>
      </c>
      <c r="K18" s="26">
        <v>-131096</v>
      </c>
      <c r="L18" s="26">
        <v>445000</v>
      </c>
      <c r="M18" s="26">
        <v>3700</v>
      </c>
      <c r="N18" s="26">
        <v>321700</v>
      </c>
      <c r="O18" s="26">
        <v>4400</v>
      </c>
      <c r="P18" s="26">
        <v>512000</v>
      </c>
      <c r="Q18" s="26">
        <v>14000</v>
      </c>
      <c r="R18" s="26">
        <v>455452880</v>
      </c>
      <c r="S18" s="26">
        <v>7616113</v>
      </c>
      <c r="T18" s="26">
        <v>3083612</v>
      </c>
      <c r="U18" s="26">
        <v>14710</v>
      </c>
      <c r="V18" s="26">
        <v>311832</v>
      </c>
      <c r="W18" s="26">
        <v>72192</v>
      </c>
      <c r="X18" s="26">
        <v>4994</v>
      </c>
      <c r="Y18" s="26" t="s">
        <v>31</v>
      </c>
      <c r="Z18" s="26" t="s">
        <v>31</v>
      </c>
      <c r="AA18" s="26">
        <v>2066060</v>
      </c>
      <c r="AB18" s="26">
        <v>2840</v>
      </c>
      <c r="AC18" s="26">
        <v>23235</v>
      </c>
      <c r="AD18" s="26">
        <v>87</v>
      </c>
      <c r="AE18" s="26">
        <v>594303</v>
      </c>
      <c r="AF18" s="26">
        <v>6851</v>
      </c>
      <c r="AG18" s="26">
        <v>221613</v>
      </c>
      <c r="AH18" s="26">
        <v>547</v>
      </c>
    </row>
    <row r="19" spans="1:34" x14ac:dyDescent="0.2">
      <c r="A19" s="10">
        <f t="shared" si="0"/>
        <v>2025</v>
      </c>
      <c r="B19" s="10">
        <f t="shared" si="1"/>
        <v>12</v>
      </c>
      <c r="D19" s="10" t="s">
        <v>26</v>
      </c>
      <c r="E19" s="25" t="d">
        <v>2025-12-01</v>
      </c>
      <c r="F19" s="26">
        <v>6869683</v>
      </c>
      <c r="G19" s="26">
        <v>210065</v>
      </c>
      <c r="H19" s="26">
        <v>950777175</v>
      </c>
      <c r="I19" s="26">
        <v>31642962</v>
      </c>
      <c r="J19" s="26">
        <v>3406570</v>
      </c>
      <c r="K19" s="26">
        <v>39800</v>
      </c>
      <c r="L19" s="26">
        <v>447200</v>
      </c>
      <c r="M19" s="26">
        <v>2200</v>
      </c>
      <c r="N19" s="26">
        <v>324700</v>
      </c>
      <c r="O19" s="26">
        <v>3000</v>
      </c>
      <c r="P19" s="26">
        <v>523000</v>
      </c>
      <c r="Q19" s="26">
        <v>11000</v>
      </c>
      <c r="R19" s="26">
        <v>463442908</v>
      </c>
      <c r="S19" s="26">
        <v>7990028</v>
      </c>
      <c r="T19" s="26">
        <v>3104181</v>
      </c>
      <c r="U19" s="26">
        <v>20569</v>
      </c>
      <c r="V19" s="26">
        <v>387758</v>
      </c>
      <c r="W19" s="26">
        <v>76481</v>
      </c>
      <c r="X19" s="26">
        <v>4289</v>
      </c>
      <c r="Y19" s="26" t="s">
        <v>31</v>
      </c>
      <c r="Z19" s="26" t="s">
        <v>31</v>
      </c>
      <c r="AA19" s="26">
        <v>2067632</v>
      </c>
      <c r="AB19" s="26">
        <v>1572</v>
      </c>
      <c r="AC19" s="26">
        <v>23293</v>
      </c>
      <c r="AD19" s="26">
        <v>58</v>
      </c>
      <c r="AE19" s="26">
        <v>600533</v>
      </c>
      <c r="AF19" s="26">
        <v>6230</v>
      </c>
      <c r="AG19" s="26">
        <v>222122</v>
      </c>
      <c r="AH19" s="26">
        <v>509</v>
      </c>
    </row>
    <row r="20" spans="1:34" x14ac:dyDescent="0.2">
      <c r="A20" s="10">
        <f t="shared" si="0"/>
        <v>2026</v>
      </c>
      <c r="B20" s="10">
        <f t="shared" si="1"/>
        <v>1</v>
      </c>
      <c r="D20" s="10" t="s">
        <v>26</v>
      </c>
      <c r="E20" s="25" t="d">
        <v>2026-01-01</v>
      </c>
      <c r="F20" s="26">
        <v>7063221</v>
      </c>
      <c r="G20" s="26">
        <v>193538</v>
      </c>
      <c r="H20" s="26">
        <v>985904694</v>
      </c>
      <c r="I20" s="26">
        <v>33297820</v>
      </c>
      <c r="J20" s="26">
        <v>3678462</v>
      </c>
      <c r="K20" s="26">
        <v>271892</v>
      </c>
      <c r="L20" s="26">
        <v>448950</v>
      </c>
      <c r="M20" s="26">
        <v>1750</v>
      </c>
      <c r="N20" s="26">
        <v>326600</v>
      </c>
      <c r="O20" s="26">
        <v>1900</v>
      </c>
      <c r="P20" s="26">
        <v>534000</v>
      </c>
      <c r="Q20" s="26">
        <v>11000</v>
      </c>
      <c r="R20" s="26">
        <v>472139335</v>
      </c>
      <c r="S20" s="26">
        <v>8696427</v>
      </c>
      <c r="T20" s="26">
        <v>3116215</v>
      </c>
      <c r="U20" s="26">
        <v>12034</v>
      </c>
      <c r="V20" s="26">
        <v>93817</v>
      </c>
      <c r="W20" s="26">
        <v>80600</v>
      </c>
      <c r="X20" s="26">
        <v>4119</v>
      </c>
      <c r="Y20" s="26" t="s">
        <v>31</v>
      </c>
      <c r="Z20" s="26" t="s">
        <v>31</v>
      </c>
      <c r="AA20" s="26">
        <v>2072365</v>
      </c>
      <c r="AB20" s="26">
        <v>4733</v>
      </c>
      <c r="AC20" s="26">
        <v>23379</v>
      </c>
      <c r="AD20" s="26">
        <v>86</v>
      </c>
      <c r="AE20" s="26">
        <v>607459</v>
      </c>
      <c r="AF20" s="26">
        <v>6926</v>
      </c>
      <c r="AG20" s="26">
        <v>222653</v>
      </c>
      <c r="AH20" s="26">
        <v>531</v>
      </c>
    </row>
    <row r="21" spans="1:34" x14ac:dyDescent="0.2">
      <c r="A21" s="10">
        <f t="shared" si="0"/>
        <v>2026</v>
      </c>
      <c r="B21" s="10">
        <f t="shared" si="1"/>
        <v>2</v>
      </c>
      <c r="D21" s="10" t="s">
        <v>26</v>
      </c>
      <c r="E21" s="25" t="d">
        <v>2026-02-01</v>
      </c>
      <c r="F21" s="26">
        <v>7196912</v>
      </c>
      <c r="G21" s="26">
        <v>133691</v>
      </c>
      <c r="H21" s="26">
        <v>1012034887</v>
      </c>
      <c r="I21" s="26">
        <v>26102560</v>
      </c>
      <c r="J21" s="26">
        <v>3036334</v>
      </c>
      <c r="K21" s="26">
        <v>-642128</v>
      </c>
      <c r="L21" s="26">
        <v>451020</v>
      </c>
      <c r="M21" s="26">
        <v>2070</v>
      </c>
      <c r="N21" s="26">
        <v>326600</v>
      </c>
      <c r="O21" s="26">
        <v>0</v>
      </c>
      <c r="P21" s="26">
        <v>543000</v>
      </c>
      <c r="Q21" s="26">
        <v>9000</v>
      </c>
      <c r="R21" s="26">
        <v>478382572</v>
      </c>
      <c r="S21" s="26">
        <v>6243287</v>
      </c>
      <c r="T21" s="26">
        <v>3122167</v>
      </c>
      <c r="U21" s="26">
        <v>5952</v>
      </c>
      <c r="V21" s="26">
        <v>92178</v>
      </c>
      <c r="W21" s="26">
        <v>84871</v>
      </c>
      <c r="X21" s="26">
        <v>4271</v>
      </c>
      <c r="Y21" s="26" t="s">
        <v>31</v>
      </c>
      <c r="Z21" s="26" t="s">
        <v>31</v>
      </c>
      <c r="AA21" s="26">
        <v>2076765</v>
      </c>
      <c r="AB21" s="26">
        <v>4400</v>
      </c>
      <c r="AC21" s="26">
        <v>23440</v>
      </c>
      <c r="AD21" s="26">
        <v>61</v>
      </c>
      <c r="AE21" s="26">
        <v>612173</v>
      </c>
      <c r="AF21" s="26">
        <v>4714</v>
      </c>
      <c r="AG21" s="26">
        <v>223024</v>
      </c>
      <c r="AH21" s="26">
        <v>371</v>
      </c>
    </row>
    <row r="22" spans="1:34" x14ac:dyDescent="0.2">
      <c r="A22" s="10">
        <f t="shared" si="0"/>
        <v>2026</v>
      </c>
      <c r="B22" s="10">
        <f t="shared" si="1"/>
        <v>3</v>
      </c>
      <c r="D22" s="10" t="s">
        <v>26</v>
      </c>
      <c r="E22" s="25" t="d">
        <v>2026-03-01</v>
      </c>
      <c r="F22" s="26">
        <v>7334070</v>
      </c>
      <c r="G22" s="26">
        <v>137158</v>
      </c>
      <c r="H22" s="26">
        <v>1034766488</v>
      </c>
      <c r="I22" s="26">
        <v>22721618</v>
      </c>
      <c r="J22" s="26">
        <v>3079098</v>
      </c>
      <c r="K22" s="26">
        <v>42764</v>
      </c>
      <c r="L22" s="26">
        <v>454020</v>
      </c>
      <c r="M22" s="26">
        <v>3000</v>
      </c>
      <c r="N22" s="26">
        <v>326600</v>
      </c>
      <c r="O22" s="26">
        <v>0</v>
      </c>
      <c r="P22" s="26">
        <v>551000</v>
      </c>
      <c r="Q22" s="26">
        <v>8000</v>
      </c>
      <c r="R22" s="26">
        <v>484538429</v>
      </c>
      <c r="S22" s="26">
        <v>6155857</v>
      </c>
      <c r="T22" s="26">
        <v>3134717</v>
      </c>
      <c r="U22" s="26">
        <v>12550</v>
      </c>
      <c r="V22" s="26">
        <v>175528</v>
      </c>
      <c r="W22" s="26">
        <v>88829</v>
      </c>
      <c r="X22" s="26">
        <v>3958</v>
      </c>
      <c r="Y22" s="26" t="s">
        <v>31</v>
      </c>
      <c r="Z22" s="26" t="s">
        <v>31</v>
      </c>
      <c r="AA22" s="26">
        <v>2084313</v>
      </c>
      <c r="AB22" s="26">
        <v>7548</v>
      </c>
      <c r="AC22" s="26">
        <v>23541</v>
      </c>
      <c r="AD22" s="26">
        <v>101</v>
      </c>
      <c r="AE22" s="26">
        <v>620146</v>
      </c>
      <c r="AF22" s="26">
        <v>7973</v>
      </c>
      <c r="AG22" s="26">
        <v>223394</v>
      </c>
      <c r="AH22" s="26">
        <v>370</v>
      </c>
    </row>
    <row r="23" spans="1:34" x14ac:dyDescent="0.2">
      <c r="A23" s="10">
        <f t="shared" si="0"/>
        <v>2026</v>
      </c>
      <c r="B23" s="10">
        <f t="shared" si="1"/>
        <v>4</v>
      </c>
      <c r="D23" s="10" t="s">
        <v>26</v>
      </c>
      <c r="E23" s="25" t="d">
        <v>2026-04-01</v>
      </c>
      <c r="F23" s="26">
        <v>7520172</v>
      </c>
      <c r="G23" s="26">
        <v>186102</v>
      </c>
      <c r="H23" s="26">
        <v>1062295287</v>
      </c>
      <c r="I23" s="26">
        <v>27281686</v>
      </c>
      <c r="J23" s="26">
        <v>3267700</v>
      </c>
      <c r="K23" s="26">
        <v>188602</v>
      </c>
      <c r="L23" s="26">
        <v>456970</v>
      </c>
      <c r="M23" s="26">
        <v>2114</v>
      </c>
      <c r="N23" s="26">
        <v>334315</v>
      </c>
      <c r="O23" s="26">
        <v>718</v>
      </c>
      <c r="P23" s="26">
        <v>563000</v>
      </c>
      <c r="Q23" s="26">
        <v>12000</v>
      </c>
      <c r="R23" s="26">
        <v>491867337</v>
      </c>
      <c r="S23" s="26">
        <v>7328913</v>
      </c>
      <c r="T23" s="26">
        <v>3148655</v>
      </c>
      <c r="U23" s="26">
        <v>13938</v>
      </c>
      <c r="V23" s="26">
        <v>90782</v>
      </c>
      <c r="W23" s="26">
        <v>93014</v>
      </c>
      <c r="X23" s="26">
        <v>4185</v>
      </c>
      <c r="Y23" s="26">
        <v>65425759</v>
      </c>
      <c r="Z23" s="26">
        <v>637237</v>
      </c>
      <c r="AA23" s="26">
        <v>2111113</v>
      </c>
      <c r="AB23" s="26">
        <v>26800</v>
      </c>
      <c r="AC23" s="26">
        <v>23645</v>
      </c>
      <c r="AD23" s="26">
        <v>104</v>
      </c>
      <c r="AE23" s="26">
        <v>626464</v>
      </c>
      <c r="AF23" s="26">
        <v>6311</v>
      </c>
      <c r="AG23" s="26">
        <v>223923</v>
      </c>
      <c r="AH23" s="26">
        <v>529</v>
      </c>
    </row>
    <row r="24" spans="1:34" x14ac:dyDescent="0.2">
      <c r="A24" s="10">
        <f t="shared" si="0"/>
        <v>2026</v>
      </c>
      <c r="B24" s="10">
        <f t="shared" si="1"/>
        <v>5</v>
      </c>
      <c r="D24" s="10" t="s">
        <v>26</v>
      </c>
      <c r="E24" s="25" t="d">
        <v>2026-05-01</v>
      </c>
      <c r="F24" s="26">
        <v>7646607</v>
      </c>
      <c r="G24" s="26">
        <v>126435</v>
      </c>
      <c r="H24" s="26">
        <v>1087941638</v>
      </c>
      <c r="I24" s="26">
        <v>25568425</v>
      </c>
      <c r="J24" s="26">
        <v>3211035</v>
      </c>
      <c r="K24" s="26">
        <v>-56665</v>
      </c>
      <c r="L24" s="26">
        <v>460320</v>
      </c>
      <c r="M24" s="26">
        <v>3350</v>
      </c>
      <c r="N24" s="26">
        <v>337952</v>
      </c>
      <c r="O24" s="26">
        <v>3637</v>
      </c>
      <c r="P24" s="26">
        <v>573000</v>
      </c>
      <c r="Q24" s="26">
        <v>10000</v>
      </c>
      <c r="R24" s="26">
        <v>499019254</v>
      </c>
      <c r="S24" s="26">
        <v>7151917</v>
      </c>
      <c r="T24" s="26">
        <v>3162014</v>
      </c>
      <c r="U24" s="26">
        <v>13359</v>
      </c>
      <c r="V24" s="26">
        <v>141073</v>
      </c>
      <c r="W24" s="26">
        <v>97564</v>
      </c>
      <c r="X24" s="26">
        <v>4550</v>
      </c>
      <c r="Y24" s="26">
        <v>65504766</v>
      </c>
      <c r="Z24" s="26">
        <v>79007</v>
      </c>
      <c r="AA24" s="26">
        <v>2123312</v>
      </c>
      <c r="AB24" s="26">
        <v>12199</v>
      </c>
      <c r="AC24" s="26">
        <v>23743</v>
      </c>
      <c r="AD24" s="26">
        <v>98</v>
      </c>
      <c r="AE24" s="26">
        <v>632867</v>
      </c>
      <c r="AF24" s="26">
        <v>6403</v>
      </c>
      <c r="AG24" s="26">
        <v>224404</v>
      </c>
      <c r="AH24" s="26">
        <v>481</v>
      </c>
    </row>
    <row r="25" spans="1:34" x14ac:dyDescent="0.2">
      <c r="A25" s="10">
        <f t="shared" si="0"/>
        <v>2026</v>
      </c>
      <c r="B25" s="10">
        <f t="shared" si="1"/>
        <v>6</v>
      </c>
      <c r="D25" s="10" t="s">
        <v>26</v>
      </c>
      <c r="E25" s="25" t="d">
        <v>2026-06-01</v>
      </c>
      <c r="F25" s="26">
        <v>7781089</v>
      </c>
      <c r="G25" s="26">
        <v>134482</v>
      </c>
      <c r="H25" s="26">
        <v>1121801331</v>
      </c>
      <c r="I25" s="26">
        <v>32160407</v>
      </c>
      <c r="J25" s="26">
        <v>4217498</v>
      </c>
      <c r="K25" s="26">
        <v>1006463</v>
      </c>
      <c r="L25" s="26">
        <v>464610</v>
      </c>
      <c r="M25" s="26">
        <v>4290</v>
      </c>
      <c r="N25" s="26">
        <v>343264</v>
      </c>
      <c r="O25" s="26">
        <v>5312</v>
      </c>
      <c r="P25" s="26">
        <v>584000</v>
      </c>
      <c r="Q25" s="26">
        <v>11000</v>
      </c>
      <c r="R25" s="26">
        <v>506579169</v>
      </c>
      <c r="S25" s="26">
        <v>7559915</v>
      </c>
      <c r="T25" s="26">
        <v>3147714</v>
      </c>
      <c r="U25" s="26">
        <v>-14300</v>
      </c>
      <c r="V25" s="26">
        <v>167381</v>
      </c>
      <c r="W25" s="26">
        <v>102214</v>
      </c>
      <c r="X25" s="26">
        <v>4650</v>
      </c>
      <c r="Y25" s="26">
        <v>67284391</v>
      </c>
      <c r="Z25" s="26">
        <v>1779625</v>
      </c>
      <c r="AA25" s="26">
        <v>2130400</v>
      </c>
      <c r="AB25" s="26">
        <v>7088</v>
      </c>
      <c r="AC25" s="26">
        <v>23813</v>
      </c>
      <c r="AD25" s="26">
        <v>70</v>
      </c>
      <c r="AE25" s="26">
        <v>638213</v>
      </c>
      <c r="AF25" s="26">
        <v>5347</v>
      </c>
      <c r="AG25" s="26">
        <v>224915</v>
      </c>
      <c r="AH25" s="26">
        <v>511</v>
      </c>
    </row>
    <row r="26" spans="1:34" x14ac:dyDescent="0.2">
      <c r="A26" s="10">
        <f t="shared" si="0"/>
        <v>2026</v>
      </c>
      <c r="B26" s="10">
        <f t="shared" si="1"/>
        <v>7</v>
      </c>
      <c r="D26" s="10" t="s">
        <v>26</v>
      </c>
      <c r="E26" s="25" t="d">
        <v>2026-07-01</v>
      </c>
      <c r="F26" s="26">
        <v>7903606</v>
      </c>
      <c r="G26" s="26">
        <v>122517</v>
      </c>
      <c r="H26" s="26">
        <v>1148699708</v>
      </c>
      <c r="I26" s="26">
        <v>26873378</v>
      </c>
      <c r="J26" s="26">
        <v>3831583</v>
      </c>
      <c r="K26" s="26">
        <v>-385915</v>
      </c>
      <c r="L26" s="26">
        <v>466332</v>
      </c>
      <c r="M26" s="26">
        <v>1722</v>
      </c>
      <c r="N26" s="26">
        <v>345293</v>
      </c>
      <c r="O26" s="26">
        <v>2029</v>
      </c>
      <c r="P26" s="26">
        <v>593000</v>
      </c>
      <c r="Q26" s="26">
        <v>9000</v>
      </c>
      <c r="R26" s="26">
        <v>514051287</v>
      </c>
      <c r="S26" s="26">
        <v>7472119</v>
      </c>
      <c r="T26" s="26">
        <v>3152533</v>
      </c>
      <c r="U26" s="26">
        <v>4819</v>
      </c>
      <c r="V26" s="26">
        <v>178830</v>
      </c>
      <c r="W26" s="26">
        <v>106230</v>
      </c>
      <c r="X26" s="26">
        <v>4016</v>
      </c>
      <c r="Y26" s="26">
        <v>67925845</v>
      </c>
      <c r="Z26" s="26">
        <v>667039</v>
      </c>
      <c r="AA26" s="26">
        <v>2130400</v>
      </c>
      <c r="AB26" s="26">
        <v>0</v>
      </c>
      <c r="AC26" s="26">
        <v>23876</v>
      </c>
      <c r="AD26" s="26">
        <v>63</v>
      </c>
      <c r="AE26" s="26">
        <v>643601</v>
      </c>
      <c r="AF26" s="26">
        <v>5388</v>
      </c>
      <c r="AG26" s="26">
        <v>225364</v>
      </c>
      <c r="AH26" s="26">
        <v>449</v>
      </c>
    </row>
    <row r="27" spans="1:34" x14ac:dyDescent="0.2">
      <c r="A27" s="10">
        <f t="shared" si="0"/>
        <v>2024</v>
      </c>
      <c r="B27" s="10">
        <f t="shared" si="1"/>
        <v>7</v>
      </c>
      <c r="D27" s="10" t="s">
        <v>32</v>
      </c>
      <c r="E27" s="25" t="d">
        <v>2024-07-01</v>
      </c>
      <c r="F27" s="26">
        <v>2405061</v>
      </c>
      <c r="G27" s="26">
        <v>49456</v>
      </c>
      <c r="H27" s="26">
        <v>656914065</v>
      </c>
      <c r="I27" s="26">
        <v>20908537</v>
      </c>
      <c r="J27" s="26">
        <v>2624458</v>
      </c>
      <c r="K27" s="26">
        <v>230878</v>
      </c>
      <c r="L27" s="26">
        <v>1500000</v>
      </c>
      <c r="M27" s="26">
        <v>0</v>
      </c>
      <c r="N27" s="26">
        <v>6100000</v>
      </c>
      <c r="O27" s="26">
        <v>500000</v>
      </c>
      <c r="P27" s="26">
        <v>635000</v>
      </c>
      <c r="Q27" s="26">
        <v>10000</v>
      </c>
      <c r="R27" s="26">
        <v>594839553</v>
      </c>
      <c r="S27" s="26">
        <v>8665412</v>
      </c>
      <c r="T27" s="26">
        <v>3260867</v>
      </c>
      <c r="U27" s="26">
        <v>31909</v>
      </c>
      <c r="V27" s="26">
        <v>1175000</v>
      </c>
      <c r="W27" s="26">
        <v>4310</v>
      </c>
      <c r="X27" s="26">
        <v>204</v>
      </c>
      <c r="Y27" s="26" t="s">
        <v>31</v>
      </c>
      <c r="Z27" s="26" t="s">
        <v>31</v>
      </c>
      <c r="AA27" s="26">
        <v>4355081</v>
      </c>
      <c r="AB27" s="26">
        <v>-1107</v>
      </c>
      <c r="AC27" s="26">
        <v>38838</v>
      </c>
      <c r="AD27" s="26">
        <v>119</v>
      </c>
      <c r="AE27" s="26" t="s">
        <v>31</v>
      </c>
      <c r="AF27" s="26" t="s">
        <v>31</v>
      </c>
      <c r="AG27" s="26">
        <v>215753</v>
      </c>
      <c r="AH27" s="26">
        <v>367</v>
      </c>
    </row>
    <row r="28" spans="1:34" x14ac:dyDescent="0.2">
      <c r="A28" s="10">
        <f t="shared" si="0"/>
        <v>2024</v>
      </c>
      <c r="B28" s="10">
        <f t="shared" si="1"/>
        <v>8</v>
      </c>
      <c r="D28" s="10" t="s">
        <v>32</v>
      </c>
      <c r="E28" s="25" t="d">
        <v>2024-08-01</v>
      </c>
      <c r="F28" s="26">
        <v>2447753</v>
      </c>
      <c r="G28" s="26">
        <v>42692</v>
      </c>
      <c r="H28" s="26">
        <v>681893836</v>
      </c>
      <c r="I28" s="26">
        <v>24263666</v>
      </c>
      <c r="J28" s="26">
        <v>2545831</v>
      </c>
      <c r="K28" s="26">
        <v>-78627</v>
      </c>
      <c r="L28" s="26">
        <v>1600000</v>
      </c>
      <c r="M28" s="26">
        <v>100000</v>
      </c>
      <c r="N28" s="26">
        <v>7100000</v>
      </c>
      <c r="O28" s="26">
        <v>1000000</v>
      </c>
      <c r="P28" s="26">
        <v>643000</v>
      </c>
      <c r="Q28" s="26">
        <v>8000</v>
      </c>
      <c r="R28" s="26">
        <v>603056513</v>
      </c>
      <c r="S28" s="26">
        <v>8171102</v>
      </c>
      <c r="T28" s="26">
        <v>3284946</v>
      </c>
      <c r="U28" s="26">
        <v>24079</v>
      </c>
      <c r="V28" s="26">
        <v>391000</v>
      </c>
      <c r="W28" s="26">
        <v>4437</v>
      </c>
      <c r="X28" s="26">
        <v>127</v>
      </c>
      <c r="Y28" s="26" t="s">
        <v>31</v>
      </c>
      <c r="Z28" s="26" t="s">
        <v>31</v>
      </c>
      <c r="AA28" s="26">
        <v>4357838</v>
      </c>
      <c r="AB28" s="26">
        <v>2757</v>
      </c>
      <c r="AC28" s="26">
        <v>38952</v>
      </c>
      <c r="AD28" s="26">
        <v>114</v>
      </c>
      <c r="AE28" s="26" t="s">
        <v>31</v>
      </c>
      <c r="AF28" s="26" t="s">
        <v>31</v>
      </c>
      <c r="AG28" s="26">
        <v>216123</v>
      </c>
      <c r="AH28" s="26">
        <v>370</v>
      </c>
    </row>
    <row r="29" spans="1:34" x14ac:dyDescent="0.2">
      <c r="A29" s="10">
        <f t="shared" si="0"/>
        <v>2024</v>
      </c>
      <c r="B29" s="10">
        <f t="shared" si="1"/>
        <v>9</v>
      </c>
      <c r="D29" s="10" t="s">
        <v>32</v>
      </c>
      <c r="E29" s="25" t="d">
        <v>2024-09-01</v>
      </c>
      <c r="F29" s="26">
        <v>2541174</v>
      </c>
      <c r="G29" s="26">
        <v>93421</v>
      </c>
      <c r="H29" s="26">
        <v>706979463</v>
      </c>
      <c r="I29" s="26">
        <v>24965777</v>
      </c>
      <c r="J29" s="26">
        <v>2577883</v>
      </c>
      <c r="K29" s="26">
        <v>32052</v>
      </c>
      <c r="L29" s="26">
        <v>1700000</v>
      </c>
      <c r="M29" s="26">
        <v>100000</v>
      </c>
      <c r="N29" s="26">
        <v>7700000</v>
      </c>
      <c r="O29" s="26">
        <v>600000</v>
      </c>
      <c r="P29" s="26">
        <v>651000</v>
      </c>
      <c r="Q29" s="26">
        <v>8000</v>
      </c>
      <c r="R29" s="26">
        <v>612000872</v>
      </c>
      <c r="S29" s="26">
        <v>8944359</v>
      </c>
      <c r="T29" s="26">
        <v>3319476</v>
      </c>
      <c r="U29" s="26">
        <v>34530</v>
      </c>
      <c r="V29" s="26">
        <v>616000</v>
      </c>
      <c r="W29" s="26">
        <v>4535</v>
      </c>
      <c r="X29" s="26">
        <v>98</v>
      </c>
      <c r="Y29" s="26" t="s">
        <v>31</v>
      </c>
      <c r="Z29" s="26" t="s">
        <v>31</v>
      </c>
      <c r="AA29" s="26">
        <v>4377242</v>
      </c>
      <c r="AB29" s="26">
        <v>19404</v>
      </c>
      <c r="AC29" s="26">
        <v>39075</v>
      </c>
      <c r="AD29" s="26">
        <v>123</v>
      </c>
      <c r="AE29" s="26" t="s">
        <v>31</v>
      </c>
      <c r="AF29" s="26" t="s">
        <v>31</v>
      </c>
      <c r="AG29" s="26">
        <v>216518</v>
      </c>
      <c r="AH29" s="26">
        <v>395</v>
      </c>
    </row>
    <row r="30" spans="1:34" x14ac:dyDescent="0.2">
      <c r="A30" s="10">
        <f t="shared" si="0"/>
        <v>2024</v>
      </c>
      <c r="B30" s="10">
        <f t="shared" si="1"/>
        <v>10</v>
      </c>
      <c r="D30" s="10" t="s">
        <v>32</v>
      </c>
      <c r="E30" s="25" t="d">
        <v>2024-10-01</v>
      </c>
      <c r="F30" s="26">
        <v>2621909</v>
      </c>
      <c r="G30" s="26">
        <v>80735</v>
      </c>
      <c r="H30" s="26">
        <v>731369104</v>
      </c>
      <c r="I30" s="26">
        <v>23933635</v>
      </c>
      <c r="J30" s="26">
        <v>2627627</v>
      </c>
      <c r="K30" s="26">
        <v>49744</v>
      </c>
      <c r="L30" s="26">
        <v>1700000</v>
      </c>
      <c r="M30" s="26">
        <v>0</v>
      </c>
      <c r="N30" s="26">
        <v>7800000</v>
      </c>
      <c r="O30" s="26">
        <v>100000</v>
      </c>
      <c r="P30" s="26">
        <v>659000</v>
      </c>
      <c r="Q30" s="26">
        <v>8000</v>
      </c>
      <c r="R30" s="26">
        <v>620914397</v>
      </c>
      <c r="S30" s="26">
        <v>8913525</v>
      </c>
      <c r="T30" s="26">
        <v>3366007</v>
      </c>
      <c r="U30" s="26">
        <v>46531</v>
      </c>
      <c r="V30" s="26">
        <v>50238</v>
      </c>
      <c r="W30" s="26">
        <v>4674</v>
      </c>
      <c r="X30" s="26">
        <v>139</v>
      </c>
      <c r="Y30" s="26" t="s">
        <v>31</v>
      </c>
      <c r="Z30" s="26" t="s">
        <v>31</v>
      </c>
      <c r="AA30" s="26">
        <v>4413025</v>
      </c>
      <c r="AB30" s="26">
        <v>35783</v>
      </c>
      <c r="AC30" s="26">
        <v>39177</v>
      </c>
      <c r="AD30" s="26">
        <v>102</v>
      </c>
      <c r="AE30" s="26" t="s">
        <v>31</v>
      </c>
      <c r="AF30" s="26" t="s">
        <v>31</v>
      </c>
      <c r="AG30" s="26">
        <v>216897</v>
      </c>
      <c r="AH30" s="26">
        <v>379</v>
      </c>
    </row>
    <row r="31" spans="1:34" x14ac:dyDescent="0.2">
      <c r="A31" s="10">
        <f t="shared" si="0"/>
        <v>2024</v>
      </c>
      <c r="B31" s="10">
        <f t="shared" si="1"/>
        <v>11</v>
      </c>
      <c r="D31" s="10" t="s">
        <v>32</v>
      </c>
      <c r="E31" s="25" t="d">
        <v>2024-11-01</v>
      </c>
      <c r="F31" s="26">
        <v>2662018</v>
      </c>
      <c r="G31" s="26">
        <v>40109</v>
      </c>
      <c r="H31" s="26">
        <v>756164146</v>
      </c>
      <c r="I31" s="26">
        <v>24443697</v>
      </c>
      <c r="J31" s="26">
        <v>2704198</v>
      </c>
      <c r="K31" s="26">
        <v>76571</v>
      </c>
      <c r="L31" s="26">
        <v>1760000</v>
      </c>
      <c r="M31" s="26">
        <v>60000</v>
      </c>
      <c r="N31" s="26">
        <v>7800000</v>
      </c>
      <c r="O31" s="26">
        <v>0</v>
      </c>
      <c r="P31" s="26">
        <v>666000</v>
      </c>
      <c r="Q31" s="26">
        <v>7000</v>
      </c>
      <c r="R31" s="26">
        <v>629457436</v>
      </c>
      <c r="S31" s="26">
        <v>8543039</v>
      </c>
      <c r="T31" s="26">
        <v>3384767</v>
      </c>
      <c r="U31" s="26">
        <v>18760</v>
      </c>
      <c r="V31" s="26">
        <v>383875</v>
      </c>
      <c r="W31" s="26">
        <v>4794</v>
      </c>
      <c r="X31" s="26">
        <v>120</v>
      </c>
      <c r="Y31" s="26" t="s">
        <v>31</v>
      </c>
      <c r="Z31" s="26" t="s">
        <v>31</v>
      </c>
      <c r="AA31" s="26">
        <v>4413493</v>
      </c>
      <c r="AB31" s="26">
        <v>468</v>
      </c>
      <c r="AC31" s="26">
        <v>39277</v>
      </c>
      <c r="AD31" s="26">
        <v>100</v>
      </c>
      <c r="AE31" s="26">
        <v>5554464</v>
      </c>
      <c r="AF31" s="26">
        <v>564</v>
      </c>
      <c r="AG31" s="26">
        <v>217307</v>
      </c>
      <c r="AH31" s="26">
        <v>410</v>
      </c>
    </row>
    <row r="32" spans="1:34" x14ac:dyDescent="0.2">
      <c r="A32" s="10">
        <f t="shared" si="0"/>
        <v>2024</v>
      </c>
      <c r="B32" s="10">
        <f t="shared" si="1"/>
        <v>12</v>
      </c>
      <c r="D32" s="10" t="s">
        <v>32</v>
      </c>
      <c r="E32" s="25" t="d">
        <v>2024-12-01</v>
      </c>
      <c r="F32" s="26">
        <v>2708797</v>
      </c>
      <c r="G32" s="26">
        <v>46779</v>
      </c>
      <c r="H32" s="26">
        <v>786515553</v>
      </c>
      <c r="I32" s="26">
        <v>29917017</v>
      </c>
      <c r="J32" s="26">
        <v>2931422</v>
      </c>
      <c r="K32" s="26">
        <v>227224</v>
      </c>
      <c r="L32" s="26">
        <v>1800000</v>
      </c>
      <c r="M32" s="26">
        <v>40000</v>
      </c>
      <c r="N32" s="26">
        <v>8900000</v>
      </c>
      <c r="O32" s="26">
        <v>1100000</v>
      </c>
      <c r="P32" s="26">
        <v>693000</v>
      </c>
      <c r="Q32" s="26">
        <v>27000</v>
      </c>
      <c r="R32" s="26">
        <v>641883773</v>
      </c>
      <c r="S32" s="26">
        <v>11992335</v>
      </c>
      <c r="T32" s="26">
        <v>3407234</v>
      </c>
      <c r="U32" s="26">
        <v>22467</v>
      </c>
      <c r="V32" s="26">
        <v>307733</v>
      </c>
      <c r="W32" s="26">
        <v>4916</v>
      </c>
      <c r="X32" s="26">
        <v>122</v>
      </c>
      <c r="Y32" s="26" t="s">
        <v>31</v>
      </c>
      <c r="Z32" s="26" t="s">
        <v>31</v>
      </c>
      <c r="AA32" s="26">
        <v>4424809</v>
      </c>
      <c r="AB32" s="26">
        <v>11316</v>
      </c>
      <c r="AC32" s="26">
        <v>39383</v>
      </c>
      <c r="AD32" s="26">
        <v>106</v>
      </c>
      <c r="AE32" s="26">
        <v>5571785</v>
      </c>
      <c r="AF32" s="26">
        <v>17321</v>
      </c>
      <c r="AG32" s="26">
        <v>217769</v>
      </c>
      <c r="AH32" s="26">
        <v>462</v>
      </c>
    </row>
    <row r="33" spans="1:34" x14ac:dyDescent="0.2">
      <c r="A33" s="10">
        <f t="shared" si="0"/>
        <v>2025</v>
      </c>
      <c r="B33" s="10">
        <f t="shared" si="1"/>
        <v>1</v>
      </c>
      <c r="D33" s="10" t="s">
        <v>32</v>
      </c>
      <c r="E33" s="25" t="d">
        <v>2025-01-01</v>
      </c>
      <c r="F33" s="26">
        <v>2771816</v>
      </c>
      <c r="G33" s="26">
        <v>63019</v>
      </c>
      <c r="H33" s="26">
        <v>827251443</v>
      </c>
      <c r="I33" s="26">
        <v>40299124</v>
      </c>
      <c r="J33" s="26">
        <v>3572918</v>
      </c>
      <c r="K33" s="26">
        <v>641496</v>
      </c>
      <c r="L33" s="26">
        <v>1800000</v>
      </c>
      <c r="M33" s="26">
        <v>0</v>
      </c>
      <c r="N33" s="26">
        <v>9100000</v>
      </c>
      <c r="O33" s="26">
        <v>200000</v>
      </c>
      <c r="P33" s="26">
        <v>736000</v>
      </c>
      <c r="Q33" s="26">
        <v>43000</v>
      </c>
      <c r="R33" s="26">
        <v>659449218</v>
      </c>
      <c r="S33" s="26">
        <v>17565445</v>
      </c>
      <c r="T33" s="26">
        <v>3427759</v>
      </c>
      <c r="U33" s="26">
        <v>20525</v>
      </c>
      <c r="V33" s="26">
        <v>343951</v>
      </c>
      <c r="W33" s="26">
        <v>5024</v>
      </c>
      <c r="X33" s="26">
        <v>108</v>
      </c>
      <c r="Y33" s="26" t="s">
        <v>31</v>
      </c>
      <c r="Z33" s="26" t="s">
        <v>31</v>
      </c>
      <c r="AA33" s="26">
        <v>4451986</v>
      </c>
      <c r="AB33" s="26">
        <v>27177</v>
      </c>
      <c r="AC33" s="26">
        <v>39498</v>
      </c>
      <c r="AD33" s="26">
        <v>115</v>
      </c>
      <c r="AE33" s="26">
        <v>5590126</v>
      </c>
      <c r="AF33" s="26">
        <v>18341</v>
      </c>
      <c r="AG33" s="26">
        <v>218329</v>
      </c>
      <c r="AH33" s="26">
        <v>560</v>
      </c>
    </row>
    <row r="34" spans="1:34" x14ac:dyDescent="0.2">
      <c r="A34" s="10">
        <f t="shared" si="0"/>
        <v>2025</v>
      </c>
      <c r="B34" s="10">
        <f t="shared" si="1"/>
        <v>2</v>
      </c>
      <c r="D34" s="10" t="s">
        <v>32</v>
      </c>
      <c r="E34" s="25" t="d">
        <v>2025-02-01</v>
      </c>
      <c r="F34" s="26">
        <v>2821351</v>
      </c>
      <c r="G34" s="26">
        <v>49535</v>
      </c>
      <c r="H34" s="26">
        <v>856582922</v>
      </c>
      <c r="I34" s="26">
        <v>29331557</v>
      </c>
      <c r="J34" s="26">
        <v>2774789</v>
      </c>
      <c r="K34" s="26">
        <v>-798129</v>
      </c>
      <c r="L34" s="26">
        <v>1840000</v>
      </c>
      <c r="M34" s="26">
        <v>40000</v>
      </c>
      <c r="N34" s="26">
        <v>9540000</v>
      </c>
      <c r="O34" s="26">
        <v>440000</v>
      </c>
      <c r="P34" s="26">
        <v>779000</v>
      </c>
      <c r="Q34" s="26">
        <v>43000</v>
      </c>
      <c r="R34" s="26">
        <v>675765340</v>
      </c>
      <c r="S34" s="26">
        <v>16316122</v>
      </c>
      <c r="T34" s="26">
        <v>3454163</v>
      </c>
      <c r="U34" s="26">
        <v>26404</v>
      </c>
      <c r="V34" s="26">
        <v>722360</v>
      </c>
      <c r="W34" s="26">
        <v>5122</v>
      </c>
      <c r="X34" s="26">
        <v>98</v>
      </c>
      <c r="Y34" s="26" t="s">
        <v>31</v>
      </c>
      <c r="Z34" s="26" t="s">
        <v>31</v>
      </c>
      <c r="AA34" s="26">
        <v>4480162</v>
      </c>
      <c r="AB34" s="26">
        <v>28176</v>
      </c>
      <c r="AC34" s="26">
        <v>39616</v>
      </c>
      <c r="AD34" s="26">
        <v>118</v>
      </c>
      <c r="AE34" s="26">
        <v>5607808</v>
      </c>
      <c r="AF34" s="26">
        <v>17682</v>
      </c>
      <c r="AG34" s="26">
        <v>218770</v>
      </c>
      <c r="AH34" s="26">
        <v>441</v>
      </c>
    </row>
    <row r="35" spans="1:34" x14ac:dyDescent="0.2">
      <c r="A35" s="10">
        <f t="shared" si="0"/>
        <v>2025</v>
      </c>
      <c r="B35" s="10">
        <f t="shared" si="1"/>
        <v>3</v>
      </c>
      <c r="D35" s="10" t="s">
        <v>32</v>
      </c>
      <c r="E35" s="25" t="d">
        <v>2025-03-01</v>
      </c>
      <c r="F35" s="26">
        <v>2868573</v>
      </c>
      <c r="G35" s="26">
        <v>47222</v>
      </c>
      <c r="H35" s="26">
        <v>883686152</v>
      </c>
      <c r="I35" s="26">
        <v>26777718</v>
      </c>
      <c r="J35" s="26">
        <v>3029601</v>
      </c>
      <c r="K35" s="26">
        <v>254812</v>
      </c>
      <c r="L35" s="26">
        <v>1840000</v>
      </c>
      <c r="M35" s="26">
        <v>0</v>
      </c>
      <c r="N35" s="26">
        <v>9540000</v>
      </c>
      <c r="O35" s="26">
        <v>0</v>
      </c>
      <c r="P35" s="26">
        <v>836000</v>
      </c>
      <c r="Q35" s="26">
        <v>57000</v>
      </c>
      <c r="R35" s="26">
        <v>697553956</v>
      </c>
      <c r="S35" s="26">
        <v>21193066</v>
      </c>
      <c r="T35" s="26">
        <v>3465384</v>
      </c>
      <c r="U35" s="26">
        <v>11221</v>
      </c>
      <c r="V35" s="26">
        <v>257505</v>
      </c>
      <c r="W35" s="26">
        <v>5197</v>
      </c>
      <c r="X35" s="26">
        <v>75</v>
      </c>
      <c r="Y35" s="26" t="s">
        <v>31</v>
      </c>
      <c r="Z35" s="26" t="s">
        <v>31</v>
      </c>
      <c r="AA35" s="26">
        <v>4482978</v>
      </c>
      <c r="AB35" s="26">
        <v>2816</v>
      </c>
      <c r="AC35" s="26">
        <v>39731</v>
      </c>
      <c r="AD35" s="26">
        <v>115</v>
      </c>
      <c r="AE35" s="26">
        <v>5624033</v>
      </c>
      <c r="AF35" s="26">
        <v>16131</v>
      </c>
      <c r="AG35" s="26">
        <v>219086</v>
      </c>
      <c r="AH35" s="26">
        <v>316</v>
      </c>
    </row>
    <row r="36" spans="1:34" x14ac:dyDescent="0.2">
      <c r="A36" s="10">
        <f t="shared" si="0"/>
        <v>2025</v>
      </c>
      <c r="B36" s="10">
        <f t="shared" si="1"/>
        <v>4</v>
      </c>
      <c r="D36" s="10" t="s">
        <v>32</v>
      </c>
      <c r="E36" s="25" t="d">
        <v>2025-04-01</v>
      </c>
      <c r="F36" s="26">
        <v>2915282</v>
      </c>
      <c r="G36" s="26">
        <v>46709</v>
      </c>
      <c r="H36" s="26">
        <v>915573739</v>
      </c>
      <c r="I36" s="26">
        <v>30576808</v>
      </c>
      <c r="J36" s="26">
        <v>3311287</v>
      </c>
      <c r="K36" s="26">
        <v>281686</v>
      </c>
      <c r="L36" s="26">
        <v>1840000</v>
      </c>
      <c r="M36" s="26">
        <v>0</v>
      </c>
      <c r="N36" s="26">
        <v>9540000</v>
      </c>
      <c r="O36" s="26">
        <v>0</v>
      </c>
      <c r="P36" s="26">
        <v>894000</v>
      </c>
      <c r="Q36" s="26">
        <v>58000</v>
      </c>
      <c r="R36" s="26">
        <v>719795809</v>
      </c>
      <c r="S36" s="26">
        <v>21805650</v>
      </c>
      <c r="T36" s="26">
        <v>3468796</v>
      </c>
      <c r="U36" s="26">
        <v>3412</v>
      </c>
      <c r="V36" s="26">
        <v>321530</v>
      </c>
      <c r="W36" s="26">
        <v>5265</v>
      </c>
      <c r="X36" s="26">
        <v>68</v>
      </c>
      <c r="Y36" s="26" t="s">
        <v>31</v>
      </c>
      <c r="Z36" s="26" t="s">
        <v>31</v>
      </c>
      <c r="AA36" s="26">
        <v>4490262</v>
      </c>
      <c r="AB36" s="26">
        <v>7284</v>
      </c>
      <c r="AC36" s="26">
        <v>39872</v>
      </c>
      <c r="AD36" s="26">
        <v>141</v>
      </c>
      <c r="AE36" s="26">
        <v>5642150</v>
      </c>
      <c r="AF36" s="26">
        <v>17724</v>
      </c>
      <c r="AG36" s="26">
        <v>219717</v>
      </c>
      <c r="AH36" s="26">
        <v>631</v>
      </c>
    </row>
    <row r="37" spans="1:34" x14ac:dyDescent="0.2">
      <c r="A37" s="10">
        <f t="shared" si="0"/>
        <v>2025</v>
      </c>
      <c r="B37" s="10">
        <f t="shared" si="1"/>
        <v>5</v>
      </c>
      <c r="D37" s="10" t="s">
        <v>32</v>
      </c>
      <c r="E37" s="25" t="d">
        <v>2025-05-01</v>
      </c>
      <c r="F37" s="26">
        <v>2978428</v>
      </c>
      <c r="G37" s="26">
        <v>63146</v>
      </c>
      <c r="H37" s="26">
        <v>949780533</v>
      </c>
      <c r="I37" s="26">
        <v>34110636</v>
      </c>
      <c r="J37" s="26">
        <v>3463175</v>
      </c>
      <c r="K37" s="26">
        <v>151888</v>
      </c>
      <c r="L37" s="26">
        <v>1840000</v>
      </c>
      <c r="M37" s="26">
        <v>0</v>
      </c>
      <c r="N37" s="26">
        <v>9540000</v>
      </c>
      <c r="O37" s="26">
        <v>0</v>
      </c>
      <c r="P37" s="26">
        <v>954000</v>
      </c>
      <c r="Q37" s="26">
        <v>60000</v>
      </c>
      <c r="R37" s="26">
        <v>741653373</v>
      </c>
      <c r="S37" s="26">
        <v>21837172</v>
      </c>
      <c r="T37" s="26">
        <v>3473592</v>
      </c>
      <c r="U37" s="26">
        <v>4796</v>
      </c>
      <c r="V37" s="26">
        <v>291857</v>
      </c>
      <c r="W37" s="26">
        <v>5327</v>
      </c>
      <c r="X37" s="26">
        <v>62</v>
      </c>
      <c r="Y37" s="26" t="s">
        <v>31</v>
      </c>
      <c r="Z37" s="26" t="s">
        <v>31</v>
      </c>
      <c r="AA37" s="26">
        <v>4492236</v>
      </c>
      <c r="AB37" s="26">
        <v>1974</v>
      </c>
      <c r="AC37" s="26">
        <v>40040</v>
      </c>
      <c r="AD37" s="26">
        <v>168</v>
      </c>
      <c r="AE37" s="26">
        <v>5660744</v>
      </c>
      <c r="AF37" s="26">
        <v>18589</v>
      </c>
      <c r="AG37" s="26">
        <v>220138</v>
      </c>
      <c r="AH37" s="26">
        <v>421</v>
      </c>
    </row>
    <row r="38" spans="1:34" x14ac:dyDescent="0.2">
      <c r="A38" s="10">
        <f t="shared" si="0"/>
        <v>2025</v>
      </c>
      <c r="B38" s="10">
        <f t="shared" si="1"/>
        <v>6</v>
      </c>
      <c r="D38" s="10" t="s">
        <v>32</v>
      </c>
      <c r="E38" s="25" t="d">
        <v>2025-06-01</v>
      </c>
      <c r="F38" s="26">
        <v>3037394</v>
      </c>
      <c r="G38" s="26">
        <v>58966</v>
      </c>
      <c r="H38" s="26">
        <v>984536074</v>
      </c>
      <c r="I38" s="26">
        <v>34619866</v>
      </c>
      <c r="J38" s="26">
        <v>3433738</v>
      </c>
      <c r="K38" s="26">
        <v>-29437</v>
      </c>
      <c r="L38" s="26">
        <v>1840000</v>
      </c>
      <c r="M38" s="26">
        <v>0</v>
      </c>
      <c r="N38" s="26">
        <v>9540000</v>
      </c>
      <c r="O38" s="26">
        <v>0</v>
      </c>
      <c r="P38" s="26">
        <v>1000000</v>
      </c>
      <c r="Q38" s="26">
        <v>46000</v>
      </c>
      <c r="R38" s="26">
        <v>759614400</v>
      </c>
      <c r="S38" s="26">
        <v>17955254</v>
      </c>
      <c r="T38" s="26">
        <v>3481607</v>
      </c>
      <c r="U38" s="26">
        <v>8015</v>
      </c>
      <c r="V38" s="26">
        <v>190547</v>
      </c>
      <c r="W38" s="26">
        <v>6451</v>
      </c>
      <c r="X38" s="26">
        <v>1124</v>
      </c>
      <c r="Y38" s="26" t="s">
        <v>31</v>
      </c>
      <c r="Z38" s="26" t="s">
        <v>31</v>
      </c>
      <c r="AA38" s="26">
        <v>4495813</v>
      </c>
      <c r="AB38" s="26">
        <v>3577</v>
      </c>
      <c r="AC38" s="26">
        <v>40170</v>
      </c>
      <c r="AD38" s="26">
        <v>130</v>
      </c>
      <c r="AE38" s="26">
        <v>5680946</v>
      </c>
      <c r="AF38" s="26">
        <v>20201</v>
      </c>
      <c r="AG38" s="26">
        <v>220573</v>
      </c>
      <c r="AH38" s="26">
        <v>435</v>
      </c>
    </row>
    <row r="39" spans="1:34" x14ac:dyDescent="0.2">
      <c r="A39" s="10">
        <f t="shared" si="0"/>
        <v>2025</v>
      </c>
      <c r="B39" s="10">
        <f t="shared" si="1"/>
        <v>7</v>
      </c>
      <c r="D39" s="10" t="s">
        <v>32</v>
      </c>
      <c r="E39" s="25" t="d">
        <v>2025-07-01</v>
      </c>
      <c r="F39" s="26">
        <v>3113325</v>
      </c>
      <c r="G39" s="26">
        <v>75931</v>
      </c>
      <c r="H39" s="26">
        <v>1015338775</v>
      </c>
      <c r="I39" s="26">
        <v>30723975</v>
      </c>
      <c r="J39" s="26">
        <v>3515461</v>
      </c>
      <c r="K39" s="26">
        <v>81723</v>
      </c>
      <c r="L39" s="26">
        <v>2020000</v>
      </c>
      <c r="M39" s="26">
        <v>180000</v>
      </c>
      <c r="N39" s="26">
        <v>11920000</v>
      </c>
      <c r="O39" s="26">
        <v>2380000</v>
      </c>
      <c r="P39" s="26">
        <v>1040000</v>
      </c>
      <c r="Q39" s="26">
        <v>40000</v>
      </c>
      <c r="R39" s="26">
        <v>776839652</v>
      </c>
      <c r="S39" s="26">
        <v>17216620</v>
      </c>
      <c r="T39" s="26">
        <v>3488933</v>
      </c>
      <c r="U39" s="26">
        <v>7326</v>
      </c>
      <c r="V39" s="26">
        <v>180987</v>
      </c>
      <c r="W39" s="26">
        <v>7964</v>
      </c>
      <c r="X39" s="26">
        <v>1513</v>
      </c>
      <c r="Y39" s="26" t="s">
        <v>31</v>
      </c>
      <c r="Z39" s="26" t="s">
        <v>31</v>
      </c>
      <c r="AA39" s="26">
        <v>4495139</v>
      </c>
      <c r="AB39" s="26">
        <v>-674</v>
      </c>
      <c r="AC39" s="26">
        <v>40293</v>
      </c>
      <c r="AD39" s="26">
        <v>123</v>
      </c>
      <c r="AE39" s="26">
        <v>5699570</v>
      </c>
      <c r="AF39" s="26">
        <v>18624</v>
      </c>
      <c r="AG39" s="26">
        <v>221116</v>
      </c>
      <c r="AH39" s="26">
        <v>543</v>
      </c>
    </row>
    <row r="40" spans="1:34" x14ac:dyDescent="0.2">
      <c r="A40" s="10">
        <f t="shared" si="0"/>
        <v>2025</v>
      </c>
      <c r="B40" s="10">
        <f t="shared" si="1"/>
        <v>8</v>
      </c>
      <c r="D40" s="10" t="s">
        <v>32</v>
      </c>
      <c r="E40" s="25" t="d">
        <v>2025-08-01</v>
      </c>
      <c r="F40" s="26">
        <v>3205657</v>
      </c>
      <c r="G40" s="26">
        <v>92332</v>
      </c>
      <c r="H40" s="26">
        <v>1051342700</v>
      </c>
      <c r="I40" s="26">
        <v>35670325</v>
      </c>
      <c r="J40" s="26">
        <v>3671315</v>
      </c>
      <c r="K40" s="26">
        <v>155854</v>
      </c>
      <c r="L40" s="26">
        <v>2100000</v>
      </c>
      <c r="M40" s="26">
        <v>80000</v>
      </c>
      <c r="N40" s="26">
        <v>14200000</v>
      </c>
      <c r="O40" s="26">
        <v>2280000</v>
      </c>
      <c r="P40" s="26">
        <v>1080000</v>
      </c>
      <c r="Q40" s="26">
        <v>40000</v>
      </c>
      <c r="R40" s="26">
        <v>793010580</v>
      </c>
      <c r="S40" s="26">
        <v>15998864</v>
      </c>
      <c r="T40" s="26">
        <v>3505744</v>
      </c>
      <c r="U40" s="26">
        <v>16811</v>
      </c>
      <c r="V40" s="26">
        <v>641992</v>
      </c>
      <c r="W40" s="26">
        <v>9379</v>
      </c>
      <c r="X40" s="26">
        <v>1415</v>
      </c>
      <c r="Y40" s="26" t="s">
        <v>31</v>
      </c>
      <c r="Z40" s="26" t="s">
        <v>31</v>
      </c>
      <c r="AA40" s="26">
        <v>4497678</v>
      </c>
      <c r="AB40" s="26">
        <v>2539</v>
      </c>
      <c r="AC40" s="26">
        <v>40438</v>
      </c>
      <c r="AD40" s="26">
        <v>145</v>
      </c>
      <c r="AE40" s="26">
        <v>5719328</v>
      </c>
      <c r="AF40" s="26">
        <v>19758</v>
      </c>
      <c r="AG40" s="26">
        <v>221761</v>
      </c>
      <c r="AH40" s="26">
        <v>645</v>
      </c>
    </row>
    <row r="41" spans="1:34" x14ac:dyDescent="0.2">
      <c r="A41" s="10">
        <f t="shared" si="0"/>
        <v>2025</v>
      </c>
      <c r="B41" s="10">
        <f t="shared" si="1"/>
        <v>9</v>
      </c>
      <c r="D41" s="10" t="s">
        <v>32</v>
      </c>
      <c r="E41" s="25" t="d">
        <v>2025-09-01</v>
      </c>
      <c r="F41" s="26">
        <v>3317371</v>
      </c>
      <c r="G41" s="26">
        <v>111714</v>
      </c>
      <c r="H41" s="26">
        <v>1085492942</v>
      </c>
      <c r="I41" s="26">
        <v>33582078</v>
      </c>
      <c r="J41" s="26">
        <v>3955627</v>
      </c>
      <c r="K41" s="26">
        <v>284312</v>
      </c>
      <c r="L41" s="26">
        <v>2200000</v>
      </c>
      <c r="M41" s="26">
        <v>100000</v>
      </c>
      <c r="N41" s="26">
        <v>15300000</v>
      </c>
      <c r="O41" s="26">
        <v>1100000</v>
      </c>
      <c r="P41" s="26">
        <v>1210000</v>
      </c>
      <c r="Q41" s="26">
        <v>130000</v>
      </c>
      <c r="R41" s="26">
        <v>810456354</v>
      </c>
      <c r="S41" s="26">
        <v>17141301</v>
      </c>
      <c r="T41" s="26">
        <v>3535093</v>
      </c>
      <c r="U41" s="26">
        <v>29349</v>
      </c>
      <c r="V41" s="26">
        <v>492528</v>
      </c>
      <c r="W41" s="26">
        <v>11077</v>
      </c>
      <c r="X41" s="26">
        <v>1698</v>
      </c>
      <c r="Y41" s="26" t="s">
        <v>31</v>
      </c>
      <c r="Z41" s="26" t="s">
        <v>31</v>
      </c>
      <c r="AA41" s="26">
        <v>4507480</v>
      </c>
      <c r="AB41" s="26">
        <v>9802</v>
      </c>
      <c r="AC41" s="26">
        <v>40574</v>
      </c>
      <c r="AD41" s="26">
        <v>136</v>
      </c>
      <c r="AE41" s="26">
        <v>5738839</v>
      </c>
      <c r="AF41" s="26">
        <v>19511</v>
      </c>
      <c r="AG41" s="26">
        <v>222332</v>
      </c>
      <c r="AH41" s="26">
        <v>571</v>
      </c>
    </row>
    <row r="42" spans="1:34" x14ac:dyDescent="0.2">
      <c r="A42" s="10">
        <f t="shared" si="0"/>
        <v>2025</v>
      </c>
      <c r="B42" s="10">
        <f t="shared" si="1"/>
        <v>10</v>
      </c>
      <c r="D42" s="10" t="s">
        <v>32</v>
      </c>
      <c r="E42" s="25" t="d">
        <v>2025-10-01</v>
      </c>
      <c r="F42" s="26">
        <v>3442852</v>
      </c>
      <c r="G42" s="26">
        <v>125481</v>
      </c>
      <c r="H42" s="26">
        <v>1125735915</v>
      </c>
      <c r="I42" s="26">
        <v>39494590</v>
      </c>
      <c r="J42" s="26">
        <v>3947710</v>
      </c>
      <c r="K42" s="26">
        <v>-7917</v>
      </c>
      <c r="L42" s="26">
        <v>2300000</v>
      </c>
      <c r="M42" s="26">
        <v>100000</v>
      </c>
      <c r="N42" s="26">
        <v>16600000</v>
      </c>
      <c r="O42" s="26">
        <v>1300000</v>
      </c>
      <c r="P42" s="26">
        <v>1250000</v>
      </c>
      <c r="Q42" s="26">
        <v>40000</v>
      </c>
      <c r="R42" s="26">
        <v>826909470</v>
      </c>
      <c r="S42" s="26">
        <v>16445418</v>
      </c>
      <c r="T42" s="26">
        <v>3594944</v>
      </c>
      <c r="U42" s="26">
        <v>59851</v>
      </c>
      <c r="V42" s="26">
        <v>270424</v>
      </c>
      <c r="W42" s="26">
        <v>12547</v>
      </c>
      <c r="X42" s="26">
        <v>1470</v>
      </c>
      <c r="Y42" s="26" t="s">
        <v>31</v>
      </c>
      <c r="Z42" s="26" t="s">
        <v>31</v>
      </c>
      <c r="AA42" s="26">
        <v>4511759</v>
      </c>
      <c r="AB42" s="26">
        <v>4279</v>
      </c>
      <c r="AC42" s="26">
        <v>40688</v>
      </c>
      <c r="AD42" s="26">
        <v>114</v>
      </c>
      <c r="AE42" s="26">
        <v>5756807</v>
      </c>
      <c r="AF42" s="26">
        <v>17968</v>
      </c>
      <c r="AG42" s="26">
        <v>222789</v>
      </c>
      <c r="AH42" s="26">
        <v>457</v>
      </c>
    </row>
    <row r="43" spans="1:34" x14ac:dyDescent="0.2">
      <c r="A43" s="10">
        <f t="shared" si="0"/>
        <v>2025</v>
      </c>
      <c r="B43" s="10">
        <f t="shared" si="1"/>
        <v>11</v>
      </c>
      <c r="D43" s="10" t="s">
        <v>32</v>
      </c>
      <c r="E43" s="25" t="d">
        <v>2025-11-01</v>
      </c>
      <c r="F43" s="26">
        <v>3587250</v>
      </c>
      <c r="G43" s="26">
        <v>144398</v>
      </c>
      <c r="H43" s="26">
        <v>1156416142</v>
      </c>
      <c r="I43" s="26">
        <v>33485231</v>
      </c>
      <c r="J43" s="26">
        <v>4311445</v>
      </c>
      <c r="K43" s="26">
        <v>363735</v>
      </c>
      <c r="L43" s="26">
        <v>2300000</v>
      </c>
      <c r="M43" s="26">
        <v>0</v>
      </c>
      <c r="N43" s="26">
        <v>17000000</v>
      </c>
      <c r="O43" s="26">
        <v>400000</v>
      </c>
      <c r="P43" s="26">
        <v>1280000</v>
      </c>
      <c r="Q43" s="26">
        <v>30000</v>
      </c>
      <c r="R43" s="26">
        <v>838718686</v>
      </c>
      <c r="S43" s="26">
        <v>15576373</v>
      </c>
      <c r="T43" s="26">
        <v>3620315</v>
      </c>
      <c r="U43" s="26">
        <v>25371</v>
      </c>
      <c r="V43" s="26">
        <v>427832</v>
      </c>
      <c r="W43" s="26">
        <v>13998</v>
      </c>
      <c r="X43" s="26">
        <v>1498</v>
      </c>
      <c r="Y43" s="26" t="s">
        <v>31</v>
      </c>
      <c r="Z43" s="26" t="s">
        <v>31</v>
      </c>
      <c r="AA43" s="26">
        <v>4510488</v>
      </c>
      <c r="AB43" s="26">
        <v>-1271</v>
      </c>
      <c r="AC43" s="26">
        <v>40804</v>
      </c>
      <c r="AD43" s="26">
        <v>116</v>
      </c>
      <c r="AE43" s="26">
        <v>5774984</v>
      </c>
      <c r="AF43" s="26">
        <v>18200</v>
      </c>
      <c r="AG43" s="26">
        <v>223253</v>
      </c>
      <c r="AH43" s="26">
        <v>464</v>
      </c>
    </row>
    <row r="44" spans="1:34" x14ac:dyDescent="0.2">
      <c r="A44" s="10">
        <f t="shared" si="0"/>
        <v>2025</v>
      </c>
      <c r="B44" s="10">
        <f t="shared" si="1"/>
        <v>12</v>
      </c>
      <c r="D44" s="10" t="s">
        <v>32</v>
      </c>
      <c r="E44" s="25" t="d">
        <v>2025-12-01</v>
      </c>
      <c r="F44" s="26">
        <v>3706595</v>
      </c>
      <c r="G44" s="26">
        <v>119345</v>
      </c>
      <c r="H44" s="26">
        <v>1204557838</v>
      </c>
      <c r="I44" s="26">
        <v>47907820</v>
      </c>
      <c r="J44" s="26">
        <v>5272355</v>
      </c>
      <c r="K44" s="26">
        <v>960910</v>
      </c>
      <c r="L44" s="26">
        <v>2300000</v>
      </c>
      <c r="M44" s="26">
        <v>0</v>
      </c>
      <c r="N44" s="26">
        <v>17500000</v>
      </c>
      <c r="O44" s="26">
        <v>500000</v>
      </c>
      <c r="P44" s="26">
        <v>1310000</v>
      </c>
      <c r="Q44" s="26">
        <v>30000</v>
      </c>
      <c r="R44" s="26">
        <v>855715254</v>
      </c>
      <c r="S44" s="26">
        <v>16980065</v>
      </c>
      <c r="T44" s="26">
        <v>3640245</v>
      </c>
      <c r="U44" s="26">
        <v>19930</v>
      </c>
      <c r="V44" s="26">
        <v>220111</v>
      </c>
      <c r="W44" s="26">
        <v>15218</v>
      </c>
      <c r="X44" s="26">
        <v>1220</v>
      </c>
      <c r="Y44" s="26" t="s">
        <v>31</v>
      </c>
      <c r="Z44" s="26" t="s">
        <v>31</v>
      </c>
      <c r="AA44" s="26">
        <v>4517340</v>
      </c>
      <c r="AB44" s="26">
        <v>6852</v>
      </c>
      <c r="AC44" s="26">
        <v>40925</v>
      </c>
      <c r="AD44" s="26">
        <v>121</v>
      </c>
      <c r="AE44" s="26">
        <v>5795998</v>
      </c>
      <c r="AF44" s="26">
        <v>21008</v>
      </c>
      <c r="AG44" s="26">
        <v>223633</v>
      </c>
      <c r="AH44" s="26">
        <v>380</v>
      </c>
    </row>
    <row r="45" spans="1:34" x14ac:dyDescent="0.2">
      <c r="A45" s="10">
        <f t="shared" si="0"/>
        <v>2026</v>
      </c>
      <c r="B45" s="10">
        <f t="shared" si="1"/>
        <v>1</v>
      </c>
      <c r="D45" s="10" t="s">
        <v>32</v>
      </c>
      <c r="E45" s="25" t="d">
        <v>2026-01-01</v>
      </c>
      <c r="F45" s="26">
        <v>3870585</v>
      </c>
      <c r="G45" s="26">
        <v>163990</v>
      </c>
      <c r="H45" s="26">
        <v>1259570282</v>
      </c>
      <c r="I45" s="26">
        <v>46381790</v>
      </c>
      <c r="J45" s="26">
        <v>5767124</v>
      </c>
      <c r="K45" s="26">
        <v>494769</v>
      </c>
      <c r="L45" s="26">
        <v>2310000</v>
      </c>
      <c r="M45" s="26">
        <v>10000</v>
      </c>
      <c r="N45" s="26">
        <v>17900000</v>
      </c>
      <c r="O45" s="26">
        <v>400000</v>
      </c>
      <c r="P45" s="26">
        <v>1330000</v>
      </c>
      <c r="Q45" s="26">
        <v>20000</v>
      </c>
      <c r="R45" s="26">
        <v>878551088</v>
      </c>
      <c r="S45" s="26">
        <v>22818431</v>
      </c>
      <c r="T45" s="26">
        <v>3682336</v>
      </c>
      <c r="U45" s="26">
        <v>42091</v>
      </c>
      <c r="V45" s="26">
        <v>243698</v>
      </c>
      <c r="W45" s="26">
        <v>16536</v>
      </c>
      <c r="X45" s="26">
        <v>1318</v>
      </c>
      <c r="Y45" s="26" t="s">
        <v>31</v>
      </c>
      <c r="Z45" s="26" t="s">
        <v>31</v>
      </c>
      <c r="AA45" s="26">
        <v>4587996</v>
      </c>
      <c r="AB45" s="26">
        <v>70656</v>
      </c>
      <c r="AC45" s="26">
        <v>41055</v>
      </c>
      <c r="AD45" s="26">
        <v>130</v>
      </c>
      <c r="AE45" s="26">
        <v>5816942</v>
      </c>
      <c r="AF45" s="26">
        <v>20944</v>
      </c>
      <c r="AG45" s="26">
        <v>224079</v>
      </c>
      <c r="AH45" s="26">
        <v>446</v>
      </c>
    </row>
    <row r="46" spans="1:34" x14ac:dyDescent="0.2">
      <c r="A46" s="10">
        <f t="shared" si="0"/>
        <v>2026</v>
      </c>
      <c r="B46" s="10">
        <f t="shared" si="1"/>
        <v>2</v>
      </c>
      <c r="D46" s="10" t="s">
        <v>32</v>
      </c>
      <c r="E46" s="25" t="d">
        <v>2026-02-01</v>
      </c>
      <c r="F46" s="26">
        <v>3977462</v>
      </c>
      <c r="G46" s="26">
        <v>106877</v>
      </c>
      <c r="H46" s="26">
        <v>1296628309</v>
      </c>
      <c r="I46" s="26">
        <v>37029000</v>
      </c>
      <c r="J46" s="26">
        <v>5024432</v>
      </c>
      <c r="K46" s="26">
        <v>-742692</v>
      </c>
      <c r="L46" s="26">
        <v>2330000</v>
      </c>
      <c r="M46" s="26">
        <v>20000</v>
      </c>
      <c r="N46" s="26">
        <v>17900000</v>
      </c>
      <c r="O46" s="26">
        <v>0</v>
      </c>
      <c r="P46" s="26">
        <v>1350000</v>
      </c>
      <c r="Q46" s="26">
        <v>20000</v>
      </c>
      <c r="R46" s="26">
        <v>894879169</v>
      </c>
      <c r="S46" s="26">
        <v>16328095</v>
      </c>
      <c r="T46" s="26">
        <v>3711134</v>
      </c>
      <c r="U46" s="26">
        <v>28798</v>
      </c>
      <c r="V46" s="26">
        <v>210942</v>
      </c>
      <c r="W46" s="26">
        <v>18077</v>
      </c>
      <c r="X46" s="26">
        <v>1541</v>
      </c>
      <c r="Y46" s="26" t="s">
        <v>31</v>
      </c>
      <c r="Z46" s="26" t="s">
        <v>31</v>
      </c>
      <c r="AA46" s="26">
        <v>4612208</v>
      </c>
      <c r="AB46" s="26">
        <v>24212</v>
      </c>
      <c r="AC46" s="26">
        <v>41143</v>
      </c>
      <c r="AD46" s="26">
        <v>88</v>
      </c>
      <c r="AE46" s="26">
        <v>5832020</v>
      </c>
      <c r="AF46" s="26">
        <v>15078</v>
      </c>
      <c r="AG46" s="26">
        <v>224409</v>
      </c>
      <c r="AH46" s="26">
        <v>330</v>
      </c>
    </row>
    <row r="47" spans="1:34" x14ac:dyDescent="0.2">
      <c r="A47" s="10">
        <f t="shared" si="0"/>
        <v>2026</v>
      </c>
      <c r="B47" s="10">
        <f t="shared" si="1"/>
        <v>3</v>
      </c>
      <c r="D47" s="10" t="s">
        <v>32</v>
      </c>
      <c r="E47" s="25" t="d">
        <v>2026-03-01</v>
      </c>
      <c r="F47" s="26">
        <v>4056869</v>
      </c>
      <c r="G47" s="26">
        <v>79407</v>
      </c>
      <c r="H47" s="26">
        <v>1328133349</v>
      </c>
      <c r="I47" s="26">
        <v>31379329</v>
      </c>
      <c r="J47" s="26">
        <v>4893966</v>
      </c>
      <c r="K47" s="26">
        <v>-130466</v>
      </c>
      <c r="L47" s="26">
        <v>2330000</v>
      </c>
      <c r="M47" s="26">
        <v>0</v>
      </c>
      <c r="N47" s="26">
        <v>17900000</v>
      </c>
      <c r="O47" s="26">
        <v>0</v>
      </c>
      <c r="P47" s="26">
        <v>1370000</v>
      </c>
      <c r="Q47" s="26">
        <v>20000</v>
      </c>
      <c r="R47" s="26">
        <v>908735145</v>
      </c>
      <c r="S47" s="26">
        <v>13855993</v>
      </c>
      <c r="T47" s="26">
        <v>3728962</v>
      </c>
      <c r="U47" s="26">
        <v>17828</v>
      </c>
      <c r="V47" s="26">
        <v>174320</v>
      </c>
      <c r="W47" s="26">
        <v>19573</v>
      </c>
      <c r="X47" s="26">
        <v>1496</v>
      </c>
      <c r="Y47" s="26" t="s">
        <v>31</v>
      </c>
      <c r="Z47" s="26" t="s">
        <v>31</v>
      </c>
      <c r="AA47" s="26">
        <v>4620784</v>
      </c>
      <c r="AB47" s="26">
        <v>8576</v>
      </c>
      <c r="AC47" s="26">
        <v>41249</v>
      </c>
      <c r="AD47" s="26">
        <v>106</v>
      </c>
      <c r="AE47" s="26">
        <v>5853514</v>
      </c>
      <c r="AF47" s="26">
        <v>21494</v>
      </c>
      <c r="AG47" s="26">
        <v>224755</v>
      </c>
      <c r="AH47" s="26">
        <v>346</v>
      </c>
    </row>
    <row r="48" spans="1:34" x14ac:dyDescent="0.2">
      <c r="A48" s="10">
        <f t="shared" si="0"/>
        <v>2026</v>
      </c>
      <c r="B48" s="10">
        <f t="shared" si="1"/>
        <v>4</v>
      </c>
      <c r="D48" s="10" t="s">
        <v>32</v>
      </c>
      <c r="E48" s="25" t="d">
        <v>2026-04-01</v>
      </c>
      <c r="F48" s="26">
        <v>4198055</v>
      </c>
      <c r="G48" s="26">
        <v>141186</v>
      </c>
      <c r="H48" s="26">
        <v>1362692089</v>
      </c>
      <c r="I48" s="26">
        <v>34575552</v>
      </c>
      <c r="J48" s="26">
        <v>4876913</v>
      </c>
      <c r="K48" s="26">
        <v>-17053</v>
      </c>
      <c r="L48" s="26">
        <v>2341654</v>
      </c>
      <c r="M48" s="26">
        <v>10919</v>
      </c>
      <c r="N48" s="26">
        <v>18754553</v>
      </c>
      <c r="O48" s="26">
        <v>45586</v>
      </c>
      <c r="P48" s="26">
        <v>1380000</v>
      </c>
      <c r="Q48" s="26">
        <v>10000</v>
      </c>
      <c r="R48" s="26">
        <v>923800761</v>
      </c>
      <c r="S48" s="26">
        <v>15065638</v>
      </c>
      <c r="T48" s="26">
        <v>3748837</v>
      </c>
      <c r="U48" s="26">
        <v>19875</v>
      </c>
      <c r="V48" s="26">
        <v>138273</v>
      </c>
      <c r="W48" s="26">
        <v>21123</v>
      </c>
      <c r="X48" s="26">
        <v>1550</v>
      </c>
      <c r="Y48" s="26">
        <v>78933612</v>
      </c>
      <c r="Z48" s="26">
        <v>593440</v>
      </c>
      <c r="AA48" s="26">
        <v>4628907</v>
      </c>
      <c r="AB48" s="26">
        <v>8123</v>
      </c>
      <c r="AC48" s="26">
        <v>41354</v>
      </c>
      <c r="AD48" s="26">
        <v>105</v>
      </c>
      <c r="AE48" s="26">
        <v>5871423</v>
      </c>
      <c r="AF48" s="26">
        <v>17909</v>
      </c>
      <c r="AG48" s="26">
        <v>225172</v>
      </c>
      <c r="AH48" s="26">
        <v>417</v>
      </c>
    </row>
    <row r="49" spans="1:34" x14ac:dyDescent="0.2">
      <c r="A49" s="10">
        <f t="shared" si="0"/>
        <v>2026</v>
      </c>
      <c r="B49" s="10">
        <f t="shared" si="1"/>
        <v>5</v>
      </c>
      <c r="D49" s="10" t="s">
        <v>32</v>
      </c>
      <c r="E49" s="25" t="d">
        <v>2026-05-01</v>
      </c>
      <c r="F49" s="26">
        <v>4286302</v>
      </c>
      <c r="G49" s="26">
        <v>88247</v>
      </c>
      <c r="H49" s="26">
        <v>1399013970</v>
      </c>
      <c r="I49" s="26">
        <v>36096564</v>
      </c>
      <c r="J49" s="26">
        <v>5149111</v>
      </c>
      <c r="K49" s="26">
        <v>272198</v>
      </c>
      <c r="L49" s="26">
        <v>2359406</v>
      </c>
      <c r="M49" s="26">
        <v>17752</v>
      </c>
      <c r="N49" s="26">
        <v>19160526</v>
      </c>
      <c r="O49" s="26">
        <v>405973</v>
      </c>
      <c r="P49" s="26">
        <v>1390000</v>
      </c>
      <c r="Q49" s="26">
        <v>10000</v>
      </c>
      <c r="R49" s="26">
        <v>938238258</v>
      </c>
      <c r="S49" s="26">
        <v>14434495</v>
      </c>
      <c r="T49" s="26">
        <v>3763657</v>
      </c>
      <c r="U49" s="26">
        <v>14820</v>
      </c>
      <c r="V49" s="26">
        <v>251933</v>
      </c>
      <c r="W49" s="26">
        <v>22721</v>
      </c>
      <c r="X49" s="26">
        <v>1598</v>
      </c>
      <c r="Y49" s="26">
        <v>79074633</v>
      </c>
      <c r="Z49" s="26">
        <v>141021</v>
      </c>
      <c r="AA49" s="26">
        <v>4636427</v>
      </c>
      <c r="AB49" s="26">
        <v>7520</v>
      </c>
      <c r="AC49" s="26">
        <v>41470</v>
      </c>
      <c r="AD49" s="26">
        <v>116</v>
      </c>
      <c r="AE49" s="26">
        <v>5889872</v>
      </c>
      <c r="AF49" s="26">
        <v>18449</v>
      </c>
      <c r="AG49" s="26">
        <v>225549</v>
      </c>
      <c r="AH49" s="26">
        <v>377</v>
      </c>
    </row>
    <row r="50" spans="1:34" x14ac:dyDescent="0.2">
      <c r="A50" s="10">
        <f t="shared" si="0"/>
        <v>2026</v>
      </c>
      <c r="B50" s="10">
        <f t="shared" si="1"/>
        <v>6</v>
      </c>
      <c r="D50" s="10" t="s">
        <v>32</v>
      </c>
      <c r="E50" s="25" t="d">
        <v>2026-06-01</v>
      </c>
      <c r="F50" s="26">
        <v>4381160</v>
      </c>
      <c r="G50" s="26">
        <v>94858</v>
      </c>
      <c r="H50" s="26">
        <v>1433092880</v>
      </c>
      <c r="I50" s="26">
        <v>34072938</v>
      </c>
      <c r="J50" s="26">
        <v>4954074</v>
      </c>
      <c r="K50" s="26">
        <v>-195037</v>
      </c>
      <c r="L50" s="26">
        <v>2384780</v>
      </c>
      <c r="M50" s="26">
        <v>25374</v>
      </c>
      <c r="N50" s="26">
        <v>20309712</v>
      </c>
      <c r="O50" s="26">
        <v>1149186</v>
      </c>
      <c r="P50" s="26">
        <v>1410000</v>
      </c>
      <c r="Q50" s="26">
        <v>20000</v>
      </c>
      <c r="R50" s="26">
        <v>953648483</v>
      </c>
      <c r="S50" s="26">
        <v>15388053</v>
      </c>
      <c r="T50" s="26">
        <v>3739455</v>
      </c>
      <c r="U50" s="26">
        <v>-24202</v>
      </c>
      <c r="V50" s="26">
        <v>353790</v>
      </c>
      <c r="W50" s="26">
        <v>24293</v>
      </c>
      <c r="X50" s="26">
        <v>1572</v>
      </c>
      <c r="Y50" s="26">
        <v>80840935</v>
      </c>
      <c r="Z50" s="26">
        <v>1766302</v>
      </c>
      <c r="AA50" s="26">
        <v>4654128</v>
      </c>
      <c r="AB50" s="26">
        <v>17701</v>
      </c>
      <c r="AC50" s="26">
        <v>41567</v>
      </c>
      <c r="AD50" s="26">
        <v>97</v>
      </c>
      <c r="AE50" s="26">
        <v>5907626</v>
      </c>
      <c r="AF50" s="26">
        <v>17760</v>
      </c>
      <c r="AG50" s="26">
        <v>225989</v>
      </c>
      <c r="AH50" s="26">
        <v>440</v>
      </c>
    </row>
    <row r="51" spans="1:34" x14ac:dyDescent="0.2">
      <c r="A51" s="10">
        <f t="shared" si="0"/>
        <v>2026</v>
      </c>
      <c r="B51" s="10">
        <f t="shared" si="1"/>
        <v>7</v>
      </c>
      <c r="D51" s="10" t="s">
        <v>32</v>
      </c>
      <c r="E51" s="25" t="d">
        <v>2026-07-01</v>
      </c>
      <c r="F51" s="26">
        <v>4456656</v>
      </c>
      <c r="G51" s="26">
        <v>75496</v>
      </c>
      <c r="H51" s="26">
        <v>1462975291</v>
      </c>
      <c r="I51" s="26">
        <v>29870927</v>
      </c>
      <c r="J51" s="26">
        <v>4697892</v>
      </c>
      <c r="K51" s="26">
        <v>-256182</v>
      </c>
      <c r="L51" s="26">
        <v>2398118</v>
      </c>
      <c r="M51" s="26">
        <v>13338</v>
      </c>
      <c r="N51" s="26">
        <v>20950262</v>
      </c>
      <c r="O51" s="26">
        <v>640550</v>
      </c>
      <c r="P51" s="26">
        <v>1430000</v>
      </c>
      <c r="Q51" s="26">
        <v>20000</v>
      </c>
      <c r="R51" s="26">
        <v>968015697</v>
      </c>
      <c r="S51" s="26">
        <v>14367281</v>
      </c>
      <c r="T51" s="26">
        <v>3753975</v>
      </c>
      <c r="U51" s="26">
        <v>14520</v>
      </c>
      <c r="V51" s="26">
        <v>299395</v>
      </c>
      <c r="W51" s="26">
        <v>25701</v>
      </c>
      <c r="X51" s="26">
        <v>1408</v>
      </c>
      <c r="Y51" s="26">
        <v>81533950</v>
      </c>
      <c r="Z51" s="26">
        <v>693015</v>
      </c>
      <c r="AA51" s="26">
        <v>4656475</v>
      </c>
      <c r="AB51" s="26">
        <v>2347</v>
      </c>
      <c r="AC51" s="26">
        <v>41685</v>
      </c>
      <c r="AD51" s="26">
        <v>118</v>
      </c>
      <c r="AE51" s="26">
        <v>5926254</v>
      </c>
      <c r="AF51" s="26">
        <v>18628</v>
      </c>
      <c r="AG51" s="26">
        <v>226366</v>
      </c>
      <c r="AH51" s="26">
        <v>377</v>
      </c>
    </row>
    <row r="52" spans="1:34" x14ac:dyDescent="0.2">
      <c r="A52" s="10">
        <f t="shared" si="0"/>
        <v>2024</v>
      </c>
      <c r="B52" s="10">
        <f t="shared" si="1"/>
        <v>7</v>
      </c>
      <c r="D52" s="10" t="s">
        <v>30</v>
      </c>
      <c r="E52" s="25" t="d">
        <v>2024-07-01</v>
      </c>
      <c r="F52" s="26">
        <v>1621714</v>
      </c>
      <c r="G52" s="26">
        <v>117173</v>
      </c>
      <c r="H52" s="26">
        <v>167538498</v>
      </c>
      <c r="I52" s="26">
        <v>12205500</v>
      </c>
      <c r="J52" s="26">
        <v>1346568</v>
      </c>
      <c r="K52" s="26">
        <v>-156402</v>
      </c>
      <c r="L52" s="26">
        <v>80300</v>
      </c>
      <c r="M52" s="26">
        <v>2600</v>
      </c>
      <c r="N52" s="26">
        <v>213900</v>
      </c>
      <c r="O52" s="26">
        <v>3100</v>
      </c>
      <c r="P52" s="26">
        <v>190000</v>
      </c>
      <c r="Q52" s="26">
        <v>8000</v>
      </c>
      <c r="R52" s="26">
        <v>42297519</v>
      </c>
      <c r="S52" s="26">
        <v>3559025</v>
      </c>
      <c r="T52" s="26">
        <v>800973</v>
      </c>
      <c r="U52" s="26">
        <v>12457</v>
      </c>
      <c r="V52" s="26">
        <v>37000</v>
      </c>
      <c r="W52" s="26">
        <v>1717</v>
      </c>
      <c r="X52" s="26">
        <v>167</v>
      </c>
      <c r="Y52" s="26" t="s">
        <v>31</v>
      </c>
      <c r="Z52" s="26" t="s">
        <v>31</v>
      </c>
      <c r="AA52" s="26">
        <v>264548</v>
      </c>
      <c r="AB52" s="26">
        <v>1288</v>
      </c>
      <c r="AC52" s="26" t="s">
        <v>31</v>
      </c>
      <c r="AD52" s="26" t="s">
        <v>31</v>
      </c>
      <c r="AE52" s="26" t="s">
        <v>31</v>
      </c>
      <c r="AF52" s="26" t="s">
        <v>31</v>
      </c>
      <c r="AG52" s="26">
        <v>25840</v>
      </c>
      <c r="AH52" s="26">
        <v>305</v>
      </c>
    </row>
    <row r="53" spans="1:34" x14ac:dyDescent="0.2">
      <c r="A53" s="10">
        <f t="shared" si="0"/>
        <v>2024</v>
      </c>
      <c r="B53" s="10">
        <f t="shared" si="1"/>
        <v>8</v>
      </c>
      <c r="D53" s="10" t="s">
        <v>30</v>
      </c>
      <c r="E53" s="25" t="d">
        <v>2024-08-01</v>
      </c>
      <c r="F53" s="26">
        <v>1712614</v>
      </c>
      <c r="G53" s="26">
        <v>90900</v>
      </c>
      <c r="H53" s="26">
        <v>178713100</v>
      </c>
      <c r="I53" s="26">
        <v>11111933</v>
      </c>
      <c r="J53" s="26">
        <v>1232375</v>
      </c>
      <c r="K53" s="26">
        <v>-114193</v>
      </c>
      <c r="L53" s="26">
        <v>82400</v>
      </c>
      <c r="M53" s="26">
        <v>2100</v>
      </c>
      <c r="N53" s="26">
        <v>217600</v>
      </c>
      <c r="O53" s="26">
        <v>3700</v>
      </c>
      <c r="P53" s="26">
        <v>197000</v>
      </c>
      <c r="Q53" s="26">
        <v>7000</v>
      </c>
      <c r="R53" s="26">
        <v>45540467</v>
      </c>
      <c r="S53" s="26">
        <v>3242948</v>
      </c>
      <c r="T53" s="26">
        <v>811937</v>
      </c>
      <c r="U53" s="26">
        <v>10964</v>
      </c>
      <c r="V53" s="26">
        <v>230000</v>
      </c>
      <c r="W53" s="26">
        <v>1838</v>
      </c>
      <c r="X53" s="26">
        <v>121</v>
      </c>
      <c r="Y53" s="26" t="s">
        <v>31</v>
      </c>
      <c r="Z53" s="26" t="s">
        <v>31</v>
      </c>
      <c r="AA53" s="26">
        <v>266440</v>
      </c>
      <c r="AB53" s="26">
        <v>1892</v>
      </c>
      <c r="AC53" s="26" t="s">
        <v>31</v>
      </c>
      <c r="AD53" s="26" t="s">
        <v>31</v>
      </c>
      <c r="AE53" s="26" t="s">
        <v>31</v>
      </c>
      <c r="AF53" s="26" t="s">
        <v>31</v>
      </c>
      <c r="AG53" s="26">
        <v>26140</v>
      </c>
      <c r="AH53" s="26">
        <v>300</v>
      </c>
    </row>
    <row r="54" spans="1:34" x14ac:dyDescent="0.2">
      <c r="A54" s="10">
        <f t="shared" si="0"/>
        <v>2024</v>
      </c>
      <c r="B54" s="10">
        <f t="shared" si="1"/>
        <v>9</v>
      </c>
      <c r="D54" s="10" t="s">
        <v>30</v>
      </c>
      <c r="E54" s="25" t="d">
        <v>2024-09-01</v>
      </c>
      <c r="F54" s="26">
        <v>1862705</v>
      </c>
      <c r="G54" s="26">
        <v>150091</v>
      </c>
      <c r="H54" s="26">
        <v>198409742</v>
      </c>
      <c r="I54" s="26">
        <v>16853339</v>
      </c>
      <c r="J54" s="26">
        <v>1512717</v>
      </c>
      <c r="K54" s="26">
        <v>280342</v>
      </c>
      <c r="L54" s="26">
        <v>87800</v>
      </c>
      <c r="M54" s="26">
        <v>5400</v>
      </c>
      <c r="N54" s="26">
        <v>232800</v>
      </c>
      <c r="O54" s="26">
        <v>15200</v>
      </c>
      <c r="P54" s="26">
        <v>221000</v>
      </c>
      <c r="Q54" s="26">
        <v>24000</v>
      </c>
      <c r="R54" s="26">
        <v>53917227</v>
      </c>
      <c r="S54" s="26">
        <v>6204578</v>
      </c>
      <c r="T54" s="26">
        <v>840152</v>
      </c>
      <c r="U54" s="26">
        <v>28215</v>
      </c>
      <c r="V54" s="26">
        <v>537000</v>
      </c>
      <c r="W54" s="26">
        <v>1922</v>
      </c>
      <c r="X54" s="26">
        <v>84</v>
      </c>
      <c r="Y54" s="26" t="s">
        <v>31</v>
      </c>
      <c r="Z54" s="26" t="s">
        <v>31</v>
      </c>
      <c r="AA54" s="26">
        <v>272983</v>
      </c>
      <c r="AB54" s="26">
        <v>6543</v>
      </c>
      <c r="AC54" s="26" t="s">
        <v>31</v>
      </c>
      <c r="AD54" s="26" t="s">
        <v>31</v>
      </c>
      <c r="AE54" s="26" t="s">
        <v>31</v>
      </c>
      <c r="AF54" s="26" t="s">
        <v>31</v>
      </c>
      <c r="AG54" s="26">
        <v>26499</v>
      </c>
      <c r="AH54" s="26">
        <v>359</v>
      </c>
    </row>
    <row r="55" spans="1:34" x14ac:dyDescent="0.2">
      <c r="A55" s="10">
        <f t="shared" si="0"/>
        <v>2024</v>
      </c>
      <c r="B55" s="10">
        <f t="shared" si="1"/>
        <v>10</v>
      </c>
      <c r="D55" s="10" t="s">
        <v>30</v>
      </c>
      <c r="E55" s="25" t="d">
        <v>2024-10-01</v>
      </c>
      <c r="F55" s="26">
        <v>1998167</v>
      </c>
      <c r="G55" s="26">
        <v>135462</v>
      </c>
      <c r="H55" s="26">
        <v>212140463</v>
      </c>
      <c r="I55" s="26">
        <v>13651169</v>
      </c>
      <c r="J55" s="26">
        <v>1352606</v>
      </c>
      <c r="K55" s="26">
        <v>-160111</v>
      </c>
      <c r="L55" s="26">
        <v>87800</v>
      </c>
      <c r="M55" s="26">
        <v>0</v>
      </c>
      <c r="N55" s="26">
        <v>232800</v>
      </c>
      <c r="O55" s="26">
        <v>0</v>
      </c>
      <c r="P55" s="26">
        <v>230000</v>
      </c>
      <c r="Q55" s="26">
        <v>9000</v>
      </c>
      <c r="R55" s="26">
        <v>59023613</v>
      </c>
      <c r="S55" s="26">
        <v>5106386</v>
      </c>
      <c r="T55" s="26">
        <v>872398</v>
      </c>
      <c r="U55" s="26">
        <v>32246</v>
      </c>
      <c r="V55" s="26">
        <v>135753</v>
      </c>
      <c r="W55" s="26">
        <v>2006</v>
      </c>
      <c r="X55" s="26">
        <v>84</v>
      </c>
      <c r="Y55" s="26" t="s">
        <v>31</v>
      </c>
      <c r="Z55" s="26" t="s">
        <v>31</v>
      </c>
      <c r="AA55" s="26">
        <v>274467</v>
      </c>
      <c r="AB55" s="26">
        <v>1484</v>
      </c>
      <c r="AC55" s="26" t="s">
        <v>31</v>
      </c>
      <c r="AD55" s="26" t="s">
        <v>31</v>
      </c>
      <c r="AE55" s="26" t="s">
        <v>31</v>
      </c>
      <c r="AF55" s="26" t="s">
        <v>31</v>
      </c>
      <c r="AG55" s="26">
        <v>26788</v>
      </c>
      <c r="AH55" s="26">
        <v>289</v>
      </c>
    </row>
    <row r="56" spans="1:34" x14ac:dyDescent="0.2">
      <c r="A56" s="10">
        <f t="shared" si="0"/>
        <v>2024</v>
      </c>
      <c r="B56" s="10">
        <f t="shared" si="1"/>
        <v>11</v>
      </c>
      <c r="D56" s="10" t="s">
        <v>30</v>
      </c>
      <c r="E56" s="25" t="d">
        <v>2024-11-01</v>
      </c>
      <c r="F56" s="26">
        <v>2113444</v>
      </c>
      <c r="G56" s="26">
        <v>115277</v>
      </c>
      <c r="H56" s="26">
        <v>227275309</v>
      </c>
      <c r="I56" s="26">
        <v>14320063</v>
      </c>
      <c r="J56" s="26">
        <v>1523804</v>
      </c>
      <c r="K56" s="26">
        <v>171198</v>
      </c>
      <c r="L56" s="26">
        <v>87800</v>
      </c>
      <c r="M56" s="26">
        <v>0</v>
      </c>
      <c r="N56" s="26">
        <v>232800</v>
      </c>
      <c r="O56" s="26">
        <v>0</v>
      </c>
      <c r="P56" s="26">
        <v>241000</v>
      </c>
      <c r="Q56" s="26">
        <v>11000</v>
      </c>
      <c r="R56" s="26">
        <v>64941653</v>
      </c>
      <c r="S56" s="26">
        <v>5215918</v>
      </c>
      <c r="T56" s="26">
        <v>899536</v>
      </c>
      <c r="U56" s="26">
        <v>27138</v>
      </c>
      <c r="V56" s="26">
        <v>440058</v>
      </c>
      <c r="W56" s="26">
        <v>2076</v>
      </c>
      <c r="X56" s="26">
        <v>70</v>
      </c>
      <c r="Y56" s="26" t="s">
        <v>31</v>
      </c>
      <c r="Z56" s="26" t="s">
        <v>31</v>
      </c>
      <c r="AA56" s="26">
        <v>277105</v>
      </c>
      <c r="AB56" s="26">
        <v>2638</v>
      </c>
      <c r="AC56" s="26" t="s">
        <v>31</v>
      </c>
      <c r="AD56" s="26" t="s">
        <v>31</v>
      </c>
      <c r="AE56" s="26" t="s">
        <v>31</v>
      </c>
      <c r="AF56" s="26" t="s">
        <v>31</v>
      </c>
      <c r="AG56" s="26">
        <v>27121</v>
      </c>
      <c r="AH56" s="26">
        <v>333</v>
      </c>
    </row>
    <row r="57" spans="1:34" x14ac:dyDescent="0.2">
      <c r="A57" s="10">
        <f t="shared" si="0"/>
        <v>2024</v>
      </c>
      <c r="B57" s="10">
        <f t="shared" si="1"/>
        <v>12</v>
      </c>
      <c r="D57" s="10" t="s">
        <v>30</v>
      </c>
      <c r="E57" s="25" t="d">
        <v>2024-12-01</v>
      </c>
      <c r="F57" s="26">
        <v>2236679</v>
      </c>
      <c r="G57" s="26">
        <v>123235</v>
      </c>
      <c r="H57" s="26">
        <v>241444170</v>
      </c>
      <c r="I57" s="26">
        <v>14145780</v>
      </c>
      <c r="J57" s="26">
        <v>1429683</v>
      </c>
      <c r="K57" s="26">
        <v>-94121</v>
      </c>
      <c r="L57" s="26">
        <v>98300</v>
      </c>
      <c r="M57" s="26">
        <v>10500</v>
      </c>
      <c r="N57" s="26">
        <v>252600</v>
      </c>
      <c r="O57" s="26">
        <v>19800</v>
      </c>
      <c r="P57" s="26">
        <v>250000</v>
      </c>
      <c r="Q57" s="26">
        <v>9000</v>
      </c>
      <c r="R57" s="26">
        <v>70466491</v>
      </c>
      <c r="S57" s="26">
        <v>5517087</v>
      </c>
      <c r="T57" s="26">
        <v>920056</v>
      </c>
      <c r="U57" s="26">
        <v>20520</v>
      </c>
      <c r="V57" s="26">
        <v>40957</v>
      </c>
      <c r="W57" s="26">
        <v>2159</v>
      </c>
      <c r="X57" s="26">
        <v>83</v>
      </c>
      <c r="Y57" s="26" t="s">
        <v>31</v>
      </c>
      <c r="Z57" s="26" t="s">
        <v>31</v>
      </c>
      <c r="AA57" s="26">
        <v>278268</v>
      </c>
      <c r="AB57" s="26">
        <v>1163</v>
      </c>
      <c r="AC57" s="26" t="s">
        <v>31</v>
      </c>
      <c r="AD57" s="26" t="s">
        <v>31</v>
      </c>
      <c r="AE57" s="26" t="s">
        <v>31</v>
      </c>
      <c r="AF57" s="26" t="s">
        <v>31</v>
      </c>
      <c r="AG57" s="26">
        <v>27512</v>
      </c>
      <c r="AH57" s="26">
        <v>391</v>
      </c>
    </row>
    <row r="58" spans="1:34" x14ac:dyDescent="0.2">
      <c r="A58" s="10">
        <f t="shared" si="0"/>
        <v>2025</v>
      </c>
      <c r="B58" s="10">
        <f t="shared" si="1"/>
        <v>1</v>
      </c>
      <c r="D58" s="10" t="s">
        <v>30</v>
      </c>
      <c r="E58" s="25" t="d">
        <v>2025-01-01</v>
      </c>
      <c r="F58" s="26">
        <v>2409367</v>
      </c>
      <c r="G58" s="26">
        <v>172688</v>
      </c>
      <c r="H58" s="26">
        <v>264844826</v>
      </c>
      <c r="I58" s="26">
        <v>21797485</v>
      </c>
      <c r="J58" s="26">
        <v>1905393</v>
      </c>
      <c r="K58" s="26">
        <v>475710</v>
      </c>
      <c r="L58" s="26">
        <v>99400</v>
      </c>
      <c r="M58" s="26">
        <v>1100</v>
      </c>
      <c r="N58" s="26">
        <v>253500</v>
      </c>
      <c r="O58" s="26">
        <v>900</v>
      </c>
      <c r="P58" s="26">
        <v>275000</v>
      </c>
      <c r="Q58" s="26">
        <v>25000</v>
      </c>
      <c r="R58" s="26">
        <v>81196906</v>
      </c>
      <c r="S58" s="26">
        <v>9422601</v>
      </c>
      <c r="T58" s="26">
        <v>943031</v>
      </c>
      <c r="U58" s="26">
        <v>22975</v>
      </c>
      <c r="V58" s="26">
        <v>279162</v>
      </c>
      <c r="W58" s="26">
        <v>2238</v>
      </c>
      <c r="X58" s="26">
        <v>79</v>
      </c>
      <c r="Y58" s="26" t="s">
        <v>31</v>
      </c>
      <c r="Z58" s="26" t="s">
        <v>31</v>
      </c>
      <c r="AA58" s="26">
        <v>283450</v>
      </c>
      <c r="AB58" s="26">
        <v>5182</v>
      </c>
      <c r="AC58" s="26" t="s">
        <v>31</v>
      </c>
      <c r="AD58" s="26" t="s">
        <v>31</v>
      </c>
      <c r="AE58" s="26" t="s">
        <v>31</v>
      </c>
      <c r="AF58" s="26" t="s">
        <v>31</v>
      </c>
      <c r="AG58" s="26">
        <v>28017</v>
      </c>
      <c r="AH58" s="26">
        <v>505</v>
      </c>
    </row>
    <row r="59" spans="1:34" x14ac:dyDescent="0.2">
      <c r="A59" s="10">
        <f t="shared" si="0"/>
        <v>2025</v>
      </c>
      <c r="B59" s="10">
        <f t="shared" si="1"/>
        <v>2</v>
      </c>
      <c r="D59" s="10" t="s">
        <v>30</v>
      </c>
      <c r="E59" s="25" t="d">
        <v>2025-02-01</v>
      </c>
      <c r="F59" s="26">
        <v>2544701</v>
      </c>
      <c r="G59" s="26">
        <v>135334</v>
      </c>
      <c r="H59" s="26">
        <v>285547458</v>
      </c>
      <c r="I59" s="26">
        <v>20649917</v>
      </c>
      <c r="J59" s="26">
        <v>1654569</v>
      </c>
      <c r="K59" s="26">
        <v>-250824</v>
      </c>
      <c r="L59" s="26">
        <v>107430</v>
      </c>
      <c r="M59" s="26">
        <v>8030</v>
      </c>
      <c r="N59" s="26">
        <v>281360</v>
      </c>
      <c r="O59" s="26">
        <v>27860</v>
      </c>
      <c r="P59" s="26">
        <v>293000</v>
      </c>
      <c r="Q59" s="26">
        <v>18000</v>
      </c>
      <c r="R59" s="26">
        <v>90252663</v>
      </c>
      <c r="S59" s="26">
        <v>9055757</v>
      </c>
      <c r="T59" s="26">
        <v>954636</v>
      </c>
      <c r="U59" s="26">
        <v>11605</v>
      </c>
      <c r="V59" s="26">
        <v>92410</v>
      </c>
      <c r="W59" s="26">
        <v>2305</v>
      </c>
      <c r="X59" s="26">
        <v>67</v>
      </c>
      <c r="Y59" s="26" t="s">
        <v>31</v>
      </c>
      <c r="Z59" s="26" t="s">
        <v>31</v>
      </c>
      <c r="AA59" s="26">
        <v>286206</v>
      </c>
      <c r="AB59" s="26">
        <v>2756</v>
      </c>
      <c r="AC59" s="26" t="s">
        <v>31</v>
      </c>
      <c r="AD59" s="26" t="s">
        <v>31</v>
      </c>
      <c r="AE59" s="26" t="s">
        <v>31</v>
      </c>
      <c r="AF59" s="26" t="s">
        <v>31</v>
      </c>
      <c r="AG59" s="26">
        <v>28486</v>
      </c>
      <c r="AH59" s="26">
        <v>469</v>
      </c>
    </row>
    <row r="60" spans="1:34" x14ac:dyDescent="0.2">
      <c r="A60" s="10">
        <f t="shared" si="0"/>
        <v>2025</v>
      </c>
      <c r="B60" s="10">
        <f t="shared" si="1"/>
        <v>3</v>
      </c>
      <c r="D60" s="10" t="s">
        <v>30</v>
      </c>
      <c r="E60" s="25" t="d">
        <v>2025-03-01</v>
      </c>
      <c r="F60" s="26">
        <v>2657300</v>
      </c>
      <c r="G60" s="26">
        <v>112599</v>
      </c>
      <c r="H60" s="26">
        <v>302866270</v>
      </c>
      <c r="I60" s="26">
        <v>17295784</v>
      </c>
      <c r="J60" s="26">
        <v>1599992</v>
      </c>
      <c r="K60" s="26">
        <v>-54577</v>
      </c>
      <c r="L60" s="26">
        <v>107430</v>
      </c>
      <c r="M60" s="26">
        <v>0</v>
      </c>
      <c r="N60" s="26">
        <v>281360</v>
      </c>
      <c r="O60" s="26">
        <v>0</v>
      </c>
      <c r="P60" s="26">
        <v>308000</v>
      </c>
      <c r="Q60" s="26">
        <v>15000</v>
      </c>
      <c r="R60" s="26">
        <v>98404611</v>
      </c>
      <c r="S60" s="26">
        <v>8151948</v>
      </c>
      <c r="T60" s="26">
        <v>966988</v>
      </c>
      <c r="U60" s="26">
        <v>12352</v>
      </c>
      <c r="V60" s="26">
        <v>76081</v>
      </c>
      <c r="W60" s="26">
        <v>2332</v>
      </c>
      <c r="X60" s="26">
        <v>27</v>
      </c>
      <c r="Y60" s="26" t="s">
        <v>31</v>
      </c>
      <c r="Z60" s="26" t="s">
        <v>31</v>
      </c>
      <c r="AA60" s="26">
        <v>288225</v>
      </c>
      <c r="AB60" s="26">
        <v>2019</v>
      </c>
      <c r="AC60" s="26" t="s">
        <v>31</v>
      </c>
      <c r="AD60" s="26" t="s">
        <v>31</v>
      </c>
      <c r="AE60" s="26" t="s">
        <v>31</v>
      </c>
      <c r="AF60" s="26" t="s">
        <v>31</v>
      </c>
      <c r="AG60" s="26">
        <v>28773</v>
      </c>
      <c r="AH60" s="26">
        <v>287</v>
      </c>
    </row>
    <row r="61" spans="1:34" x14ac:dyDescent="0.2">
      <c r="A61" s="10">
        <f t="shared" si="0"/>
        <v>2025</v>
      </c>
      <c r="B61" s="10">
        <f t="shared" si="1"/>
        <v>4</v>
      </c>
      <c r="D61" s="10" t="s">
        <v>30</v>
      </c>
      <c r="E61" s="25" t="d">
        <v>2025-04-01</v>
      </c>
      <c r="F61" s="26">
        <v>2787969</v>
      </c>
      <c r="G61" s="26">
        <v>130669</v>
      </c>
      <c r="H61" s="26">
        <v>323033522</v>
      </c>
      <c r="I61" s="26">
        <v>20142610</v>
      </c>
      <c r="J61" s="26">
        <v>1607696</v>
      </c>
      <c r="K61" s="26">
        <v>7704</v>
      </c>
      <c r="L61" s="26">
        <v>107430</v>
      </c>
      <c r="M61" s="26">
        <v>0</v>
      </c>
      <c r="N61" s="26">
        <v>281360</v>
      </c>
      <c r="O61" s="26">
        <v>0</v>
      </c>
      <c r="P61" s="26">
        <v>326000</v>
      </c>
      <c r="Q61" s="26">
        <v>18000</v>
      </c>
      <c r="R61" s="26">
        <v>108018278</v>
      </c>
      <c r="S61" s="26">
        <v>9613667</v>
      </c>
      <c r="T61" s="26">
        <v>983795</v>
      </c>
      <c r="U61" s="26">
        <v>16807</v>
      </c>
      <c r="V61" s="26">
        <v>166813</v>
      </c>
      <c r="W61" s="26">
        <v>2365</v>
      </c>
      <c r="X61" s="26">
        <v>33</v>
      </c>
      <c r="Y61" s="26" t="s">
        <v>31</v>
      </c>
      <c r="Z61" s="26" t="s">
        <v>31</v>
      </c>
      <c r="AA61" s="26">
        <v>292138</v>
      </c>
      <c r="AB61" s="26">
        <v>3913</v>
      </c>
      <c r="AC61" s="26" t="s">
        <v>31</v>
      </c>
      <c r="AD61" s="26" t="s">
        <v>31</v>
      </c>
      <c r="AE61" s="26" t="s">
        <v>31</v>
      </c>
      <c r="AF61" s="26" t="s">
        <v>31</v>
      </c>
      <c r="AG61" s="26">
        <v>29200</v>
      </c>
      <c r="AH61" s="26">
        <v>427</v>
      </c>
    </row>
    <row r="62" spans="1:34" x14ac:dyDescent="0.2">
      <c r="A62" s="10">
        <f t="shared" si="0"/>
        <v>2025</v>
      </c>
      <c r="B62" s="10">
        <f t="shared" si="1"/>
        <v>5</v>
      </c>
      <c r="D62" s="10" t="s">
        <v>30</v>
      </c>
      <c r="E62" s="25" t="d">
        <v>2025-05-01</v>
      </c>
      <c r="F62" s="26">
        <v>2914965</v>
      </c>
      <c r="G62" s="26">
        <v>126996</v>
      </c>
      <c r="H62" s="26">
        <v>339956456</v>
      </c>
      <c r="I62" s="26">
        <v>16826826</v>
      </c>
      <c r="J62" s="26">
        <v>1600004</v>
      </c>
      <c r="K62" s="26">
        <v>-7692</v>
      </c>
      <c r="L62" s="26">
        <v>107430</v>
      </c>
      <c r="M62" s="26">
        <v>0</v>
      </c>
      <c r="N62" s="26">
        <v>281360</v>
      </c>
      <c r="O62" s="26">
        <v>0</v>
      </c>
      <c r="P62" s="26">
        <v>343000</v>
      </c>
      <c r="Q62" s="26">
        <v>17000</v>
      </c>
      <c r="R62" s="26">
        <v>116449730</v>
      </c>
      <c r="S62" s="26">
        <v>8431452</v>
      </c>
      <c r="T62" s="26">
        <v>994683</v>
      </c>
      <c r="U62" s="26">
        <v>10888</v>
      </c>
      <c r="V62" s="26">
        <v>112985</v>
      </c>
      <c r="W62" s="26">
        <v>2395</v>
      </c>
      <c r="X62" s="26">
        <v>30</v>
      </c>
      <c r="Y62" s="26" t="s">
        <v>31</v>
      </c>
      <c r="Z62" s="26" t="s">
        <v>31</v>
      </c>
      <c r="AA62" s="26">
        <v>294064</v>
      </c>
      <c r="AB62" s="26">
        <v>1926</v>
      </c>
      <c r="AC62" s="26" t="s">
        <v>31</v>
      </c>
      <c r="AD62" s="26" t="s">
        <v>31</v>
      </c>
      <c r="AE62" s="26" t="s">
        <v>31</v>
      </c>
      <c r="AF62" s="26" t="s">
        <v>31</v>
      </c>
      <c r="AG62" s="26">
        <v>29528</v>
      </c>
      <c r="AH62" s="26">
        <v>328</v>
      </c>
    </row>
    <row r="63" spans="1:34" x14ac:dyDescent="0.2">
      <c r="A63" s="10">
        <f t="shared" si="0"/>
        <v>2025</v>
      </c>
      <c r="B63" s="10">
        <f t="shared" si="1"/>
        <v>6</v>
      </c>
      <c r="D63" s="10" t="s">
        <v>30</v>
      </c>
      <c r="E63" s="25" t="d">
        <v>2025-06-01</v>
      </c>
      <c r="F63" s="26">
        <v>3038201</v>
      </c>
      <c r="G63" s="26">
        <v>123236</v>
      </c>
      <c r="H63" s="26">
        <v>357271570</v>
      </c>
      <c r="I63" s="26">
        <v>17315114</v>
      </c>
      <c r="J63" s="26">
        <v>1606003</v>
      </c>
      <c r="K63" s="26">
        <v>5999</v>
      </c>
      <c r="L63" s="26">
        <v>107430</v>
      </c>
      <c r="M63" s="26">
        <v>0</v>
      </c>
      <c r="N63" s="26">
        <v>281360</v>
      </c>
      <c r="O63" s="26">
        <v>0</v>
      </c>
      <c r="P63" s="26">
        <v>367000</v>
      </c>
      <c r="Q63" s="26">
        <v>24000</v>
      </c>
      <c r="R63" s="26">
        <v>124062767</v>
      </c>
      <c r="S63" s="26">
        <v>7613037</v>
      </c>
      <c r="T63" s="26">
        <v>1008244</v>
      </c>
      <c r="U63" s="26">
        <v>13561</v>
      </c>
      <c r="V63" s="26">
        <v>196656</v>
      </c>
      <c r="W63" s="26">
        <v>3759</v>
      </c>
      <c r="X63" s="26">
        <v>1364</v>
      </c>
      <c r="Y63" s="26" t="s">
        <v>31</v>
      </c>
      <c r="Z63" s="26" t="s">
        <v>31</v>
      </c>
      <c r="AA63" s="26">
        <v>299942</v>
      </c>
      <c r="AB63" s="26">
        <v>5878</v>
      </c>
      <c r="AC63" s="26" t="s">
        <v>31</v>
      </c>
      <c r="AD63" s="26" t="s">
        <v>31</v>
      </c>
      <c r="AE63" s="26" t="s">
        <v>31</v>
      </c>
      <c r="AF63" s="26" t="s">
        <v>31</v>
      </c>
      <c r="AG63" s="26">
        <v>29886</v>
      </c>
      <c r="AH63" s="26">
        <v>358</v>
      </c>
    </row>
    <row r="64" spans="1:34" x14ac:dyDescent="0.2">
      <c r="A64" s="10">
        <f t="shared" si="0"/>
        <v>2025</v>
      </c>
      <c r="B64" s="10">
        <f t="shared" si="1"/>
        <v>7</v>
      </c>
      <c r="D64" s="10" t="s">
        <v>30</v>
      </c>
      <c r="E64" s="25" t="d">
        <v>2025-07-01</v>
      </c>
      <c r="F64" s="26">
        <v>3176360</v>
      </c>
      <c r="G64" s="26">
        <v>138159</v>
      </c>
      <c r="H64" s="26">
        <v>390221512</v>
      </c>
      <c r="I64" s="26">
        <v>29233312</v>
      </c>
      <c r="J64" s="26">
        <v>1907448</v>
      </c>
      <c r="K64" s="26">
        <v>301445</v>
      </c>
      <c r="L64" s="26">
        <v>117400</v>
      </c>
      <c r="M64" s="26">
        <v>9970</v>
      </c>
      <c r="N64" s="26">
        <v>295590</v>
      </c>
      <c r="O64" s="26">
        <v>14230</v>
      </c>
      <c r="P64" s="26">
        <v>395000</v>
      </c>
      <c r="Q64" s="26">
        <v>28000</v>
      </c>
      <c r="R64" s="26">
        <v>139742512</v>
      </c>
      <c r="S64" s="26">
        <v>14460214</v>
      </c>
      <c r="T64" s="26">
        <v>1044775</v>
      </c>
      <c r="U64" s="26">
        <v>36531</v>
      </c>
      <c r="V64" s="26">
        <v>739917</v>
      </c>
      <c r="W64" s="26">
        <v>6032</v>
      </c>
      <c r="X64" s="26">
        <v>2273</v>
      </c>
      <c r="Y64" s="26" t="s">
        <v>31</v>
      </c>
      <c r="Z64" s="26" t="s">
        <v>31</v>
      </c>
      <c r="AA64" s="26">
        <v>307174</v>
      </c>
      <c r="AB64" s="26">
        <v>7232</v>
      </c>
      <c r="AC64" s="26" t="s">
        <v>31</v>
      </c>
      <c r="AD64" s="26" t="s">
        <v>31</v>
      </c>
      <c r="AE64" s="26" t="s">
        <v>31</v>
      </c>
      <c r="AF64" s="26" t="s">
        <v>31</v>
      </c>
      <c r="AG64" s="26">
        <v>30422</v>
      </c>
      <c r="AH64" s="26">
        <v>536</v>
      </c>
    </row>
    <row r="65" spans="1:34" x14ac:dyDescent="0.2">
      <c r="A65" s="10">
        <f t="shared" si="0"/>
        <v>2025</v>
      </c>
      <c r="B65" s="10">
        <f t="shared" si="1"/>
        <v>8</v>
      </c>
      <c r="D65" s="10" t="s">
        <v>30</v>
      </c>
      <c r="E65" s="25" t="d">
        <v>2025-08-01</v>
      </c>
      <c r="F65" s="26">
        <v>3314113</v>
      </c>
      <c r="G65" s="26">
        <v>137753</v>
      </c>
      <c r="H65" s="26">
        <v>411841979</v>
      </c>
      <c r="I65" s="26">
        <v>21340404</v>
      </c>
      <c r="J65" s="26">
        <v>1770381</v>
      </c>
      <c r="K65" s="26">
        <v>-137067</v>
      </c>
      <c r="L65" s="26">
        <v>123500</v>
      </c>
      <c r="M65" s="26">
        <v>6100</v>
      </c>
      <c r="N65" s="26">
        <v>320100</v>
      </c>
      <c r="O65" s="26">
        <v>24510</v>
      </c>
      <c r="P65" s="26">
        <v>418000</v>
      </c>
      <c r="Q65" s="26">
        <v>23000</v>
      </c>
      <c r="R65" s="26">
        <v>149208590</v>
      </c>
      <c r="S65" s="26">
        <v>9171103</v>
      </c>
      <c r="T65" s="26">
        <v>1058463</v>
      </c>
      <c r="U65" s="26">
        <v>13688</v>
      </c>
      <c r="V65" s="26">
        <v>204994</v>
      </c>
      <c r="W65" s="26">
        <v>8254</v>
      </c>
      <c r="X65" s="26">
        <v>2222</v>
      </c>
      <c r="Y65" s="26" t="s">
        <v>31</v>
      </c>
      <c r="Z65" s="26" t="s">
        <v>31</v>
      </c>
      <c r="AA65" s="26">
        <v>309763</v>
      </c>
      <c r="AB65" s="26">
        <v>2589</v>
      </c>
      <c r="AC65" s="26" t="s">
        <v>31</v>
      </c>
      <c r="AD65" s="26" t="s">
        <v>31</v>
      </c>
      <c r="AE65" s="26" t="s">
        <v>31</v>
      </c>
      <c r="AF65" s="26" t="s">
        <v>31</v>
      </c>
      <c r="AG65" s="26">
        <v>30893</v>
      </c>
      <c r="AH65" s="26">
        <v>471</v>
      </c>
    </row>
    <row r="66" spans="1:34" x14ac:dyDescent="0.2">
      <c r="A66" s="10">
        <f t="shared" si="0"/>
        <v>2025</v>
      </c>
      <c r="B66" s="10">
        <f t="shared" si="1"/>
        <v>9</v>
      </c>
      <c r="D66" s="10" t="s">
        <v>30</v>
      </c>
      <c r="E66" s="25" t="d">
        <v>2025-09-01</v>
      </c>
      <c r="F66" s="26">
        <v>3456495</v>
      </c>
      <c r="G66" s="26">
        <v>142382</v>
      </c>
      <c r="H66" s="26">
        <v>433020030</v>
      </c>
      <c r="I66" s="26">
        <v>21149635</v>
      </c>
      <c r="J66" s="26">
        <v>1820641</v>
      </c>
      <c r="K66" s="26">
        <v>50260</v>
      </c>
      <c r="L66" s="26">
        <v>125700</v>
      </c>
      <c r="M66" s="26">
        <v>2200</v>
      </c>
      <c r="N66" s="26">
        <v>321300</v>
      </c>
      <c r="O66" s="26">
        <v>1200</v>
      </c>
      <c r="P66" s="26">
        <v>436000</v>
      </c>
      <c r="Q66" s="26">
        <v>18000</v>
      </c>
      <c r="R66" s="26">
        <v>158020795</v>
      </c>
      <c r="S66" s="26">
        <v>8645321</v>
      </c>
      <c r="T66" s="26">
        <v>1074667</v>
      </c>
      <c r="U66" s="26">
        <v>16204</v>
      </c>
      <c r="V66" s="26">
        <v>297923</v>
      </c>
      <c r="W66" s="26">
        <v>10108</v>
      </c>
      <c r="X66" s="26">
        <v>1854</v>
      </c>
      <c r="Y66" s="26" t="s">
        <v>31</v>
      </c>
      <c r="Z66" s="26" t="s">
        <v>31</v>
      </c>
      <c r="AA66" s="26">
        <v>311407</v>
      </c>
      <c r="AB66" s="26">
        <v>1644</v>
      </c>
      <c r="AC66" s="26" t="s">
        <v>31</v>
      </c>
      <c r="AD66" s="26" t="s">
        <v>31</v>
      </c>
      <c r="AE66" s="26" t="s">
        <v>31</v>
      </c>
      <c r="AF66" s="26" t="s">
        <v>31</v>
      </c>
      <c r="AG66" s="26">
        <v>31319</v>
      </c>
      <c r="AH66" s="26">
        <v>426</v>
      </c>
    </row>
    <row r="67" spans="1:34" x14ac:dyDescent="0.2">
      <c r="A67" s="10">
        <f t="shared" ref="A67:A76" si="2">YEAR(E67)</f>
        <v>2025</v>
      </c>
      <c r="B67" s="10">
        <f t="shared" ref="B67:B76" si="3">MONTH(E67)</f>
        <v>10</v>
      </c>
      <c r="D67" s="10" t="s">
        <v>30</v>
      </c>
      <c r="E67" s="25" t="d">
        <v>2025-10-01</v>
      </c>
      <c r="F67" s="26">
        <v>3585644</v>
      </c>
      <c r="G67" s="26">
        <v>129149</v>
      </c>
      <c r="H67" s="26">
        <v>453253134</v>
      </c>
      <c r="I67" s="26">
        <v>20144459</v>
      </c>
      <c r="J67" s="26">
        <v>1874730</v>
      </c>
      <c r="K67" s="26">
        <v>54089</v>
      </c>
      <c r="L67" s="26">
        <v>125700</v>
      </c>
      <c r="M67" s="26">
        <v>0</v>
      </c>
      <c r="N67" s="26">
        <v>321300</v>
      </c>
      <c r="O67" s="26">
        <v>0</v>
      </c>
      <c r="P67" s="26">
        <v>450000</v>
      </c>
      <c r="Q67" s="26">
        <v>14000</v>
      </c>
      <c r="R67" s="26">
        <v>165453330</v>
      </c>
      <c r="S67" s="26">
        <v>7346077</v>
      </c>
      <c r="T67" s="26">
        <v>1087445</v>
      </c>
      <c r="U67" s="26">
        <v>12778</v>
      </c>
      <c r="V67" s="26">
        <v>311203</v>
      </c>
      <c r="W67" s="26">
        <v>11283</v>
      </c>
      <c r="X67" s="26">
        <v>1175</v>
      </c>
      <c r="Y67" s="26" t="s">
        <v>31</v>
      </c>
      <c r="Z67" s="26" t="s">
        <v>31</v>
      </c>
      <c r="AA67" s="26">
        <v>313121</v>
      </c>
      <c r="AB67" s="26">
        <v>1714</v>
      </c>
      <c r="AC67" s="26" t="s">
        <v>31</v>
      </c>
      <c r="AD67" s="26" t="s">
        <v>31</v>
      </c>
      <c r="AE67" s="26" t="s">
        <v>31</v>
      </c>
      <c r="AF67" s="26" t="s">
        <v>31</v>
      </c>
      <c r="AG67" s="26">
        <v>31695</v>
      </c>
      <c r="AH67" s="26">
        <v>376</v>
      </c>
    </row>
    <row r="68" spans="1:34" x14ac:dyDescent="0.2">
      <c r="A68" s="10">
        <f t="shared" si="2"/>
        <v>2025</v>
      </c>
      <c r="B68" s="10">
        <f t="shared" si="3"/>
        <v>11</v>
      </c>
      <c r="D68" s="10" t="s">
        <v>30</v>
      </c>
      <c r="E68" s="25" t="d">
        <v>2025-11-01</v>
      </c>
      <c r="F68" s="26">
        <v>3736871</v>
      </c>
      <c r="G68" s="26">
        <v>151227</v>
      </c>
      <c r="H68" s="26">
        <v>473240858</v>
      </c>
      <c r="I68" s="26">
        <v>19600522</v>
      </c>
      <c r="J68" s="26">
        <v>1890232</v>
      </c>
      <c r="K68" s="26">
        <v>15502</v>
      </c>
      <c r="L68" s="26">
        <v>137300</v>
      </c>
      <c r="M68" s="26">
        <v>11600</v>
      </c>
      <c r="N68" s="26">
        <v>653600</v>
      </c>
      <c r="O68" s="26">
        <v>332300</v>
      </c>
      <c r="P68" s="26">
        <v>462000</v>
      </c>
      <c r="Q68" s="26">
        <v>12000</v>
      </c>
      <c r="R68" s="26">
        <v>172145060</v>
      </c>
      <c r="S68" s="26">
        <v>6738416</v>
      </c>
      <c r="T68" s="26">
        <v>1100750</v>
      </c>
      <c r="U68" s="26">
        <v>13305</v>
      </c>
      <c r="V68" s="26">
        <v>331785</v>
      </c>
      <c r="W68" s="26">
        <v>12363</v>
      </c>
      <c r="X68" s="26">
        <v>1126</v>
      </c>
      <c r="Y68" s="26" t="s">
        <v>31</v>
      </c>
      <c r="Z68" s="26" t="s">
        <v>31</v>
      </c>
      <c r="AA68" s="26">
        <v>313899</v>
      </c>
      <c r="AB68" s="26">
        <v>778</v>
      </c>
      <c r="AC68" s="26" t="s">
        <v>31</v>
      </c>
      <c r="AD68" s="26" t="s">
        <v>31</v>
      </c>
      <c r="AE68" s="26" t="s">
        <v>31</v>
      </c>
      <c r="AF68" s="26" t="s">
        <v>31</v>
      </c>
      <c r="AG68" s="26">
        <v>32062</v>
      </c>
      <c r="AH68" s="26">
        <v>367</v>
      </c>
    </row>
    <row r="69" spans="1:34" x14ac:dyDescent="0.2">
      <c r="A69" s="10">
        <f t="shared" si="2"/>
        <v>2025</v>
      </c>
      <c r="B69" s="10">
        <f t="shared" si="3"/>
        <v>12</v>
      </c>
      <c r="D69" s="10" t="s">
        <v>30</v>
      </c>
      <c r="E69" s="25" t="d">
        <v>2025-12-01</v>
      </c>
      <c r="F69" s="26">
        <v>3859133</v>
      </c>
      <c r="G69" s="26">
        <v>122262</v>
      </c>
      <c r="H69" s="26">
        <v>491813290</v>
      </c>
      <c r="I69" s="26">
        <v>18464374</v>
      </c>
      <c r="J69" s="26">
        <v>1877454</v>
      </c>
      <c r="K69" s="26">
        <v>-12778</v>
      </c>
      <c r="L69" s="26">
        <v>137930</v>
      </c>
      <c r="M69" s="26">
        <v>630</v>
      </c>
      <c r="N69" s="26">
        <v>657300</v>
      </c>
      <c r="O69" s="26">
        <v>3700</v>
      </c>
      <c r="P69" s="26">
        <v>473000</v>
      </c>
      <c r="Q69" s="26">
        <v>11000</v>
      </c>
      <c r="R69" s="26">
        <v>178646647</v>
      </c>
      <c r="S69" s="26">
        <v>6501589</v>
      </c>
      <c r="T69" s="26">
        <v>1116482</v>
      </c>
      <c r="U69" s="26">
        <v>15732</v>
      </c>
      <c r="V69" s="26">
        <v>150269</v>
      </c>
      <c r="W69" s="26">
        <v>13355</v>
      </c>
      <c r="X69" s="26">
        <v>992</v>
      </c>
      <c r="Y69" s="26" t="s">
        <v>31</v>
      </c>
      <c r="Z69" s="26" t="s">
        <v>31</v>
      </c>
      <c r="AA69" s="26">
        <v>314389</v>
      </c>
      <c r="AB69" s="26">
        <v>490</v>
      </c>
      <c r="AC69" s="26" t="s">
        <v>31</v>
      </c>
      <c r="AD69" s="26" t="s">
        <v>31</v>
      </c>
      <c r="AE69" s="26" t="s">
        <v>31</v>
      </c>
      <c r="AF69" s="26" t="s">
        <v>31</v>
      </c>
      <c r="AG69" s="26">
        <v>32402</v>
      </c>
      <c r="AH69" s="26">
        <v>340</v>
      </c>
    </row>
    <row r="70" spans="1:34" x14ac:dyDescent="0.2">
      <c r="A70" s="10">
        <f t="shared" si="2"/>
        <v>2026</v>
      </c>
      <c r="B70" s="10">
        <f t="shared" si="3"/>
        <v>1</v>
      </c>
      <c r="D70" s="10" t="s">
        <v>30</v>
      </c>
      <c r="E70" s="25" t="d">
        <v>2026-01-01</v>
      </c>
      <c r="F70" s="26">
        <v>4029785</v>
      </c>
      <c r="G70" s="26">
        <v>170652</v>
      </c>
      <c r="H70" s="26">
        <v>519161347</v>
      </c>
      <c r="I70" s="26">
        <v>25972026</v>
      </c>
      <c r="J70" s="26">
        <v>2318011</v>
      </c>
      <c r="K70" s="26">
        <v>440557</v>
      </c>
      <c r="L70" s="26">
        <v>140000</v>
      </c>
      <c r="M70" s="26">
        <v>2070</v>
      </c>
      <c r="N70" s="26">
        <v>660500</v>
      </c>
      <c r="O70" s="26">
        <v>3200</v>
      </c>
      <c r="P70" s="26">
        <v>492000</v>
      </c>
      <c r="Q70" s="26">
        <v>19000</v>
      </c>
      <c r="R70" s="26">
        <v>190092468</v>
      </c>
      <c r="S70" s="26">
        <v>11010392</v>
      </c>
      <c r="T70" s="26">
        <v>1134729</v>
      </c>
      <c r="U70" s="26">
        <v>18247</v>
      </c>
      <c r="V70" s="26">
        <v>224594</v>
      </c>
      <c r="W70" s="26">
        <v>14138</v>
      </c>
      <c r="X70" s="26">
        <v>783</v>
      </c>
      <c r="Y70" s="26" t="s">
        <v>31</v>
      </c>
      <c r="Z70" s="26" t="s">
        <v>31</v>
      </c>
      <c r="AA70" s="26">
        <v>316767</v>
      </c>
      <c r="AB70" s="26">
        <v>2378</v>
      </c>
      <c r="AC70" s="26" t="s">
        <v>31</v>
      </c>
      <c r="AD70" s="26" t="s">
        <v>31</v>
      </c>
      <c r="AE70" s="26" t="s">
        <v>31</v>
      </c>
      <c r="AF70" s="26" t="s">
        <v>31</v>
      </c>
      <c r="AG70" s="26">
        <v>32889</v>
      </c>
      <c r="AH70" s="26">
        <v>487</v>
      </c>
    </row>
    <row r="71" spans="1:34" x14ac:dyDescent="0.2">
      <c r="A71" s="10">
        <f t="shared" si="2"/>
        <v>2026</v>
      </c>
      <c r="B71" s="10">
        <f t="shared" si="3"/>
        <v>2</v>
      </c>
      <c r="D71" s="10" t="s">
        <v>30</v>
      </c>
      <c r="E71" s="25" t="d">
        <v>2026-02-01</v>
      </c>
      <c r="F71" s="26">
        <v>4172483</v>
      </c>
      <c r="G71" s="26">
        <v>142698</v>
      </c>
      <c r="H71" s="26">
        <v>539788810</v>
      </c>
      <c r="I71" s="26">
        <v>20540362</v>
      </c>
      <c r="J71" s="26">
        <v>1859454</v>
      </c>
      <c r="K71" s="26">
        <v>-458557</v>
      </c>
      <c r="L71" s="26">
        <v>140000</v>
      </c>
      <c r="M71" s="26">
        <v>0</v>
      </c>
      <c r="N71" s="26">
        <v>660500</v>
      </c>
      <c r="O71" s="26">
        <v>0</v>
      </c>
      <c r="P71" s="26">
        <v>502000</v>
      </c>
      <c r="Q71" s="26">
        <v>10000</v>
      </c>
      <c r="R71" s="26">
        <v>198093979</v>
      </c>
      <c r="S71" s="26">
        <v>7992764</v>
      </c>
      <c r="T71" s="26">
        <v>1139826</v>
      </c>
      <c r="U71" s="26">
        <v>5097</v>
      </c>
      <c r="V71" s="26">
        <v>117700</v>
      </c>
      <c r="W71" s="26">
        <v>14935</v>
      </c>
      <c r="X71" s="26">
        <v>797</v>
      </c>
      <c r="Y71" s="26" t="s">
        <v>31</v>
      </c>
      <c r="Z71" s="26" t="s">
        <v>31</v>
      </c>
      <c r="AA71" s="26">
        <v>317371</v>
      </c>
      <c r="AB71" s="26">
        <v>604</v>
      </c>
      <c r="AC71" s="26" t="s">
        <v>31</v>
      </c>
      <c r="AD71" s="26" t="s">
        <v>31</v>
      </c>
      <c r="AE71" s="26" t="s">
        <v>31</v>
      </c>
      <c r="AF71" s="26" t="s">
        <v>31</v>
      </c>
      <c r="AG71" s="26">
        <v>33168</v>
      </c>
      <c r="AH71" s="26">
        <v>279</v>
      </c>
    </row>
    <row r="72" spans="1:34" x14ac:dyDescent="0.2">
      <c r="A72" s="10">
        <f t="shared" si="2"/>
        <v>2026</v>
      </c>
      <c r="B72" s="10">
        <f t="shared" si="3"/>
        <v>3</v>
      </c>
      <c r="D72" s="10" t="s">
        <v>30</v>
      </c>
      <c r="E72" s="25" t="d">
        <v>2026-03-01</v>
      </c>
      <c r="F72" s="26">
        <v>4260375</v>
      </c>
      <c r="G72" s="26">
        <v>87892</v>
      </c>
      <c r="H72" s="26">
        <v>556438091</v>
      </c>
      <c r="I72" s="26">
        <v>16649281</v>
      </c>
      <c r="J72" s="26">
        <v>1862357</v>
      </c>
      <c r="K72" s="26">
        <v>2903</v>
      </c>
      <c r="L72" s="26">
        <v>140000</v>
      </c>
      <c r="M72" s="26">
        <v>0</v>
      </c>
      <c r="N72" s="26">
        <v>660500</v>
      </c>
      <c r="O72" s="26">
        <v>0</v>
      </c>
      <c r="P72" s="26">
        <v>510000</v>
      </c>
      <c r="Q72" s="26">
        <v>8000</v>
      </c>
      <c r="R72" s="26">
        <v>204619356</v>
      </c>
      <c r="S72" s="26">
        <v>6525377</v>
      </c>
      <c r="T72" s="26">
        <v>1146651</v>
      </c>
      <c r="U72" s="26">
        <v>6825</v>
      </c>
      <c r="V72" s="26">
        <v>174974</v>
      </c>
      <c r="W72" s="26">
        <v>15577</v>
      </c>
      <c r="X72" s="26">
        <v>642</v>
      </c>
      <c r="Y72" s="26" t="s">
        <v>31</v>
      </c>
      <c r="Z72" s="26" t="s">
        <v>31</v>
      </c>
      <c r="AA72" s="26">
        <v>318050</v>
      </c>
      <c r="AB72" s="26">
        <v>679</v>
      </c>
      <c r="AC72" s="26" t="s">
        <v>31</v>
      </c>
      <c r="AD72" s="26" t="s">
        <v>31</v>
      </c>
      <c r="AE72" s="26" t="s">
        <v>31</v>
      </c>
      <c r="AF72" s="26" t="s">
        <v>31</v>
      </c>
      <c r="AG72" s="26">
        <v>33449</v>
      </c>
      <c r="AH72" s="26">
        <v>281</v>
      </c>
    </row>
    <row r="73" spans="1:34" x14ac:dyDescent="0.2">
      <c r="A73" s="10">
        <f t="shared" si="2"/>
        <v>2026</v>
      </c>
      <c r="B73" s="10">
        <f t="shared" si="3"/>
        <v>4</v>
      </c>
      <c r="D73" s="10" t="s">
        <v>30</v>
      </c>
      <c r="E73" s="25" t="d">
        <v>2026-04-01</v>
      </c>
      <c r="F73" s="26">
        <v>4363075</v>
      </c>
      <c r="G73" s="26">
        <v>102700</v>
      </c>
      <c r="H73" s="26">
        <v>574021864</v>
      </c>
      <c r="I73" s="26">
        <v>17559899</v>
      </c>
      <c r="J73" s="26">
        <v>1848805</v>
      </c>
      <c r="K73" s="26">
        <v>-13552</v>
      </c>
      <c r="L73" s="26">
        <v>143588</v>
      </c>
      <c r="M73" s="26">
        <v>117</v>
      </c>
      <c r="N73" s="26">
        <v>665151</v>
      </c>
      <c r="O73" s="26">
        <v>394</v>
      </c>
      <c r="P73" s="26">
        <v>518000</v>
      </c>
      <c r="Q73" s="26">
        <v>8000</v>
      </c>
      <c r="R73" s="26">
        <v>211588064</v>
      </c>
      <c r="S73" s="26">
        <v>6968712</v>
      </c>
      <c r="T73" s="26">
        <v>1151025</v>
      </c>
      <c r="U73" s="26">
        <v>4374</v>
      </c>
      <c r="V73" s="26">
        <v>65485</v>
      </c>
      <c r="W73" s="26">
        <v>16208</v>
      </c>
      <c r="X73" s="26">
        <v>631</v>
      </c>
      <c r="Y73" s="26">
        <v>18493265</v>
      </c>
      <c r="Z73" s="26">
        <v>217378</v>
      </c>
      <c r="AA73" s="26">
        <v>319168</v>
      </c>
      <c r="AB73" s="26">
        <v>1118</v>
      </c>
      <c r="AC73" s="26" t="s">
        <v>31</v>
      </c>
      <c r="AD73" s="26" t="s">
        <v>31</v>
      </c>
      <c r="AE73" s="26" t="s">
        <v>31</v>
      </c>
      <c r="AF73" s="26" t="s">
        <v>31</v>
      </c>
      <c r="AG73" s="26">
        <v>33808</v>
      </c>
      <c r="AH73" s="26">
        <v>359</v>
      </c>
    </row>
    <row r="74" spans="1:34" x14ac:dyDescent="0.2">
      <c r="A74" s="10">
        <f t="shared" si="2"/>
        <v>2026</v>
      </c>
      <c r="B74" s="10">
        <f t="shared" si="3"/>
        <v>5</v>
      </c>
      <c r="D74" s="10" t="s">
        <v>30</v>
      </c>
      <c r="E74" s="25" t="d">
        <v>2026-05-01</v>
      </c>
      <c r="F74" s="26">
        <v>4455569</v>
      </c>
      <c r="G74" s="26">
        <v>92494</v>
      </c>
      <c r="H74" s="26">
        <v>590156360</v>
      </c>
      <c r="I74" s="26">
        <v>16113660</v>
      </c>
      <c r="J74" s="26">
        <v>1746310</v>
      </c>
      <c r="K74" s="26">
        <v>-102495</v>
      </c>
      <c r="L74" s="26">
        <v>144639</v>
      </c>
      <c r="M74" s="26">
        <v>1051</v>
      </c>
      <c r="N74" s="26">
        <v>666339</v>
      </c>
      <c r="O74" s="26">
        <v>1188</v>
      </c>
      <c r="P74" s="26">
        <v>526000</v>
      </c>
      <c r="Q74" s="26">
        <v>8000</v>
      </c>
      <c r="R74" s="26">
        <v>218128241</v>
      </c>
      <c r="S74" s="26">
        <v>6540180</v>
      </c>
      <c r="T74" s="26">
        <v>1153218</v>
      </c>
      <c r="U74" s="26">
        <v>2193</v>
      </c>
      <c r="V74" s="26">
        <v>91897</v>
      </c>
      <c r="W74" s="26">
        <v>16825</v>
      </c>
      <c r="X74" s="26">
        <v>617</v>
      </c>
      <c r="Y74" s="26">
        <v>18530975</v>
      </c>
      <c r="Z74" s="26">
        <v>37710</v>
      </c>
      <c r="AA74" s="26">
        <v>320145</v>
      </c>
      <c r="AB74" s="26">
        <v>977</v>
      </c>
      <c r="AC74" s="26" t="s">
        <v>31</v>
      </c>
      <c r="AD74" s="26" t="s">
        <v>31</v>
      </c>
      <c r="AE74" s="26" t="s">
        <v>31</v>
      </c>
      <c r="AF74" s="26" t="s">
        <v>31</v>
      </c>
      <c r="AG74" s="26">
        <v>34101</v>
      </c>
      <c r="AH74" s="26">
        <v>293</v>
      </c>
    </row>
    <row r="75" spans="1:34" x14ac:dyDescent="0.2">
      <c r="A75" s="10">
        <f t="shared" si="2"/>
        <v>2026</v>
      </c>
      <c r="B75" s="10">
        <f t="shared" si="3"/>
        <v>6</v>
      </c>
      <c r="D75" s="10" t="s">
        <v>30</v>
      </c>
      <c r="E75" s="25" t="d">
        <v>2026-06-01</v>
      </c>
      <c r="F75" s="26">
        <v>4576550</v>
      </c>
      <c r="G75" s="26">
        <v>120981</v>
      </c>
      <c r="H75" s="26">
        <v>605741469</v>
      </c>
      <c r="I75" s="26">
        <v>15538802</v>
      </c>
      <c r="J75" s="26">
        <v>1671236</v>
      </c>
      <c r="K75" s="26">
        <v>-75074</v>
      </c>
      <c r="L75" s="26">
        <v>145503</v>
      </c>
      <c r="M75" s="26">
        <v>864</v>
      </c>
      <c r="N75" s="26">
        <v>667622</v>
      </c>
      <c r="O75" s="26">
        <v>1283</v>
      </c>
      <c r="P75" s="26">
        <v>534000</v>
      </c>
      <c r="Q75" s="26">
        <v>8000</v>
      </c>
      <c r="R75" s="26">
        <v>224647821</v>
      </c>
      <c r="S75" s="26">
        <v>6519580</v>
      </c>
      <c r="T75" s="26">
        <v>1152583</v>
      </c>
      <c r="U75" s="26">
        <v>-635</v>
      </c>
      <c r="V75" s="26">
        <v>9966</v>
      </c>
      <c r="W75" s="26">
        <v>17460</v>
      </c>
      <c r="X75" s="26">
        <v>635</v>
      </c>
      <c r="Y75" s="26">
        <v>19305728</v>
      </c>
      <c r="Z75" s="26">
        <v>774753</v>
      </c>
      <c r="AA75" s="26">
        <v>320662</v>
      </c>
      <c r="AB75" s="26">
        <v>517</v>
      </c>
      <c r="AC75" s="26" t="s">
        <v>31</v>
      </c>
      <c r="AD75" s="26" t="s">
        <v>31</v>
      </c>
      <c r="AE75" s="26" t="s">
        <v>31</v>
      </c>
      <c r="AF75" s="26" t="s">
        <v>31</v>
      </c>
      <c r="AG75" s="26">
        <v>34460</v>
      </c>
      <c r="AH75" s="26">
        <v>359</v>
      </c>
    </row>
    <row r="76" spans="1:34" x14ac:dyDescent="0.2">
      <c r="A76" s="10">
        <f t="shared" si="2"/>
        <v>2026</v>
      </c>
      <c r="B76" s="10">
        <f t="shared" si="3"/>
        <v>7</v>
      </c>
      <c r="D76" s="10" t="s">
        <v>30</v>
      </c>
      <c r="E76" s="25" t="d">
        <v>2026-07-01</v>
      </c>
      <c r="F76" s="26">
        <v>4665879</v>
      </c>
      <c r="G76" s="26">
        <v>89329</v>
      </c>
      <c r="H76" s="26">
        <v>620313166</v>
      </c>
      <c r="I76" s="26">
        <v>14553162</v>
      </c>
      <c r="J76" s="26">
        <v>1671453</v>
      </c>
      <c r="K76" s="26">
        <v>217</v>
      </c>
      <c r="L76" s="26">
        <v>145599</v>
      </c>
      <c r="M76" s="26">
        <v>96</v>
      </c>
      <c r="N76" s="26">
        <v>668444</v>
      </c>
      <c r="O76" s="26">
        <v>822</v>
      </c>
      <c r="P76" s="26">
        <v>541000</v>
      </c>
      <c r="Q76" s="26">
        <v>7000</v>
      </c>
      <c r="R76" s="26">
        <v>230706099</v>
      </c>
      <c r="S76" s="26">
        <v>6058443</v>
      </c>
      <c r="T76" s="26">
        <v>1155323</v>
      </c>
      <c r="U76" s="26">
        <v>2740</v>
      </c>
      <c r="V76" s="26">
        <v>20344</v>
      </c>
      <c r="W76" s="26">
        <v>18069</v>
      </c>
      <c r="X76" s="26">
        <v>609</v>
      </c>
      <c r="Y76" s="26">
        <v>19625297</v>
      </c>
      <c r="Z76" s="26">
        <v>319569</v>
      </c>
      <c r="AA76" s="26">
        <v>320638</v>
      </c>
      <c r="AB76" s="26">
        <v>-24</v>
      </c>
      <c r="AC76" s="26" t="s">
        <v>31</v>
      </c>
      <c r="AD76" s="26" t="s">
        <v>31</v>
      </c>
      <c r="AE76" s="26" t="s">
        <v>31</v>
      </c>
      <c r="AF76" s="26" t="s">
        <v>31</v>
      </c>
      <c r="AG76" s="26">
        <v>34752</v>
      </c>
      <c r="AH76" s="26">
        <v>292</v>
      </c>
    </row>
    <row r="77" spans="1:34" x14ac:dyDescent="0.2">
      <c r="A77" s="10">
        <f t="shared" ref="A77:A101" si="4">YEAR(E77)</f>
        <v>2024</v>
      </c>
      <c r="B77" s="10">
        <f t="shared" ref="B77:B101" si="5">MONTH(E77)</f>
        <v>7</v>
      </c>
      <c r="D77" s="10" t="s">
        <v>542</v>
      </c>
      <c r="E77" s="25" t="d">
        <v>2024-07-01</v>
      </c>
      <c r="F77" s="26">
        <v>1441046</v>
      </c>
      <c r="G77" s="26">
        <v>33175</v>
      </c>
      <c r="H77" s="26">
        <v>125403600</v>
      </c>
      <c r="I77" s="26">
        <v>3289473</v>
      </c>
      <c r="J77" s="26">
        <v>657143</v>
      </c>
      <c r="K77" s="26">
        <v>54670</v>
      </c>
      <c r="L77" s="26">
        <v>2140000</v>
      </c>
      <c r="M77" s="26">
        <v>30000</v>
      </c>
      <c r="N77" s="26">
        <v>40200000</v>
      </c>
      <c r="O77" s="26">
        <v>1200000</v>
      </c>
      <c r="P77" s="26">
        <v>359000</v>
      </c>
      <c r="Q77" s="26">
        <v>3000</v>
      </c>
      <c r="R77" s="26">
        <v>153075237</v>
      </c>
      <c r="S77" s="26">
        <v>2563087</v>
      </c>
      <c r="T77" s="26">
        <v>1995083</v>
      </c>
      <c r="U77" s="26">
        <v>12725</v>
      </c>
      <c r="V77" s="26">
        <v>189000</v>
      </c>
      <c r="W77" s="26">
        <v>2256</v>
      </c>
      <c r="X77" s="26">
        <v>88</v>
      </c>
      <c r="Y77" s="26" t="s">
        <v>31</v>
      </c>
      <c r="Z77" s="26" t="s">
        <v>31</v>
      </c>
      <c r="AA77" s="26">
        <v>2871300</v>
      </c>
      <c r="AB77" s="26">
        <v>987</v>
      </c>
      <c r="AC77" s="26">
        <v>3949</v>
      </c>
      <c r="AD77" s="26">
        <v>16</v>
      </c>
      <c r="AE77" s="26" t="s">
        <v>31</v>
      </c>
      <c r="AF77" s="26" t="s">
        <v>31</v>
      </c>
      <c r="AG77" s="26">
        <v>67112</v>
      </c>
      <c r="AH77" s="26">
        <v>0</v>
      </c>
    </row>
    <row r="78" spans="1:34" x14ac:dyDescent="0.2">
      <c r="A78" s="10">
        <f t="shared" si="4"/>
        <v>2024</v>
      </c>
      <c r="B78" s="10">
        <f t="shared" si="5"/>
        <v>8</v>
      </c>
      <c r="D78" s="10" t="s">
        <v>542</v>
      </c>
      <c r="E78" s="25" t="d">
        <v>2024-08-01</v>
      </c>
      <c r="F78" s="26">
        <v>1491071</v>
      </c>
      <c r="G78" s="26">
        <v>50025</v>
      </c>
      <c r="H78" s="26">
        <v>128483335</v>
      </c>
      <c r="I78" s="26">
        <v>3017934</v>
      </c>
      <c r="J78" s="26">
        <v>622454</v>
      </c>
      <c r="K78" s="26">
        <v>-34689</v>
      </c>
      <c r="L78" s="26">
        <v>2200000</v>
      </c>
      <c r="M78" s="26">
        <v>60000</v>
      </c>
      <c r="N78" s="26">
        <v>42700000</v>
      </c>
      <c r="O78" s="26">
        <v>2500000</v>
      </c>
      <c r="P78" s="26">
        <v>361000</v>
      </c>
      <c r="Q78" s="26">
        <v>2000</v>
      </c>
      <c r="R78" s="26">
        <v>155416237</v>
      </c>
      <c r="S78" s="26">
        <v>2341000</v>
      </c>
      <c r="T78" s="26">
        <v>2003036</v>
      </c>
      <c r="U78" s="26">
        <v>7953</v>
      </c>
      <c r="V78" s="26">
        <v>329000</v>
      </c>
      <c r="W78" s="26">
        <v>2397</v>
      </c>
      <c r="X78" s="26">
        <v>141</v>
      </c>
      <c r="Y78" s="26" t="s">
        <v>31</v>
      </c>
      <c r="Z78" s="26" t="s">
        <v>31</v>
      </c>
      <c r="AA78" s="26">
        <v>2884126</v>
      </c>
      <c r="AB78" s="26">
        <v>12826</v>
      </c>
      <c r="AC78" s="26">
        <v>3961</v>
      </c>
      <c r="AD78" s="26">
        <v>12</v>
      </c>
      <c r="AE78" s="26" t="s">
        <v>31</v>
      </c>
      <c r="AF78" s="26" t="s">
        <v>31</v>
      </c>
      <c r="AG78" s="26">
        <v>67112</v>
      </c>
      <c r="AH78" s="26">
        <v>0</v>
      </c>
    </row>
    <row r="79" spans="1:34" x14ac:dyDescent="0.2">
      <c r="A79" s="10">
        <f t="shared" si="4"/>
        <v>2024</v>
      </c>
      <c r="B79" s="10">
        <f t="shared" si="5"/>
        <v>9</v>
      </c>
      <c r="D79" s="10" t="s">
        <v>542</v>
      </c>
      <c r="E79" s="25" t="d">
        <v>2024-09-01</v>
      </c>
      <c r="F79" s="26">
        <v>1520004</v>
      </c>
      <c r="G79" s="26">
        <v>28933</v>
      </c>
      <c r="H79" s="26">
        <v>133246549</v>
      </c>
      <c r="I79" s="26">
        <v>4572249</v>
      </c>
      <c r="J79" s="26">
        <v>843851</v>
      </c>
      <c r="K79" s="26">
        <v>221397</v>
      </c>
      <c r="L79" s="26">
        <v>2230000</v>
      </c>
      <c r="M79" s="26">
        <v>30000</v>
      </c>
      <c r="N79" s="26">
        <v>44100000</v>
      </c>
      <c r="O79" s="26">
        <v>1400000</v>
      </c>
      <c r="P79" s="26">
        <v>364000</v>
      </c>
      <c r="Q79" s="26">
        <v>3000</v>
      </c>
      <c r="R79" s="26">
        <v>158214587</v>
      </c>
      <c r="S79" s="26">
        <v>2798350</v>
      </c>
      <c r="T79" s="26">
        <v>2007682</v>
      </c>
      <c r="U79" s="26">
        <v>4646</v>
      </c>
      <c r="V79" s="26">
        <v>227000</v>
      </c>
      <c r="W79" s="26">
        <v>2529</v>
      </c>
      <c r="X79" s="26">
        <v>132</v>
      </c>
      <c r="Y79" s="26" t="s">
        <v>31</v>
      </c>
      <c r="Z79" s="26" t="s">
        <v>31</v>
      </c>
      <c r="AA79" s="26">
        <v>2896261</v>
      </c>
      <c r="AB79" s="26">
        <v>12135</v>
      </c>
      <c r="AC79" s="26">
        <v>3981</v>
      </c>
      <c r="AD79" s="26">
        <v>20</v>
      </c>
      <c r="AE79" s="26" t="s">
        <v>31</v>
      </c>
      <c r="AF79" s="26" t="s">
        <v>31</v>
      </c>
      <c r="AG79" s="26">
        <v>67112</v>
      </c>
      <c r="AH79" s="26">
        <v>0</v>
      </c>
    </row>
    <row r="80" spans="1:34" x14ac:dyDescent="0.2">
      <c r="A80" s="10">
        <f t="shared" si="4"/>
        <v>2024</v>
      </c>
      <c r="B80" s="10">
        <f t="shared" si="5"/>
        <v>10</v>
      </c>
      <c r="D80" s="10" t="s">
        <v>542</v>
      </c>
      <c r="E80" s="25" t="d">
        <v>2024-10-01</v>
      </c>
      <c r="F80" s="26">
        <v>1564405</v>
      </c>
      <c r="G80" s="26">
        <v>44401</v>
      </c>
      <c r="H80" s="26">
        <v>137455470</v>
      </c>
      <c r="I80" s="26">
        <v>4164111</v>
      </c>
      <c r="J80" s="26">
        <v>826388</v>
      </c>
      <c r="K80" s="26">
        <v>-17463</v>
      </c>
      <c r="L80" s="26">
        <v>2250000</v>
      </c>
      <c r="M80" s="26">
        <v>20000</v>
      </c>
      <c r="N80" s="26">
        <v>44700000</v>
      </c>
      <c r="O80" s="26">
        <v>600000</v>
      </c>
      <c r="P80" s="26">
        <v>454000</v>
      </c>
      <c r="Q80" s="26">
        <v>90000</v>
      </c>
      <c r="R80" s="26">
        <v>166391772</v>
      </c>
      <c r="S80" s="26">
        <v>2849599</v>
      </c>
      <c r="T80" s="26">
        <v>2014982</v>
      </c>
      <c r="U80" s="26">
        <v>7300</v>
      </c>
      <c r="V80" s="26">
        <v>27160</v>
      </c>
      <c r="W80" s="26">
        <v>2678</v>
      </c>
      <c r="X80" s="26">
        <v>149</v>
      </c>
      <c r="Y80" s="26" t="s">
        <v>31</v>
      </c>
      <c r="Z80" s="26" t="s">
        <v>31</v>
      </c>
      <c r="AA80" s="26">
        <v>2899775</v>
      </c>
      <c r="AB80" s="26">
        <v>3514</v>
      </c>
      <c r="AC80" s="26">
        <v>3996</v>
      </c>
      <c r="AD80" s="26">
        <v>15</v>
      </c>
      <c r="AE80" s="26" t="s">
        <v>31</v>
      </c>
      <c r="AF80" s="26" t="s">
        <v>31</v>
      </c>
      <c r="AG80" s="26">
        <v>67112</v>
      </c>
      <c r="AH80" s="26">
        <v>0</v>
      </c>
    </row>
    <row r="81" spans="1:34" x14ac:dyDescent="0.2">
      <c r="A81" s="10">
        <f t="shared" si="4"/>
        <v>2024</v>
      </c>
      <c r="B81" s="10">
        <f t="shared" si="5"/>
        <v>11</v>
      </c>
      <c r="D81" s="10" t="s">
        <v>542</v>
      </c>
      <c r="E81" s="25" t="d">
        <v>2024-11-01</v>
      </c>
      <c r="F81" s="26">
        <v>1604204</v>
      </c>
      <c r="G81" s="26">
        <v>39799</v>
      </c>
      <c r="H81" s="26">
        <v>141599257</v>
      </c>
      <c r="I81" s="26">
        <v>4141909</v>
      </c>
      <c r="J81" s="26">
        <v>863868</v>
      </c>
      <c r="K81" s="26">
        <v>37480</v>
      </c>
      <c r="L81" s="26">
        <v>2330000</v>
      </c>
      <c r="M81" s="26">
        <v>80000</v>
      </c>
      <c r="N81" s="26">
        <v>44700000</v>
      </c>
      <c r="O81" s="26">
        <v>0</v>
      </c>
      <c r="P81" s="26">
        <v>457000</v>
      </c>
      <c r="Q81" s="26">
        <v>3000</v>
      </c>
      <c r="R81" s="26">
        <v>169401767</v>
      </c>
      <c r="S81" s="26">
        <v>3009995</v>
      </c>
      <c r="T81" s="26">
        <v>2028965</v>
      </c>
      <c r="U81" s="26">
        <v>13983</v>
      </c>
      <c r="V81" s="26">
        <v>538767</v>
      </c>
      <c r="W81" s="26">
        <v>2780</v>
      </c>
      <c r="X81" s="26">
        <v>102</v>
      </c>
      <c r="Y81" s="26" t="s">
        <v>31</v>
      </c>
      <c r="Z81" s="26" t="s">
        <v>31</v>
      </c>
      <c r="AA81" s="26">
        <v>2920204</v>
      </c>
      <c r="AB81" s="26">
        <v>20429</v>
      </c>
      <c r="AC81" s="26">
        <v>4008</v>
      </c>
      <c r="AD81" s="26">
        <v>12</v>
      </c>
      <c r="AE81" s="26">
        <v>26550</v>
      </c>
      <c r="AF81" s="26">
        <v>4</v>
      </c>
      <c r="AG81" s="26">
        <v>67112</v>
      </c>
      <c r="AH81" s="26">
        <v>0</v>
      </c>
    </row>
    <row r="82" spans="1:34" x14ac:dyDescent="0.2">
      <c r="A82" s="10">
        <f t="shared" si="4"/>
        <v>2024</v>
      </c>
      <c r="B82" s="10">
        <f t="shared" si="5"/>
        <v>12</v>
      </c>
      <c r="D82" s="10" t="s">
        <v>542</v>
      </c>
      <c r="E82" s="25" t="d">
        <v>2024-12-01</v>
      </c>
      <c r="F82" s="26">
        <v>1631473</v>
      </c>
      <c r="G82" s="26">
        <v>27269</v>
      </c>
      <c r="H82" s="26">
        <v>145266863</v>
      </c>
      <c r="I82" s="26">
        <v>3667606</v>
      </c>
      <c r="J82" s="26">
        <v>841268</v>
      </c>
      <c r="K82" s="26">
        <v>-22600</v>
      </c>
      <c r="L82" s="26">
        <v>2300000</v>
      </c>
      <c r="M82" s="26">
        <v>-30000</v>
      </c>
      <c r="N82" s="26">
        <v>50600000</v>
      </c>
      <c r="O82" s="26">
        <v>5900000</v>
      </c>
      <c r="P82" s="26">
        <v>461000</v>
      </c>
      <c r="Q82" s="26">
        <v>4000</v>
      </c>
      <c r="R82" s="26">
        <v>172734238</v>
      </c>
      <c r="S82" s="26">
        <v>3332471</v>
      </c>
      <c r="T82" s="26">
        <v>2039893</v>
      </c>
      <c r="U82" s="26">
        <v>10928</v>
      </c>
      <c r="V82" s="26">
        <v>257192</v>
      </c>
      <c r="W82" s="26">
        <v>2877</v>
      </c>
      <c r="X82" s="26">
        <v>97</v>
      </c>
      <c r="Y82" s="26" t="s">
        <v>31</v>
      </c>
      <c r="Z82" s="26" t="s">
        <v>31</v>
      </c>
      <c r="AA82" s="26">
        <v>2945855</v>
      </c>
      <c r="AB82" s="26">
        <v>25651</v>
      </c>
      <c r="AC82" s="26">
        <v>4013</v>
      </c>
      <c r="AD82" s="26">
        <v>5</v>
      </c>
      <c r="AE82" s="26">
        <v>26624</v>
      </c>
      <c r="AF82" s="26">
        <v>74</v>
      </c>
      <c r="AG82" s="26">
        <v>67112</v>
      </c>
      <c r="AH82" s="26">
        <v>0</v>
      </c>
    </row>
    <row r="83" spans="1:34" x14ac:dyDescent="0.2">
      <c r="A83" s="10">
        <f t="shared" si="4"/>
        <v>2025</v>
      </c>
      <c r="B83" s="10">
        <f t="shared" si="5"/>
        <v>1</v>
      </c>
      <c r="D83" s="10" t="s">
        <v>542</v>
      </c>
      <c r="E83" s="25" t="d">
        <v>2025-01-01</v>
      </c>
      <c r="F83" s="26">
        <v>1671987</v>
      </c>
      <c r="G83" s="26">
        <v>40514</v>
      </c>
      <c r="H83" s="26">
        <v>149370493</v>
      </c>
      <c r="I83" s="26">
        <v>4082145</v>
      </c>
      <c r="J83" s="26">
        <v>956668</v>
      </c>
      <c r="K83" s="26">
        <v>115400</v>
      </c>
      <c r="L83" s="26">
        <v>2400000</v>
      </c>
      <c r="M83" s="26">
        <v>100000</v>
      </c>
      <c r="N83" s="26">
        <v>52600000</v>
      </c>
      <c r="O83" s="26">
        <v>2000000</v>
      </c>
      <c r="P83" s="26">
        <v>466000</v>
      </c>
      <c r="Q83" s="26">
        <v>5000</v>
      </c>
      <c r="R83" s="26">
        <v>176302846</v>
      </c>
      <c r="S83" s="26">
        <v>3566739</v>
      </c>
      <c r="T83" s="26">
        <v>2057314</v>
      </c>
      <c r="U83" s="26">
        <v>17421</v>
      </c>
      <c r="V83" s="26">
        <v>329686</v>
      </c>
      <c r="W83" s="26">
        <v>2979</v>
      </c>
      <c r="X83" s="26">
        <v>102</v>
      </c>
      <c r="Y83" s="26" t="s">
        <v>31</v>
      </c>
      <c r="Z83" s="26" t="s">
        <v>31</v>
      </c>
      <c r="AA83" s="26">
        <v>2980467</v>
      </c>
      <c r="AB83" s="26">
        <v>34612</v>
      </c>
      <c r="AC83" s="26">
        <v>4022</v>
      </c>
      <c r="AD83" s="26">
        <v>9</v>
      </c>
      <c r="AE83" s="26">
        <v>26707</v>
      </c>
      <c r="AF83" s="26">
        <v>83</v>
      </c>
      <c r="AG83" s="26">
        <v>67112</v>
      </c>
      <c r="AH83" s="26">
        <v>0</v>
      </c>
    </row>
    <row r="84" spans="1:34" x14ac:dyDescent="0.2">
      <c r="A84" s="10">
        <f t="shared" si="4"/>
        <v>2025</v>
      </c>
      <c r="B84" s="10">
        <f t="shared" si="5"/>
        <v>2</v>
      </c>
      <c r="D84" s="10" t="s">
        <v>542</v>
      </c>
      <c r="E84" s="25" t="d">
        <v>2025-02-01</v>
      </c>
      <c r="F84" s="26">
        <v>1706813</v>
      </c>
      <c r="G84" s="26">
        <v>34826</v>
      </c>
      <c r="H84" s="26">
        <v>152852007</v>
      </c>
      <c r="I84" s="26">
        <v>3466138</v>
      </c>
      <c r="J84" s="26">
        <v>738683</v>
      </c>
      <c r="K84" s="26">
        <v>-217985</v>
      </c>
      <c r="L84" s="26">
        <v>2490000</v>
      </c>
      <c r="M84" s="26">
        <v>90000</v>
      </c>
      <c r="N84" s="26">
        <v>55560000</v>
      </c>
      <c r="O84" s="26">
        <v>2960000</v>
      </c>
      <c r="P84" s="26">
        <v>469000</v>
      </c>
      <c r="Q84" s="26">
        <v>3000</v>
      </c>
      <c r="R84" s="26">
        <v>178480890</v>
      </c>
      <c r="S84" s="26">
        <v>2178044</v>
      </c>
      <c r="T84" s="26">
        <v>2071497</v>
      </c>
      <c r="U84" s="26">
        <v>14183</v>
      </c>
      <c r="V84" s="26">
        <v>178691</v>
      </c>
      <c r="W84" s="26">
        <v>3099</v>
      </c>
      <c r="X84" s="26">
        <v>120</v>
      </c>
      <c r="Y84" s="26" t="s">
        <v>31</v>
      </c>
      <c r="Z84" s="26" t="s">
        <v>31</v>
      </c>
      <c r="AA84" s="26">
        <v>3001810</v>
      </c>
      <c r="AB84" s="26">
        <v>21343</v>
      </c>
      <c r="AC84" s="26">
        <v>4027</v>
      </c>
      <c r="AD84" s="26">
        <v>5</v>
      </c>
      <c r="AE84" s="26">
        <v>26756</v>
      </c>
      <c r="AF84" s="26">
        <v>49</v>
      </c>
      <c r="AG84" s="26">
        <v>67112</v>
      </c>
      <c r="AH84" s="26">
        <v>0</v>
      </c>
    </row>
    <row r="85" spans="1:34" x14ac:dyDescent="0.2">
      <c r="A85" s="10">
        <f t="shared" si="4"/>
        <v>2025</v>
      </c>
      <c r="B85" s="10">
        <f t="shared" si="5"/>
        <v>3</v>
      </c>
      <c r="D85" s="10" t="s">
        <v>542</v>
      </c>
      <c r="E85" s="25" t="d">
        <v>2025-03-01</v>
      </c>
      <c r="F85" s="26">
        <v>1735718</v>
      </c>
      <c r="G85" s="26">
        <v>28905</v>
      </c>
      <c r="H85" s="26">
        <v>156171618</v>
      </c>
      <c r="I85" s="26">
        <v>3259747</v>
      </c>
      <c r="J85" s="26">
        <v>793440</v>
      </c>
      <c r="K85" s="26">
        <v>54757</v>
      </c>
      <c r="L85" s="26">
        <v>2490000</v>
      </c>
      <c r="M85" s="26">
        <v>0</v>
      </c>
      <c r="N85" s="26">
        <v>55560000</v>
      </c>
      <c r="O85" s="26">
        <v>0</v>
      </c>
      <c r="P85" s="26">
        <v>473000</v>
      </c>
      <c r="Q85" s="26">
        <v>4000</v>
      </c>
      <c r="R85" s="26">
        <v>180641725</v>
      </c>
      <c r="S85" s="26">
        <v>2160830</v>
      </c>
      <c r="T85" s="26">
        <v>2083804</v>
      </c>
      <c r="U85" s="26">
        <v>12307</v>
      </c>
      <c r="V85" s="26">
        <v>332157</v>
      </c>
      <c r="W85" s="26">
        <v>3192</v>
      </c>
      <c r="X85" s="26">
        <v>93</v>
      </c>
      <c r="Y85" s="26" t="s">
        <v>31</v>
      </c>
      <c r="Z85" s="26" t="s">
        <v>31</v>
      </c>
      <c r="AA85" s="26">
        <v>3013665</v>
      </c>
      <c r="AB85" s="26">
        <v>11855</v>
      </c>
      <c r="AC85" s="26">
        <v>4033</v>
      </c>
      <c r="AD85" s="26">
        <v>6</v>
      </c>
      <c r="AE85" s="26">
        <v>26809</v>
      </c>
      <c r="AF85" s="26">
        <v>53</v>
      </c>
      <c r="AG85" s="26">
        <v>67112</v>
      </c>
      <c r="AH85" s="26">
        <v>0</v>
      </c>
    </row>
    <row r="86" spans="1:34" x14ac:dyDescent="0.2">
      <c r="A86" s="10">
        <f t="shared" si="4"/>
        <v>2025</v>
      </c>
      <c r="B86" s="10">
        <f t="shared" si="5"/>
        <v>4</v>
      </c>
      <c r="D86" s="10" t="s">
        <v>542</v>
      </c>
      <c r="E86" s="25" t="d">
        <v>2025-04-01</v>
      </c>
      <c r="F86" s="26">
        <v>1772399</v>
      </c>
      <c r="G86" s="26">
        <v>36681</v>
      </c>
      <c r="H86" s="26">
        <v>160268984</v>
      </c>
      <c r="I86" s="26">
        <v>4036166</v>
      </c>
      <c r="J86" s="26">
        <v>817503</v>
      </c>
      <c r="K86" s="26">
        <v>24063</v>
      </c>
      <c r="L86" s="26">
        <v>2490000</v>
      </c>
      <c r="M86" s="26">
        <v>0</v>
      </c>
      <c r="N86" s="26">
        <v>55560000</v>
      </c>
      <c r="O86" s="26">
        <v>0</v>
      </c>
      <c r="P86" s="26">
        <v>477000</v>
      </c>
      <c r="Q86" s="26">
        <v>4000</v>
      </c>
      <c r="R86" s="26">
        <v>183271220</v>
      </c>
      <c r="S86" s="26">
        <v>2629495</v>
      </c>
      <c r="T86" s="26">
        <v>2095540</v>
      </c>
      <c r="U86" s="26">
        <v>11736</v>
      </c>
      <c r="V86" s="26">
        <v>124754</v>
      </c>
      <c r="W86" s="26">
        <v>3300</v>
      </c>
      <c r="X86" s="26">
        <v>108</v>
      </c>
      <c r="Y86" s="26" t="s">
        <v>31</v>
      </c>
      <c r="Z86" s="26" t="s">
        <v>31</v>
      </c>
      <c r="AA86" s="26">
        <v>3023433</v>
      </c>
      <c r="AB86" s="26">
        <v>9768</v>
      </c>
      <c r="AC86" s="26">
        <v>4037</v>
      </c>
      <c r="AD86" s="26">
        <v>4</v>
      </c>
      <c r="AE86" s="26">
        <v>26855</v>
      </c>
      <c r="AF86" s="26">
        <v>46</v>
      </c>
      <c r="AG86" s="26">
        <v>67112</v>
      </c>
      <c r="AH86" s="26">
        <v>0</v>
      </c>
    </row>
    <row r="87" spans="1:34" x14ac:dyDescent="0.2">
      <c r="A87" s="10">
        <f t="shared" si="4"/>
        <v>2025</v>
      </c>
      <c r="B87" s="10">
        <f t="shared" si="5"/>
        <v>5</v>
      </c>
      <c r="D87" s="10" t="s">
        <v>542</v>
      </c>
      <c r="E87" s="25" t="d">
        <v>2025-05-01</v>
      </c>
      <c r="F87" s="26">
        <v>1808010</v>
      </c>
      <c r="G87" s="26">
        <v>35611</v>
      </c>
      <c r="H87" s="26">
        <v>164434036</v>
      </c>
      <c r="I87" s="26">
        <v>4165290</v>
      </c>
      <c r="J87" s="26">
        <v>866093</v>
      </c>
      <c r="K87" s="26">
        <v>48590</v>
      </c>
      <c r="L87" s="26">
        <v>2490000</v>
      </c>
      <c r="M87" s="26">
        <v>0</v>
      </c>
      <c r="N87" s="26">
        <v>55560000</v>
      </c>
      <c r="O87" s="26">
        <v>0</v>
      </c>
      <c r="P87" s="26">
        <v>482000</v>
      </c>
      <c r="Q87" s="26">
        <v>5000</v>
      </c>
      <c r="R87" s="26">
        <v>185843050</v>
      </c>
      <c r="S87" s="26">
        <v>2512455</v>
      </c>
      <c r="T87" s="26">
        <v>2104392</v>
      </c>
      <c r="U87" s="26">
        <v>8852</v>
      </c>
      <c r="V87" s="26">
        <v>143573</v>
      </c>
      <c r="W87" s="26">
        <v>3407</v>
      </c>
      <c r="X87" s="26">
        <v>107</v>
      </c>
      <c r="Y87" s="26" t="s">
        <v>31</v>
      </c>
      <c r="Z87" s="26" t="s">
        <v>31</v>
      </c>
      <c r="AA87" s="26">
        <v>3027569</v>
      </c>
      <c r="AB87" s="26">
        <v>4136</v>
      </c>
      <c r="AC87" s="26">
        <v>4035</v>
      </c>
      <c r="AD87" s="26">
        <v>-2</v>
      </c>
      <c r="AE87" s="26">
        <v>26908</v>
      </c>
      <c r="AF87" s="26">
        <v>53</v>
      </c>
      <c r="AG87" s="26">
        <v>67112</v>
      </c>
      <c r="AH87" s="26">
        <v>0</v>
      </c>
    </row>
    <row r="88" spans="1:34" x14ac:dyDescent="0.2">
      <c r="A88" s="10">
        <f t="shared" si="4"/>
        <v>2025</v>
      </c>
      <c r="B88" s="10">
        <f t="shared" si="5"/>
        <v>6</v>
      </c>
      <c r="D88" s="10" t="s">
        <v>542</v>
      </c>
      <c r="E88" s="25" t="d">
        <v>2025-06-01</v>
      </c>
      <c r="F88" s="26">
        <v>1851866</v>
      </c>
      <c r="G88" s="26">
        <v>43856</v>
      </c>
      <c r="H88" s="26">
        <v>168735682</v>
      </c>
      <c r="I88" s="26">
        <v>4300620</v>
      </c>
      <c r="J88" s="26">
        <v>832951</v>
      </c>
      <c r="K88" s="26">
        <v>-33142</v>
      </c>
      <c r="L88" s="26">
        <v>2490000</v>
      </c>
      <c r="M88" s="26">
        <v>0</v>
      </c>
      <c r="N88" s="26">
        <v>55560000</v>
      </c>
      <c r="O88" s="26">
        <v>0</v>
      </c>
      <c r="P88" s="26">
        <v>488000</v>
      </c>
      <c r="Q88" s="26">
        <v>6000</v>
      </c>
      <c r="R88" s="26">
        <v>189285118</v>
      </c>
      <c r="S88" s="26">
        <v>3440907</v>
      </c>
      <c r="T88" s="26">
        <v>2115931</v>
      </c>
      <c r="U88" s="26">
        <v>11539</v>
      </c>
      <c r="V88" s="26">
        <v>300579</v>
      </c>
      <c r="W88" s="26">
        <v>3959</v>
      </c>
      <c r="X88" s="26">
        <v>552</v>
      </c>
      <c r="Y88" s="26" t="s">
        <v>31</v>
      </c>
      <c r="Z88" s="26" t="s">
        <v>31</v>
      </c>
      <c r="AA88" s="26">
        <v>3030366</v>
      </c>
      <c r="AB88" s="26">
        <v>2797</v>
      </c>
      <c r="AC88" s="26">
        <v>4039</v>
      </c>
      <c r="AD88" s="26">
        <v>4</v>
      </c>
      <c r="AE88" s="26">
        <v>26955</v>
      </c>
      <c r="AF88" s="26">
        <v>47</v>
      </c>
      <c r="AG88" s="26">
        <v>67112</v>
      </c>
      <c r="AH88" s="26">
        <v>0</v>
      </c>
    </row>
    <row r="89" spans="1:34" x14ac:dyDescent="0.2">
      <c r="A89" s="10">
        <f t="shared" si="4"/>
        <v>2025</v>
      </c>
      <c r="B89" s="10">
        <f t="shared" si="5"/>
        <v>7</v>
      </c>
      <c r="D89" s="10" t="s">
        <v>542</v>
      </c>
      <c r="E89" s="25" t="d">
        <v>2025-07-01</v>
      </c>
      <c r="F89" s="26">
        <v>1882889</v>
      </c>
      <c r="G89" s="26">
        <v>31023</v>
      </c>
      <c r="H89" s="26">
        <v>172745907</v>
      </c>
      <c r="I89" s="26">
        <v>3979543</v>
      </c>
      <c r="J89" s="26">
        <v>832706</v>
      </c>
      <c r="K89" s="26">
        <v>-245</v>
      </c>
      <c r="L89" s="26">
        <v>2490000</v>
      </c>
      <c r="M89" s="26">
        <v>0</v>
      </c>
      <c r="N89" s="26">
        <v>55560000</v>
      </c>
      <c r="O89" s="26">
        <v>0</v>
      </c>
      <c r="P89" s="26">
        <v>493000</v>
      </c>
      <c r="Q89" s="26">
        <v>5000</v>
      </c>
      <c r="R89" s="26">
        <v>192608105</v>
      </c>
      <c r="S89" s="26">
        <v>3322987</v>
      </c>
      <c r="T89" s="26">
        <v>2127602</v>
      </c>
      <c r="U89" s="26">
        <v>11671</v>
      </c>
      <c r="V89" s="26">
        <v>135988</v>
      </c>
      <c r="W89" s="26">
        <v>4783</v>
      </c>
      <c r="X89" s="26">
        <v>824</v>
      </c>
      <c r="Y89" s="26" t="s">
        <v>31</v>
      </c>
      <c r="Z89" s="26" t="s">
        <v>31</v>
      </c>
      <c r="AA89" s="26">
        <v>3032085</v>
      </c>
      <c r="AB89" s="26">
        <v>1719</v>
      </c>
      <c r="AC89" s="26">
        <v>4039</v>
      </c>
      <c r="AD89" s="26">
        <v>0</v>
      </c>
      <c r="AE89" s="26">
        <v>26996</v>
      </c>
      <c r="AF89" s="26">
        <v>41</v>
      </c>
      <c r="AG89" s="26">
        <v>67112</v>
      </c>
      <c r="AH89" s="26">
        <v>0</v>
      </c>
    </row>
    <row r="90" spans="1:34" x14ac:dyDescent="0.2">
      <c r="A90" s="10">
        <f t="shared" si="4"/>
        <v>2025</v>
      </c>
      <c r="B90" s="10">
        <f t="shared" si="5"/>
        <v>8</v>
      </c>
      <c r="D90" s="10" t="s">
        <v>542</v>
      </c>
      <c r="E90" s="25" t="d">
        <v>2025-08-01</v>
      </c>
      <c r="F90" s="26">
        <v>1908673</v>
      </c>
      <c r="G90" s="26">
        <v>25784</v>
      </c>
      <c r="H90" s="26">
        <v>176391593</v>
      </c>
      <c r="I90" s="26">
        <v>3616471</v>
      </c>
      <c r="J90" s="26">
        <v>772991</v>
      </c>
      <c r="K90" s="26">
        <v>-59715</v>
      </c>
      <c r="L90" s="26">
        <v>2700000</v>
      </c>
      <c r="M90" s="26">
        <v>210000</v>
      </c>
      <c r="N90" s="26">
        <v>68900000</v>
      </c>
      <c r="O90" s="26">
        <v>13340000</v>
      </c>
      <c r="P90" s="26">
        <v>498000</v>
      </c>
      <c r="Q90" s="26">
        <v>5000</v>
      </c>
      <c r="R90" s="26">
        <v>195779147</v>
      </c>
      <c r="S90" s="26">
        <v>3171042</v>
      </c>
      <c r="T90" s="26">
        <v>2139758</v>
      </c>
      <c r="U90" s="26">
        <v>12156</v>
      </c>
      <c r="V90" s="26">
        <v>307255</v>
      </c>
      <c r="W90" s="26">
        <v>5884</v>
      </c>
      <c r="X90" s="26">
        <v>1101</v>
      </c>
      <c r="Y90" s="26" t="s">
        <v>31</v>
      </c>
      <c r="Z90" s="26" t="s">
        <v>31</v>
      </c>
      <c r="AA90" s="26">
        <v>3040642</v>
      </c>
      <c r="AB90" s="26">
        <v>8557</v>
      </c>
      <c r="AC90" s="26">
        <v>4043</v>
      </c>
      <c r="AD90" s="26">
        <v>4</v>
      </c>
      <c r="AE90" s="26">
        <v>27029</v>
      </c>
      <c r="AF90" s="26">
        <v>33</v>
      </c>
      <c r="AG90" s="26">
        <v>67112</v>
      </c>
      <c r="AH90" s="26">
        <v>0</v>
      </c>
    </row>
    <row r="91" spans="1:34" x14ac:dyDescent="0.2">
      <c r="A91" s="10">
        <f t="shared" si="4"/>
        <v>2025</v>
      </c>
      <c r="B91" s="10">
        <f t="shared" si="5"/>
        <v>9</v>
      </c>
      <c r="D91" s="10" t="s">
        <v>542</v>
      </c>
      <c r="E91" s="25" t="d">
        <v>2025-09-01</v>
      </c>
      <c r="F91" s="26">
        <v>1948690</v>
      </c>
      <c r="G91" s="26">
        <v>40017</v>
      </c>
      <c r="H91" s="26">
        <v>180104844</v>
      </c>
      <c r="I91" s="26">
        <v>3684018</v>
      </c>
      <c r="J91" s="26">
        <v>759042</v>
      </c>
      <c r="K91" s="26">
        <v>-13949</v>
      </c>
      <c r="L91" s="26">
        <v>2720000</v>
      </c>
      <c r="M91" s="26">
        <v>20000</v>
      </c>
      <c r="N91" s="26">
        <v>70900000</v>
      </c>
      <c r="O91" s="26">
        <v>2000000</v>
      </c>
      <c r="P91" s="26">
        <v>503000</v>
      </c>
      <c r="Q91" s="26">
        <v>5000</v>
      </c>
      <c r="R91" s="26">
        <v>198749399</v>
      </c>
      <c r="S91" s="26">
        <v>2970252</v>
      </c>
      <c r="T91" s="26">
        <v>2150257</v>
      </c>
      <c r="U91" s="26">
        <v>10499</v>
      </c>
      <c r="V91" s="26">
        <v>211948</v>
      </c>
      <c r="W91" s="26">
        <v>7269</v>
      </c>
      <c r="X91" s="26">
        <v>1385</v>
      </c>
      <c r="Y91" s="26" t="s">
        <v>31</v>
      </c>
      <c r="Z91" s="26" t="s">
        <v>31</v>
      </c>
      <c r="AA91" s="26">
        <v>3049953</v>
      </c>
      <c r="AB91" s="26">
        <v>9311</v>
      </c>
      <c r="AC91" s="26">
        <v>4045</v>
      </c>
      <c r="AD91" s="26">
        <v>2</v>
      </c>
      <c r="AE91" s="26">
        <v>27061</v>
      </c>
      <c r="AF91" s="26">
        <v>32</v>
      </c>
      <c r="AG91" s="26">
        <v>67112</v>
      </c>
      <c r="AH91" s="26">
        <v>0</v>
      </c>
    </row>
    <row r="92" spans="1:34" x14ac:dyDescent="0.2">
      <c r="A92" s="10">
        <f t="shared" si="4"/>
        <v>2025</v>
      </c>
      <c r="B92" s="10">
        <f t="shared" si="5"/>
        <v>10</v>
      </c>
      <c r="D92" s="10" t="s">
        <v>542</v>
      </c>
      <c r="E92" s="25" t="d">
        <v>2025-10-01</v>
      </c>
      <c r="F92" s="26">
        <v>1974989</v>
      </c>
      <c r="G92" s="26">
        <v>26299</v>
      </c>
      <c r="H92" s="26">
        <v>183647626</v>
      </c>
      <c r="I92" s="26">
        <v>3538186</v>
      </c>
      <c r="J92" s="26">
        <v>756153</v>
      </c>
      <c r="K92" s="26">
        <v>-2889</v>
      </c>
      <c r="L92" s="26">
        <v>2770000</v>
      </c>
      <c r="M92" s="26">
        <v>50000</v>
      </c>
      <c r="N92" s="26">
        <v>72800000</v>
      </c>
      <c r="O92" s="26">
        <v>1900000</v>
      </c>
      <c r="P92" s="26">
        <v>507000</v>
      </c>
      <c r="Q92" s="26">
        <v>4000</v>
      </c>
      <c r="R92" s="26">
        <v>201564763</v>
      </c>
      <c r="S92" s="26">
        <v>2815364</v>
      </c>
      <c r="T92" s="26">
        <v>2163463</v>
      </c>
      <c r="U92" s="26">
        <v>13206</v>
      </c>
      <c r="V92" s="26">
        <v>224831</v>
      </c>
      <c r="W92" s="26">
        <v>8441</v>
      </c>
      <c r="X92" s="26">
        <v>1172</v>
      </c>
      <c r="Y92" s="26" t="s">
        <v>31</v>
      </c>
      <c r="Z92" s="26" t="s">
        <v>31</v>
      </c>
      <c r="AA92" s="26">
        <v>3053418</v>
      </c>
      <c r="AB92" s="26">
        <v>3465</v>
      </c>
      <c r="AC92" s="26">
        <v>4045</v>
      </c>
      <c r="AD92" s="26">
        <v>0</v>
      </c>
      <c r="AE92" s="26">
        <v>27083</v>
      </c>
      <c r="AF92" s="26">
        <v>22</v>
      </c>
      <c r="AG92" s="26">
        <v>67112</v>
      </c>
      <c r="AH92" s="26">
        <v>0</v>
      </c>
    </row>
    <row r="93" spans="1:34" x14ac:dyDescent="0.2">
      <c r="A93" s="10">
        <f t="shared" si="4"/>
        <v>2025</v>
      </c>
      <c r="B93" s="10">
        <f t="shared" si="5"/>
        <v>11</v>
      </c>
      <c r="D93" s="10" t="s">
        <v>542</v>
      </c>
      <c r="E93" s="25" t="d">
        <v>2025-11-01</v>
      </c>
      <c r="F93" s="26">
        <v>2001314</v>
      </c>
      <c r="G93" s="26">
        <v>26325</v>
      </c>
      <c r="H93" s="26">
        <v>178065671</v>
      </c>
      <c r="I93" s="26">
        <v>3712358</v>
      </c>
      <c r="J93" s="26">
        <v>837515</v>
      </c>
      <c r="K93" s="26">
        <v>81362</v>
      </c>
      <c r="L93" s="26">
        <v>2800000</v>
      </c>
      <c r="M93" s="26">
        <v>30000</v>
      </c>
      <c r="N93" s="26">
        <v>73900000</v>
      </c>
      <c r="O93" s="26">
        <v>1100000</v>
      </c>
      <c r="P93" s="26">
        <v>511000</v>
      </c>
      <c r="Q93" s="26">
        <v>4000</v>
      </c>
      <c r="R93" s="26">
        <v>204510171</v>
      </c>
      <c r="S93" s="26">
        <v>2967479</v>
      </c>
      <c r="T93" s="26">
        <v>2168623</v>
      </c>
      <c r="U93" s="26">
        <v>5160</v>
      </c>
      <c r="V93" s="26">
        <v>301130</v>
      </c>
      <c r="W93" s="26">
        <v>9466</v>
      </c>
      <c r="X93" s="26">
        <v>1060</v>
      </c>
      <c r="Y93" s="26" t="s">
        <v>31</v>
      </c>
      <c r="Z93" s="26" t="s">
        <v>31</v>
      </c>
      <c r="AA93" s="26">
        <v>3063939</v>
      </c>
      <c r="AB93" s="26">
        <v>10521</v>
      </c>
      <c r="AC93" s="26">
        <v>4044</v>
      </c>
      <c r="AD93" s="26">
        <v>-1</v>
      </c>
      <c r="AE93" s="26">
        <v>27111</v>
      </c>
      <c r="AF93" s="26">
        <v>32</v>
      </c>
      <c r="AG93" s="26">
        <v>67112</v>
      </c>
      <c r="AH93" s="26">
        <v>0</v>
      </c>
    </row>
    <row r="94" spans="1:34" x14ac:dyDescent="0.2">
      <c r="A94" s="10">
        <f t="shared" si="4"/>
        <v>2025</v>
      </c>
      <c r="B94" s="10">
        <f t="shared" si="5"/>
        <v>12</v>
      </c>
      <c r="D94" s="10" t="s">
        <v>542</v>
      </c>
      <c r="E94" s="25" t="d">
        <v>2025-12-01</v>
      </c>
      <c r="F94" s="26">
        <v>2028801</v>
      </c>
      <c r="G94" s="26">
        <v>27487</v>
      </c>
      <c r="H94" s="26">
        <v>182200221</v>
      </c>
      <c r="I94" s="26">
        <v>3835295</v>
      </c>
      <c r="J94" s="26">
        <v>904345</v>
      </c>
      <c r="K94" s="26">
        <v>66830</v>
      </c>
      <c r="L94" s="26">
        <v>2800000</v>
      </c>
      <c r="M94" s="26">
        <v>0</v>
      </c>
      <c r="N94" s="26">
        <v>75400000</v>
      </c>
      <c r="O94" s="26">
        <v>1500000</v>
      </c>
      <c r="P94" s="26">
        <v>516000</v>
      </c>
      <c r="Q94" s="26">
        <v>5000</v>
      </c>
      <c r="R94" s="26">
        <v>207329939</v>
      </c>
      <c r="S94" s="26">
        <v>2817774</v>
      </c>
      <c r="T94" s="26">
        <v>2179988</v>
      </c>
      <c r="U94" s="26">
        <v>11365</v>
      </c>
      <c r="V94" s="26">
        <v>218441</v>
      </c>
      <c r="W94" s="26">
        <v>10403</v>
      </c>
      <c r="X94" s="26">
        <v>937</v>
      </c>
      <c r="Y94" s="26" t="s">
        <v>31</v>
      </c>
      <c r="Z94" s="26" t="s">
        <v>31</v>
      </c>
      <c r="AA94" s="26">
        <v>3082740</v>
      </c>
      <c r="AB94" s="26">
        <v>18801</v>
      </c>
      <c r="AC94" s="26">
        <v>4042</v>
      </c>
      <c r="AD94" s="26">
        <v>-2</v>
      </c>
      <c r="AE94" s="26">
        <v>27148</v>
      </c>
      <c r="AF94" s="26">
        <v>37</v>
      </c>
      <c r="AG94" s="26">
        <v>67112</v>
      </c>
      <c r="AH94" s="26">
        <v>0</v>
      </c>
    </row>
    <row r="95" spans="1:34" x14ac:dyDescent="0.2">
      <c r="A95" s="10">
        <f t="shared" si="4"/>
        <v>2026</v>
      </c>
      <c r="B95" s="10">
        <f t="shared" si="5"/>
        <v>1</v>
      </c>
      <c r="D95" s="10" t="s">
        <v>542</v>
      </c>
      <c r="E95" s="25" t="d">
        <v>2026-01-01</v>
      </c>
      <c r="F95" s="26">
        <v>2050001</v>
      </c>
      <c r="G95" s="26">
        <v>21200</v>
      </c>
      <c r="H95" s="26">
        <v>198509649</v>
      </c>
      <c r="I95" s="26">
        <v>4144883</v>
      </c>
      <c r="J95" s="26">
        <v>1004213</v>
      </c>
      <c r="K95" s="26">
        <v>99868</v>
      </c>
      <c r="L95" s="26">
        <v>2900000</v>
      </c>
      <c r="M95" s="26">
        <v>100000</v>
      </c>
      <c r="N95" s="26">
        <v>77300000</v>
      </c>
      <c r="O95" s="26">
        <v>1900000</v>
      </c>
      <c r="P95" s="26">
        <v>519000</v>
      </c>
      <c r="Q95" s="26">
        <v>3000</v>
      </c>
      <c r="R95" s="26">
        <v>210561083</v>
      </c>
      <c r="S95" s="26">
        <v>3227771</v>
      </c>
      <c r="T95" s="26">
        <v>2194738</v>
      </c>
      <c r="U95" s="26">
        <v>14750</v>
      </c>
      <c r="V95" s="26">
        <v>224769</v>
      </c>
      <c r="W95" s="26">
        <v>11399</v>
      </c>
      <c r="X95" s="26">
        <v>996</v>
      </c>
      <c r="Y95" s="26" t="s">
        <v>31</v>
      </c>
      <c r="Z95" s="26" t="s">
        <v>31</v>
      </c>
      <c r="AA95" s="26">
        <v>3136964</v>
      </c>
      <c r="AB95" s="26">
        <v>54224</v>
      </c>
      <c r="AC95" s="26">
        <v>4043</v>
      </c>
      <c r="AD95" s="26">
        <v>1</v>
      </c>
      <c r="AE95" s="26">
        <v>27171</v>
      </c>
      <c r="AF95" s="26">
        <v>23</v>
      </c>
      <c r="AG95" s="26">
        <v>67112</v>
      </c>
      <c r="AH95" s="26">
        <v>0</v>
      </c>
    </row>
    <row r="96" spans="1:34" x14ac:dyDescent="0.2">
      <c r="A96" s="10">
        <f t="shared" si="4"/>
        <v>2026</v>
      </c>
      <c r="B96" s="10">
        <f t="shared" si="5"/>
        <v>2</v>
      </c>
      <c r="D96" s="10" t="s">
        <v>542</v>
      </c>
      <c r="E96" s="25" t="d">
        <v>2026-02-01</v>
      </c>
      <c r="F96" s="26">
        <v>2061253</v>
      </c>
      <c r="G96" s="26">
        <v>11252</v>
      </c>
      <c r="H96" s="26">
        <v>202077604</v>
      </c>
      <c r="I96" s="26">
        <v>3567956</v>
      </c>
      <c r="J96" s="26">
        <v>760737</v>
      </c>
      <c r="K96" s="26">
        <v>-243476</v>
      </c>
      <c r="L96" s="26">
        <v>2920000</v>
      </c>
      <c r="M96" s="26">
        <v>20000</v>
      </c>
      <c r="N96" s="26">
        <v>77300000</v>
      </c>
      <c r="O96" s="26">
        <v>0</v>
      </c>
      <c r="P96" s="26">
        <v>522000</v>
      </c>
      <c r="Q96" s="26">
        <v>3000</v>
      </c>
      <c r="R96" s="26">
        <v>212980675</v>
      </c>
      <c r="S96" s="26">
        <v>2419593</v>
      </c>
      <c r="T96" s="26">
        <v>2215942</v>
      </c>
      <c r="U96" s="26">
        <v>21204</v>
      </c>
      <c r="V96" s="26">
        <v>145882</v>
      </c>
      <c r="W96" s="26">
        <v>12384</v>
      </c>
      <c r="X96" s="26">
        <v>985</v>
      </c>
      <c r="Y96" s="26" t="s">
        <v>31</v>
      </c>
      <c r="Z96" s="26" t="s">
        <v>31</v>
      </c>
      <c r="AA96" s="26">
        <v>3159606</v>
      </c>
      <c r="AB96" s="26">
        <v>22642</v>
      </c>
      <c r="AC96" s="26">
        <v>4044</v>
      </c>
      <c r="AD96" s="26">
        <v>1</v>
      </c>
      <c r="AE96" s="26">
        <v>27185</v>
      </c>
      <c r="AF96" s="26">
        <v>14</v>
      </c>
      <c r="AG96" s="26">
        <v>67112</v>
      </c>
      <c r="AH96" s="26">
        <v>0</v>
      </c>
    </row>
    <row r="97" spans="1:34" x14ac:dyDescent="0.2">
      <c r="A97" s="10">
        <f t="shared" si="4"/>
        <v>2026</v>
      </c>
      <c r="B97" s="10">
        <f t="shared" si="5"/>
        <v>3</v>
      </c>
      <c r="D97" s="10" t="s">
        <v>542</v>
      </c>
      <c r="E97" s="25" t="d">
        <v>2026-03-01</v>
      </c>
      <c r="F97" s="26">
        <v>2083019</v>
      </c>
      <c r="G97" s="26">
        <v>21766</v>
      </c>
      <c r="H97" s="26">
        <v>205149573</v>
      </c>
      <c r="I97" s="26">
        <v>3037670</v>
      </c>
      <c r="J97" s="26">
        <v>814445</v>
      </c>
      <c r="K97" s="26">
        <v>53708</v>
      </c>
      <c r="L97" s="26">
        <v>3000000</v>
      </c>
      <c r="M97" s="26">
        <v>80000</v>
      </c>
      <c r="N97" s="26">
        <v>77300000</v>
      </c>
      <c r="O97" s="26">
        <v>0</v>
      </c>
      <c r="P97" s="26">
        <v>525000</v>
      </c>
      <c r="Q97" s="26">
        <v>3000</v>
      </c>
      <c r="R97" s="26">
        <v>215249424</v>
      </c>
      <c r="S97" s="26">
        <v>2268750</v>
      </c>
      <c r="T97" s="26">
        <v>2233824</v>
      </c>
      <c r="U97" s="26">
        <v>17882</v>
      </c>
      <c r="V97" s="26">
        <v>243921</v>
      </c>
      <c r="W97" s="26">
        <v>13285</v>
      </c>
      <c r="X97" s="26">
        <v>901</v>
      </c>
      <c r="Y97" s="26" t="s">
        <v>31</v>
      </c>
      <c r="Z97" s="26" t="s">
        <v>31</v>
      </c>
      <c r="AA97" s="26">
        <v>3171923</v>
      </c>
      <c r="AB97" s="26">
        <v>12317</v>
      </c>
      <c r="AC97" s="26">
        <v>4056</v>
      </c>
      <c r="AD97" s="26">
        <v>12</v>
      </c>
      <c r="AE97" s="26">
        <v>27232</v>
      </c>
      <c r="AF97" s="26">
        <v>47</v>
      </c>
      <c r="AG97" s="26">
        <v>67112</v>
      </c>
      <c r="AH97" s="26">
        <v>0</v>
      </c>
    </row>
    <row r="98" spans="1:34" x14ac:dyDescent="0.2">
      <c r="A98" s="10">
        <f t="shared" si="4"/>
        <v>2026</v>
      </c>
      <c r="B98" s="10">
        <f t="shared" si="5"/>
        <v>4</v>
      </c>
      <c r="D98" s="10" t="s">
        <v>542</v>
      </c>
      <c r="E98" s="25" t="d">
        <v>2026-04-01</v>
      </c>
      <c r="F98" s="26">
        <v>2097447</v>
      </c>
      <c r="G98" s="26">
        <v>14428</v>
      </c>
      <c r="H98" s="26">
        <v>211208291</v>
      </c>
      <c r="I98" s="26">
        <v>5550396</v>
      </c>
      <c r="J98" s="26">
        <v>1057948</v>
      </c>
      <c r="K98" s="26">
        <v>243503</v>
      </c>
      <c r="L98" s="26">
        <v>3075378</v>
      </c>
      <c r="M98" s="26">
        <v>34853</v>
      </c>
      <c r="N98" s="26">
        <v>86558668</v>
      </c>
      <c r="O98" s="26">
        <v>829226</v>
      </c>
      <c r="P98" s="26">
        <v>530000</v>
      </c>
      <c r="Q98" s="26">
        <v>5000</v>
      </c>
      <c r="R98" s="26">
        <v>219025540</v>
      </c>
      <c r="S98" s="26">
        <v>3603726</v>
      </c>
      <c r="T98" s="26">
        <v>2252468</v>
      </c>
      <c r="U98" s="26">
        <v>18644</v>
      </c>
      <c r="V98" s="26">
        <v>241306</v>
      </c>
      <c r="W98" s="26">
        <v>14188</v>
      </c>
      <c r="X98" s="26">
        <v>903</v>
      </c>
      <c r="Y98" s="26">
        <v>18768462</v>
      </c>
      <c r="Z98" s="26">
        <v>123605</v>
      </c>
      <c r="AA98" s="26">
        <v>3177910</v>
      </c>
      <c r="AB98" s="26">
        <v>5987</v>
      </c>
      <c r="AC98" s="26">
        <v>4059</v>
      </c>
      <c r="AD98" s="26">
        <v>3</v>
      </c>
      <c r="AE98" s="26">
        <v>27272</v>
      </c>
      <c r="AF98" s="26">
        <v>40</v>
      </c>
      <c r="AG98" s="26">
        <v>67112</v>
      </c>
      <c r="AH98" s="26">
        <v>0</v>
      </c>
    </row>
    <row r="99" spans="1:34" x14ac:dyDescent="0.2">
      <c r="A99" s="10">
        <f t="shared" si="4"/>
        <v>2026</v>
      </c>
      <c r="B99" s="10">
        <f t="shared" si="5"/>
        <v>5</v>
      </c>
      <c r="D99" s="10" t="s">
        <v>542</v>
      </c>
      <c r="E99" s="25" t="d">
        <v>2026-05-01</v>
      </c>
      <c r="F99" s="26">
        <v>2111542</v>
      </c>
      <c r="G99" s="26">
        <v>14095</v>
      </c>
      <c r="H99" s="26">
        <v>215603125</v>
      </c>
      <c r="I99" s="26">
        <v>4372663</v>
      </c>
      <c r="J99" s="26">
        <v>920477</v>
      </c>
      <c r="K99" s="26">
        <v>-137471</v>
      </c>
      <c r="L99" s="26">
        <v>3097476</v>
      </c>
      <c r="M99" s="26">
        <v>22098</v>
      </c>
      <c r="N99" s="26">
        <v>88493893</v>
      </c>
      <c r="O99" s="26">
        <v>1935225</v>
      </c>
      <c r="P99" s="26">
        <v>533000</v>
      </c>
      <c r="Q99" s="26">
        <v>3000</v>
      </c>
      <c r="R99" s="26">
        <v>222011874</v>
      </c>
      <c r="S99" s="26">
        <v>2986339</v>
      </c>
      <c r="T99" s="26">
        <v>2269351</v>
      </c>
      <c r="U99" s="26">
        <v>16883</v>
      </c>
      <c r="V99" s="26">
        <v>124155</v>
      </c>
      <c r="W99" s="26">
        <v>15178</v>
      </c>
      <c r="X99" s="26">
        <v>990</v>
      </c>
      <c r="Y99" s="26">
        <v>18776598</v>
      </c>
      <c r="Z99" s="26">
        <v>8136</v>
      </c>
      <c r="AA99" s="26">
        <v>3202179</v>
      </c>
      <c r="AB99" s="26">
        <v>24269</v>
      </c>
      <c r="AC99" s="26">
        <v>4061</v>
      </c>
      <c r="AD99" s="26">
        <v>2</v>
      </c>
      <c r="AE99" s="26">
        <v>27293</v>
      </c>
      <c r="AF99" s="26">
        <v>21</v>
      </c>
      <c r="AG99" s="26">
        <v>67112</v>
      </c>
      <c r="AH99" s="26">
        <v>0</v>
      </c>
    </row>
    <row r="100" spans="1:34" x14ac:dyDescent="0.2">
      <c r="A100" s="10">
        <f t="shared" si="4"/>
        <v>2026</v>
      </c>
      <c r="B100" s="10">
        <f t="shared" si="5"/>
        <v>6</v>
      </c>
      <c r="D100" s="10" t="s">
        <v>542</v>
      </c>
      <c r="E100" s="25" t="d">
        <v>2026-06-01</v>
      </c>
      <c r="F100" s="26">
        <v>2127666</v>
      </c>
      <c r="G100" s="26">
        <v>16124</v>
      </c>
      <c r="H100" s="26">
        <v>219837866</v>
      </c>
      <c r="I100" s="26">
        <v>4234741</v>
      </c>
      <c r="J100" s="26">
        <v>861540</v>
      </c>
      <c r="K100" s="26">
        <v>-58937</v>
      </c>
      <c r="L100" s="26">
        <v>3094497</v>
      </c>
      <c r="M100" s="26">
        <v>-2979</v>
      </c>
      <c r="N100" s="26">
        <v>90818808</v>
      </c>
      <c r="O100" s="26">
        <v>2324915</v>
      </c>
      <c r="P100" s="26">
        <v>537000</v>
      </c>
      <c r="Q100" s="26">
        <v>4000</v>
      </c>
      <c r="R100" s="26">
        <v>225088963</v>
      </c>
      <c r="S100" s="26">
        <v>3074814</v>
      </c>
      <c r="T100" s="26">
        <v>2262900</v>
      </c>
      <c r="U100" s="26">
        <v>-6451</v>
      </c>
      <c r="V100" s="26">
        <v>97527</v>
      </c>
      <c r="W100" s="26">
        <v>16177</v>
      </c>
      <c r="X100" s="26">
        <v>999</v>
      </c>
      <c r="Y100" s="26">
        <v>19152845</v>
      </c>
      <c r="Z100" s="26">
        <v>376247</v>
      </c>
      <c r="AA100" s="26">
        <v>3235077</v>
      </c>
      <c r="AB100" s="26">
        <v>32898</v>
      </c>
      <c r="AC100" s="26">
        <v>4060</v>
      </c>
      <c r="AD100" s="26">
        <v>-1</v>
      </c>
      <c r="AE100" s="26">
        <v>27315</v>
      </c>
      <c r="AF100" s="26">
        <v>22</v>
      </c>
      <c r="AG100" s="26">
        <v>67112</v>
      </c>
      <c r="AH100" s="26">
        <v>0</v>
      </c>
    </row>
    <row r="101" spans="1:34" x14ac:dyDescent="0.2">
      <c r="A101" s="10">
        <f t="shared" si="4"/>
        <v>2026</v>
      </c>
      <c r="B101" s="10">
        <f t="shared" si="5"/>
        <v>7</v>
      </c>
      <c r="D101" s="10" t="s">
        <v>542</v>
      </c>
      <c r="E101" s="25" t="d">
        <v>2026-07-01</v>
      </c>
      <c r="F101" s="26">
        <v>2145000</v>
      </c>
      <c r="G101" s="26">
        <v>17334</v>
      </c>
      <c r="H101" s="26">
        <v>223532613</v>
      </c>
      <c r="I101" s="26">
        <v>3694747</v>
      </c>
      <c r="J101" s="26">
        <v>806533</v>
      </c>
      <c r="K101" s="26">
        <v>-55007</v>
      </c>
      <c r="L101" s="26">
        <v>3118115</v>
      </c>
      <c r="M101" s="26">
        <v>23618</v>
      </c>
      <c r="N101" s="26">
        <v>92192451</v>
      </c>
      <c r="O101" s="26">
        <v>1373643</v>
      </c>
      <c r="P101" s="26">
        <v>543000</v>
      </c>
      <c r="Q101" s="26">
        <v>6000</v>
      </c>
      <c r="R101" s="26">
        <v>228138321</v>
      </c>
      <c r="S101" s="26">
        <v>3028744</v>
      </c>
      <c r="T101" s="26">
        <v>2272362</v>
      </c>
      <c r="U101" s="26">
        <v>9462</v>
      </c>
      <c r="V101" s="26">
        <v>44300</v>
      </c>
      <c r="W101" s="26">
        <v>17016</v>
      </c>
      <c r="X101" s="26">
        <v>839</v>
      </c>
      <c r="Y101" s="26">
        <v>19100326</v>
      </c>
      <c r="Z101" s="26">
        <v>146535</v>
      </c>
      <c r="AA101" s="26">
        <v>3241005</v>
      </c>
      <c r="AB101" s="26">
        <v>5928</v>
      </c>
      <c r="AC101" s="26">
        <v>4061</v>
      </c>
      <c r="AD101" s="26">
        <v>1</v>
      </c>
      <c r="AE101" s="26">
        <v>27331</v>
      </c>
      <c r="AF101" s="26">
        <v>16</v>
      </c>
      <c r="AG101" s="26">
        <v>67112</v>
      </c>
      <c r="AH101" s="26">
        <v>0</v>
      </c>
    </row>
    <row r="102" spans="1:34" x14ac:dyDescent="0.2">
      <c r="A102" s="10">
        <f t="shared" ref="A102:A165" si="6">YEAR(E102)</f>
        <v>2024</v>
      </c>
      <c r="B102" s="10">
        <f t="shared" ref="B102:B165" si="7">MONTH(E102)</f>
        <v>7</v>
      </c>
      <c r="D102" s="10" t="s">
        <v>41</v>
      </c>
      <c r="E102" s="25" t="d">
        <v>2024-07-01</v>
      </c>
      <c r="F102" s="26">
        <v>1186007</v>
      </c>
      <c r="G102" s="26">
        <v>46783</v>
      </c>
      <c r="H102" s="26">
        <v>205305662</v>
      </c>
      <c r="I102" s="26">
        <v>7874276</v>
      </c>
      <c r="J102" s="26">
        <v>1223611</v>
      </c>
      <c r="K102" s="26">
        <v>-39099</v>
      </c>
      <c r="L102" s="26">
        <v>287100</v>
      </c>
      <c r="M102" s="26">
        <v>1910</v>
      </c>
      <c r="N102" s="26">
        <v>1900000</v>
      </c>
      <c r="O102" s="26">
        <v>0</v>
      </c>
      <c r="P102" s="26">
        <v>208000</v>
      </c>
      <c r="Q102" s="26">
        <v>5000</v>
      </c>
      <c r="R102" s="26">
        <v>96900737</v>
      </c>
      <c r="S102" s="26">
        <v>3191092</v>
      </c>
      <c r="T102" s="26">
        <v>683393</v>
      </c>
      <c r="U102" s="26">
        <v>2829</v>
      </c>
      <c r="V102" s="26">
        <v>35000</v>
      </c>
      <c r="W102" s="26">
        <v>2764</v>
      </c>
      <c r="X102" s="26">
        <v>99</v>
      </c>
      <c r="Y102" s="26" t="s">
        <v>31</v>
      </c>
      <c r="Z102" s="26" t="s">
        <v>31</v>
      </c>
      <c r="AA102" s="26">
        <v>84278</v>
      </c>
      <c r="AB102" s="26">
        <v>505</v>
      </c>
      <c r="AC102" s="26" t="s">
        <v>31</v>
      </c>
      <c r="AD102" s="26" t="s">
        <v>31</v>
      </c>
      <c r="AE102" s="26" t="s">
        <v>31</v>
      </c>
      <c r="AF102" s="26" t="s">
        <v>31</v>
      </c>
      <c r="AG102" s="26">
        <v>27422</v>
      </c>
      <c r="AH102" s="26">
        <v>224</v>
      </c>
    </row>
    <row r="103" spans="1:34" x14ac:dyDescent="0.2">
      <c r="A103" s="10">
        <f t="shared" si="6"/>
        <v>2024</v>
      </c>
      <c r="B103" s="10">
        <f t="shared" si="7"/>
        <v>8</v>
      </c>
      <c r="D103" s="10" t="s">
        <v>41</v>
      </c>
      <c r="E103" s="25" t="d">
        <v>2024-08-01</v>
      </c>
      <c r="F103" s="26">
        <v>1231617</v>
      </c>
      <c r="G103" s="26">
        <v>45610</v>
      </c>
      <c r="H103" s="26">
        <v>214178727</v>
      </c>
      <c r="I103" s="26">
        <v>8582115</v>
      </c>
      <c r="J103" s="26">
        <v>1272558</v>
      </c>
      <c r="K103" s="26">
        <v>48947</v>
      </c>
      <c r="L103" s="26">
        <v>287800</v>
      </c>
      <c r="M103" s="26">
        <v>700</v>
      </c>
      <c r="N103" s="26">
        <v>1900000</v>
      </c>
      <c r="O103" s="26">
        <v>0</v>
      </c>
      <c r="P103" s="26">
        <v>212000</v>
      </c>
      <c r="Q103" s="26">
        <v>4000</v>
      </c>
      <c r="R103" s="26">
        <v>99482428</v>
      </c>
      <c r="S103" s="26">
        <v>2581691</v>
      </c>
      <c r="T103" s="26">
        <v>683393</v>
      </c>
      <c r="U103" s="26">
        <v>0</v>
      </c>
      <c r="V103" s="26">
        <v>0</v>
      </c>
      <c r="W103" s="26">
        <v>2894</v>
      </c>
      <c r="X103" s="26">
        <v>130</v>
      </c>
      <c r="Y103" s="26" t="s">
        <v>31</v>
      </c>
      <c r="Z103" s="26" t="s">
        <v>31</v>
      </c>
      <c r="AA103" s="26">
        <v>84966</v>
      </c>
      <c r="AB103" s="26">
        <v>688</v>
      </c>
      <c r="AC103" s="26" t="s">
        <v>31</v>
      </c>
      <c r="AD103" s="26" t="s">
        <v>31</v>
      </c>
      <c r="AE103" s="26" t="s">
        <v>31</v>
      </c>
      <c r="AF103" s="26" t="s">
        <v>31</v>
      </c>
      <c r="AG103" s="26">
        <v>27636</v>
      </c>
      <c r="AH103" s="26">
        <v>214</v>
      </c>
    </row>
    <row r="104" spans="1:34" x14ac:dyDescent="0.2">
      <c r="A104" s="10">
        <f t="shared" si="6"/>
        <v>2024</v>
      </c>
      <c r="B104" s="10">
        <f t="shared" si="7"/>
        <v>9</v>
      </c>
      <c r="D104" s="10" t="s">
        <v>41</v>
      </c>
      <c r="E104" s="25" t="d">
        <v>2024-09-01</v>
      </c>
      <c r="F104" s="26">
        <v>1329660</v>
      </c>
      <c r="G104" s="26">
        <v>98043</v>
      </c>
      <c r="H104" s="26">
        <v>226355321</v>
      </c>
      <c r="I104" s="26">
        <v>11869013</v>
      </c>
      <c r="J104" s="26">
        <v>1489986</v>
      </c>
      <c r="K104" s="26">
        <v>217428</v>
      </c>
      <c r="L104" s="26">
        <v>292700</v>
      </c>
      <c r="M104" s="26">
        <v>4900</v>
      </c>
      <c r="N104" s="26">
        <v>1900000</v>
      </c>
      <c r="O104" s="26">
        <v>0</v>
      </c>
      <c r="P104" s="26">
        <v>216000</v>
      </c>
      <c r="Q104" s="26">
        <v>4000</v>
      </c>
      <c r="R104" s="26">
        <v>102019984</v>
      </c>
      <c r="S104" s="26">
        <v>2537556</v>
      </c>
      <c r="T104" s="26">
        <v>688101</v>
      </c>
      <c r="U104" s="26">
        <v>4708</v>
      </c>
      <c r="V104" s="26">
        <v>20000</v>
      </c>
      <c r="W104" s="26">
        <v>2994</v>
      </c>
      <c r="X104" s="26">
        <v>100</v>
      </c>
      <c r="Y104" s="26" t="s">
        <v>31</v>
      </c>
      <c r="Z104" s="26" t="s">
        <v>31</v>
      </c>
      <c r="AA104" s="26">
        <v>85583</v>
      </c>
      <c r="AB104" s="26">
        <v>617</v>
      </c>
      <c r="AC104" s="26" t="s">
        <v>31</v>
      </c>
      <c r="AD104" s="26" t="s">
        <v>31</v>
      </c>
      <c r="AE104" s="26" t="s">
        <v>31</v>
      </c>
      <c r="AF104" s="26" t="s">
        <v>31</v>
      </c>
      <c r="AG104" s="26">
        <v>27896</v>
      </c>
      <c r="AH104" s="26">
        <v>260</v>
      </c>
    </row>
    <row r="105" spans="1:34" x14ac:dyDescent="0.2">
      <c r="A105" s="10">
        <f t="shared" si="6"/>
        <v>2024</v>
      </c>
      <c r="B105" s="10">
        <f t="shared" si="7"/>
        <v>10</v>
      </c>
      <c r="D105" s="10" t="s">
        <v>41</v>
      </c>
      <c r="E105" s="25" t="d">
        <v>2024-10-01</v>
      </c>
      <c r="F105" s="26">
        <v>1411184</v>
      </c>
      <c r="G105" s="26">
        <v>81524</v>
      </c>
      <c r="H105" s="26">
        <v>238567340</v>
      </c>
      <c r="I105" s="26">
        <v>11955715</v>
      </c>
      <c r="J105" s="26">
        <v>1495100</v>
      </c>
      <c r="K105" s="26">
        <v>5114</v>
      </c>
      <c r="L105" s="26">
        <v>293000</v>
      </c>
      <c r="M105" s="26">
        <v>300</v>
      </c>
      <c r="N105" s="26">
        <v>1900000</v>
      </c>
      <c r="O105" s="26">
        <v>0</v>
      </c>
      <c r="P105" s="26">
        <v>220000</v>
      </c>
      <c r="Q105" s="26">
        <v>4000</v>
      </c>
      <c r="R105" s="26">
        <v>104365474</v>
      </c>
      <c r="S105" s="26">
        <v>2345490</v>
      </c>
      <c r="T105" s="26">
        <v>700466</v>
      </c>
      <c r="U105" s="26">
        <v>12365</v>
      </c>
      <c r="V105" s="26">
        <v>0</v>
      </c>
      <c r="W105" s="26">
        <v>3136</v>
      </c>
      <c r="X105" s="26">
        <v>142</v>
      </c>
      <c r="Y105" s="26" t="s">
        <v>31</v>
      </c>
      <c r="Z105" s="26" t="s">
        <v>31</v>
      </c>
      <c r="AA105" s="26">
        <v>86289</v>
      </c>
      <c r="AB105" s="26">
        <v>706</v>
      </c>
      <c r="AC105" s="26" t="s">
        <v>31</v>
      </c>
      <c r="AD105" s="26" t="s">
        <v>31</v>
      </c>
      <c r="AE105" s="26" t="s">
        <v>31</v>
      </c>
      <c r="AF105" s="26" t="s">
        <v>31</v>
      </c>
      <c r="AG105" s="26">
        <v>28106</v>
      </c>
      <c r="AH105" s="26">
        <v>210</v>
      </c>
    </row>
    <row r="106" spans="1:34" x14ac:dyDescent="0.2">
      <c r="A106" s="10">
        <f t="shared" si="6"/>
        <v>2024</v>
      </c>
      <c r="B106" s="10">
        <f t="shared" si="7"/>
        <v>11</v>
      </c>
      <c r="D106" s="10" t="s">
        <v>41</v>
      </c>
      <c r="E106" s="25" t="d">
        <v>2024-11-01</v>
      </c>
      <c r="F106" s="26">
        <v>1475565</v>
      </c>
      <c r="G106" s="26">
        <v>64381</v>
      </c>
      <c r="H106" s="26">
        <v>252569837</v>
      </c>
      <c r="I106" s="26">
        <v>13944290</v>
      </c>
      <c r="J106" s="26">
        <v>1678151</v>
      </c>
      <c r="K106" s="26">
        <v>183051</v>
      </c>
      <c r="L106" s="26">
        <v>293000</v>
      </c>
      <c r="M106" s="26">
        <v>0</v>
      </c>
      <c r="N106" s="26">
        <v>1900000</v>
      </c>
      <c r="O106" s="26">
        <v>0</v>
      </c>
      <c r="P106" s="26">
        <v>224000</v>
      </c>
      <c r="Q106" s="26">
        <v>4000</v>
      </c>
      <c r="R106" s="26">
        <v>106611361</v>
      </c>
      <c r="S106" s="26">
        <v>2245887</v>
      </c>
      <c r="T106" s="26">
        <v>705000</v>
      </c>
      <c r="U106" s="26">
        <v>4534</v>
      </c>
      <c r="V106" s="26">
        <v>7505</v>
      </c>
      <c r="W106" s="26">
        <v>3243</v>
      </c>
      <c r="X106" s="26">
        <v>107</v>
      </c>
      <c r="Y106" s="26" t="s">
        <v>31</v>
      </c>
      <c r="Z106" s="26" t="s">
        <v>31</v>
      </c>
      <c r="AA106" s="26">
        <v>86792</v>
      </c>
      <c r="AB106" s="26">
        <v>503</v>
      </c>
      <c r="AC106" s="26" t="s">
        <v>31</v>
      </c>
      <c r="AD106" s="26" t="s">
        <v>31</v>
      </c>
      <c r="AE106" s="26" t="s">
        <v>31</v>
      </c>
      <c r="AF106" s="26" t="s">
        <v>31</v>
      </c>
      <c r="AG106" s="26">
        <v>28321</v>
      </c>
      <c r="AH106" s="26">
        <v>215</v>
      </c>
    </row>
    <row r="107" spans="1:34" x14ac:dyDescent="0.2">
      <c r="A107" s="10">
        <f t="shared" si="6"/>
        <v>2024</v>
      </c>
      <c r="B107" s="10">
        <f t="shared" si="7"/>
        <v>12</v>
      </c>
      <c r="D107" s="10" t="s">
        <v>41</v>
      </c>
      <c r="E107" s="25" t="d">
        <v>2024-12-01</v>
      </c>
      <c r="F107" s="26">
        <v>1535487</v>
      </c>
      <c r="G107" s="26">
        <v>59922</v>
      </c>
      <c r="H107" s="26">
        <v>267222981</v>
      </c>
      <c r="I107" s="26">
        <v>14482711</v>
      </c>
      <c r="J107" s="26">
        <v>1815525</v>
      </c>
      <c r="K107" s="26">
        <v>137374</v>
      </c>
      <c r="L107" s="26">
        <v>304500</v>
      </c>
      <c r="M107" s="26">
        <v>11500</v>
      </c>
      <c r="N107" s="26">
        <v>2000000</v>
      </c>
      <c r="O107" s="26">
        <v>100000</v>
      </c>
      <c r="P107" s="26">
        <v>228000</v>
      </c>
      <c r="Q107" s="26">
        <v>4000</v>
      </c>
      <c r="R107" s="26">
        <v>108496940</v>
      </c>
      <c r="S107" s="26">
        <v>1885579</v>
      </c>
      <c r="T107" s="26">
        <v>707737</v>
      </c>
      <c r="U107" s="26">
        <v>2737</v>
      </c>
      <c r="V107" s="26">
        <v>3884</v>
      </c>
      <c r="W107" s="26">
        <v>3342</v>
      </c>
      <c r="X107" s="26">
        <v>99</v>
      </c>
      <c r="Y107" s="26" t="s">
        <v>31</v>
      </c>
      <c r="Z107" s="26" t="s">
        <v>31</v>
      </c>
      <c r="AA107" s="26">
        <v>87513</v>
      </c>
      <c r="AB107" s="26">
        <v>721</v>
      </c>
      <c r="AC107" s="26" t="s">
        <v>31</v>
      </c>
      <c r="AD107" s="26" t="s">
        <v>31</v>
      </c>
      <c r="AE107" s="26" t="s">
        <v>31</v>
      </c>
      <c r="AF107" s="26" t="s">
        <v>31</v>
      </c>
      <c r="AG107" s="26">
        <v>28581</v>
      </c>
      <c r="AH107" s="26">
        <v>260</v>
      </c>
    </row>
    <row r="108" spans="1:34" x14ac:dyDescent="0.2">
      <c r="A108" s="10">
        <f t="shared" si="6"/>
        <v>2025</v>
      </c>
      <c r="B108" s="10">
        <f t="shared" si="7"/>
        <v>1</v>
      </c>
      <c r="D108" s="10" t="s">
        <v>41</v>
      </c>
      <c r="E108" s="25" t="d">
        <v>2025-01-01</v>
      </c>
      <c r="F108" s="26">
        <v>1601431</v>
      </c>
      <c r="G108" s="26">
        <v>65944</v>
      </c>
      <c r="H108" s="26">
        <v>285520408</v>
      </c>
      <c r="I108" s="26">
        <v>18094869</v>
      </c>
      <c r="J108" s="26">
        <v>2242743</v>
      </c>
      <c r="K108" s="26">
        <v>427218</v>
      </c>
      <c r="L108" s="26">
        <v>305700</v>
      </c>
      <c r="M108" s="26">
        <v>1200</v>
      </c>
      <c r="N108" s="26">
        <v>2000000</v>
      </c>
      <c r="O108" s="26">
        <v>0</v>
      </c>
      <c r="P108" s="26">
        <v>234000</v>
      </c>
      <c r="Q108" s="26">
        <v>6000</v>
      </c>
      <c r="R108" s="26">
        <v>110410317</v>
      </c>
      <c r="S108" s="26">
        <v>1913377</v>
      </c>
      <c r="T108" s="26">
        <v>713648</v>
      </c>
      <c r="U108" s="26">
        <v>5911</v>
      </c>
      <c r="V108" s="26">
        <v>13717</v>
      </c>
      <c r="W108" s="26">
        <v>3439</v>
      </c>
      <c r="X108" s="26">
        <v>97</v>
      </c>
      <c r="Y108" s="26" t="s">
        <v>31</v>
      </c>
      <c r="Z108" s="26" t="s">
        <v>31</v>
      </c>
      <c r="AA108" s="26">
        <v>88175</v>
      </c>
      <c r="AB108" s="26">
        <v>662</v>
      </c>
      <c r="AC108" s="26" t="s">
        <v>31</v>
      </c>
      <c r="AD108" s="26" t="s">
        <v>31</v>
      </c>
      <c r="AE108" s="26" t="s">
        <v>31</v>
      </c>
      <c r="AF108" s="26" t="s">
        <v>31</v>
      </c>
      <c r="AG108" s="26">
        <v>28877</v>
      </c>
      <c r="AH108" s="26">
        <v>296</v>
      </c>
    </row>
    <row r="109" spans="1:34" x14ac:dyDescent="0.2">
      <c r="A109" s="10">
        <f t="shared" si="6"/>
        <v>2025</v>
      </c>
      <c r="B109" s="10">
        <f t="shared" si="7"/>
        <v>2</v>
      </c>
      <c r="D109" s="10" t="s">
        <v>41</v>
      </c>
      <c r="E109" s="25" t="d">
        <v>2025-02-01</v>
      </c>
      <c r="F109" s="26">
        <v>1664663</v>
      </c>
      <c r="G109" s="26">
        <v>63232</v>
      </c>
      <c r="H109" s="26">
        <v>298245226</v>
      </c>
      <c r="I109" s="26">
        <v>12638670</v>
      </c>
      <c r="J109" s="26">
        <v>1705927</v>
      </c>
      <c r="K109" s="26">
        <v>-536816</v>
      </c>
      <c r="L109" s="26">
        <v>307000</v>
      </c>
      <c r="M109" s="26">
        <v>1300</v>
      </c>
      <c r="N109" s="26">
        <v>2000000</v>
      </c>
      <c r="O109" s="26">
        <v>0</v>
      </c>
      <c r="P109" s="26">
        <v>239000</v>
      </c>
      <c r="Q109" s="26">
        <v>5000</v>
      </c>
      <c r="R109" s="26">
        <v>111984789</v>
      </c>
      <c r="S109" s="26">
        <v>1574472</v>
      </c>
      <c r="T109" s="26">
        <v>714151</v>
      </c>
      <c r="U109" s="26">
        <v>503</v>
      </c>
      <c r="V109" s="26">
        <v>18461</v>
      </c>
      <c r="W109" s="26">
        <v>3545</v>
      </c>
      <c r="X109" s="26">
        <v>106</v>
      </c>
      <c r="Y109" s="26" t="s">
        <v>31</v>
      </c>
      <c r="Z109" s="26" t="s">
        <v>31</v>
      </c>
      <c r="AA109" s="26">
        <v>88803</v>
      </c>
      <c r="AB109" s="26">
        <v>628</v>
      </c>
      <c r="AC109" s="26" t="s">
        <v>31</v>
      </c>
      <c r="AD109" s="26" t="s">
        <v>31</v>
      </c>
      <c r="AE109" s="26" t="s">
        <v>31</v>
      </c>
      <c r="AF109" s="26" t="s">
        <v>31</v>
      </c>
      <c r="AG109" s="26">
        <v>29158</v>
      </c>
      <c r="AH109" s="26">
        <v>281</v>
      </c>
    </row>
    <row r="110" spans="1:34" x14ac:dyDescent="0.2">
      <c r="A110" s="10">
        <f t="shared" si="6"/>
        <v>2025</v>
      </c>
      <c r="B110" s="10">
        <f t="shared" si="7"/>
        <v>3</v>
      </c>
      <c r="D110" s="10" t="s">
        <v>41</v>
      </c>
      <c r="E110" s="25" t="d">
        <v>2025-03-01</v>
      </c>
      <c r="F110" s="26">
        <v>1701499</v>
      </c>
      <c r="G110" s="26">
        <v>36836</v>
      </c>
      <c r="H110" s="26">
        <v>308258042</v>
      </c>
      <c r="I110" s="26">
        <v>9847947</v>
      </c>
      <c r="J110" s="26">
        <v>1647879</v>
      </c>
      <c r="K110" s="26">
        <v>-58048</v>
      </c>
      <c r="L110" s="26">
        <v>307000</v>
      </c>
      <c r="M110" s="26">
        <v>0</v>
      </c>
      <c r="N110" s="26">
        <v>2000000</v>
      </c>
      <c r="O110" s="26">
        <v>0</v>
      </c>
      <c r="P110" s="26">
        <v>241000</v>
      </c>
      <c r="Q110" s="26">
        <v>2000</v>
      </c>
      <c r="R110" s="26">
        <v>113243217</v>
      </c>
      <c r="S110" s="26">
        <v>1258428</v>
      </c>
      <c r="T110" s="26">
        <v>714151</v>
      </c>
      <c r="U110" s="26">
        <v>0</v>
      </c>
      <c r="V110" s="26">
        <v>0</v>
      </c>
      <c r="W110" s="26">
        <v>3680</v>
      </c>
      <c r="X110" s="26">
        <v>135</v>
      </c>
      <c r="Y110" s="26" t="s">
        <v>31</v>
      </c>
      <c r="Z110" s="26" t="s">
        <v>31</v>
      </c>
      <c r="AA110" s="26">
        <v>90043</v>
      </c>
      <c r="AB110" s="26">
        <v>1240</v>
      </c>
      <c r="AC110" s="26" t="s">
        <v>31</v>
      </c>
      <c r="AD110" s="26" t="s">
        <v>31</v>
      </c>
      <c r="AE110" s="26" t="s">
        <v>31</v>
      </c>
      <c r="AF110" s="26" t="s">
        <v>31</v>
      </c>
      <c r="AG110" s="26">
        <v>29332</v>
      </c>
      <c r="AH110" s="26">
        <v>174</v>
      </c>
    </row>
    <row r="111" spans="1:34" x14ac:dyDescent="0.2">
      <c r="A111" s="10">
        <f t="shared" si="6"/>
        <v>2025</v>
      </c>
      <c r="B111" s="10">
        <f t="shared" si="7"/>
        <v>4</v>
      </c>
      <c r="D111" s="10" t="s">
        <v>41</v>
      </c>
      <c r="E111" s="25" t="d">
        <v>2025-04-01</v>
      </c>
      <c r="F111" s="26">
        <v>1747132</v>
      </c>
      <c r="G111" s="26">
        <v>45633</v>
      </c>
      <c r="H111" s="26">
        <v>319653323</v>
      </c>
      <c r="I111" s="26">
        <v>10879749</v>
      </c>
      <c r="J111" s="26">
        <v>1622500</v>
      </c>
      <c r="K111" s="26">
        <v>-25379</v>
      </c>
      <c r="L111" s="26">
        <v>307000</v>
      </c>
      <c r="M111" s="26">
        <v>0</v>
      </c>
      <c r="N111" s="26">
        <v>2000000</v>
      </c>
      <c r="O111" s="26">
        <v>0</v>
      </c>
      <c r="P111" s="26">
        <v>245000</v>
      </c>
      <c r="Q111" s="26">
        <v>4000</v>
      </c>
      <c r="R111" s="26">
        <v>115078561</v>
      </c>
      <c r="S111" s="26">
        <v>1835344</v>
      </c>
      <c r="T111" s="26">
        <v>717074</v>
      </c>
      <c r="U111" s="26">
        <v>2923</v>
      </c>
      <c r="V111" s="26">
        <v>9795</v>
      </c>
      <c r="W111" s="26">
        <v>3838</v>
      </c>
      <c r="X111" s="26">
        <v>158</v>
      </c>
      <c r="Y111" s="26" t="s">
        <v>31</v>
      </c>
      <c r="Z111" s="26" t="s">
        <v>31</v>
      </c>
      <c r="AA111" s="26">
        <v>91025</v>
      </c>
      <c r="AB111" s="26">
        <v>982</v>
      </c>
      <c r="AC111" s="26" t="s">
        <v>31</v>
      </c>
      <c r="AD111" s="26" t="s">
        <v>31</v>
      </c>
      <c r="AE111" s="26" t="s">
        <v>31</v>
      </c>
      <c r="AF111" s="26" t="s">
        <v>31</v>
      </c>
      <c r="AG111" s="26">
        <v>29643</v>
      </c>
      <c r="AH111" s="26">
        <v>311</v>
      </c>
    </row>
    <row r="112" spans="1:34" x14ac:dyDescent="0.2">
      <c r="A112" s="10">
        <f t="shared" si="6"/>
        <v>2025</v>
      </c>
      <c r="B112" s="10">
        <f t="shared" si="7"/>
        <v>5</v>
      </c>
      <c r="D112" s="10" t="s">
        <v>41</v>
      </c>
      <c r="E112" s="25" t="d">
        <v>2025-05-01</v>
      </c>
      <c r="F112" s="26">
        <v>1796280</v>
      </c>
      <c r="G112" s="26">
        <v>49148</v>
      </c>
      <c r="H112" s="26">
        <v>330290072</v>
      </c>
      <c r="I112" s="26">
        <v>10377262</v>
      </c>
      <c r="J112" s="26">
        <v>1616964</v>
      </c>
      <c r="K112" s="26">
        <v>-5536</v>
      </c>
      <c r="L112" s="26">
        <v>307000</v>
      </c>
      <c r="M112" s="26">
        <v>0</v>
      </c>
      <c r="N112" s="26">
        <v>2000000</v>
      </c>
      <c r="O112" s="26">
        <v>0</v>
      </c>
      <c r="P112" s="26">
        <v>248000</v>
      </c>
      <c r="Q112" s="26">
        <v>3000</v>
      </c>
      <c r="R112" s="26">
        <v>116720756</v>
      </c>
      <c r="S112" s="26">
        <v>1642195</v>
      </c>
      <c r="T112" s="26">
        <v>722683</v>
      </c>
      <c r="U112" s="26">
        <v>5609</v>
      </c>
      <c r="V112" s="26">
        <v>24831</v>
      </c>
      <c r="W112" s="26">
        <v>3971</v>
      </c>
      <c r="X112" s="26">
        <v>133</v>
      </c>
      <c r="Y112" s="26" t="s">
        <v>31</v>
      </c>
      <c r="Z112" s="26" t="s">
        <v>31</v>
      </c>
      <c r="AA112" s="26">
        <v>91233</v>
      </c>
      <c r="AB112" s="26">
        <v>208</v>
      </c>
      <c r="AC112" s="26" t="s">
        <v>31</v>
      </c>
      <c r="AD112" s="26" t="s">
        <v>31</v>
      </c>
      <c r="AE112" s="26" t="s">
        <v>31</v>
      </c>
      <c r="AF112" s="26" t="s">
        <v>31</v>
      </c>
      <c r="AG112" s="26">
        <v>29849</v>
      </c>
      <c r="AH112" s="26">
        <v>206</v>
      </c>
    </row>
    <row r="113" spans="1:34" x14ac:dyDescent="0.2">
      <c r="A113" s="10">
        <f t="shared" si="6"/>
        <v>2025</v>
      </c>
      <c r="B113" s="10">
        <f t="shared" si="7"/>
        <v>6</v>
      </c>
      <c r="D113" s="10" t="s">
        <v>41</v>
      </c>
      <c r="E113" s="25" t="d">
        <v>2025-06-01</v>
      </c>
      <c r="F113" s="26">
        <v>1839176</v>
      </c>
      <c r="G113" s="26">
        <v>42896</v>
      </c>
      <c r="H113" s="26">
        <v>341401019</v>
      </c>
      <c r="I113" s="26">
        <v>11036200</v>
      </c>
      <c r="J113" s="26">
        <v>1516500</v>
      </c>
      <c r="K113" s="26">
        <v>-100464</v>
      </c>
      <c r="L113" s="26">
        <v>307000</v>
      </c>
      <c r="M113" s="26">
        <v>0</v>
      </c>
      <c r="N113" s="26">
        <v>2000000</v>
      </c>
      <c r="O113" s="26">
        <v>0</v>
      </c>
      <c r="P113" s="26">
        <v>251000</v>
      </c>
      <c r="Q113" s="26">
        <v>3000</v>
      </c>
      <c r="R113" s="26">
        <v>118293434</v>
      </c>
      <c r="S113" s="26">
        <v>1572678</v>
      </c>
      <c r="T113" s="26">
        <v>726109</v>
      </c>
      <c r="U113" s="26">
        <v>3426</v>
      </c>
      <c r="V113" s="26">
        <v>25436</v>
      </c>
      <c r="W113" s="26">
        <v>4365</v>
      </c>
      <c r="X113" s="26">
        <v>394</v>
      </c>
      <c r="Y113" s="26" t="s">
        <v>31</v>
      </c>
      <c r="Z113" s="26" t="s">
        <v>31</v>
      </c>
      <c r="AA113" s="26">
        <v>91512</v>
      </c>
      <c r="AB113" s="26">
        <v>279</v>
      </c>
      <c r="AC113" s="26" t="s">
        <v>31</v>
      </c>
      <c r="AD113" s="26" t="s">
        <v>31</v>
      </c>
      <c r="AE113" s="26" t="s">
        <v>31</v>
      </c>
      <c r="AF113" s="26" t="s">
        <v>31</v>
      </c>
      <c r="AG113" s="26">
        <v>30084</v>
      </c>
      <c r="AH113" s="26">
        <v>235</v>
      </c>
    </row>
    <row r="114" spans="1:34" x14ac:dyDescent="0.2">
      <c r="A114" s="10">
        <f t="shared" si="6"/>
        <v>2025</v>
      </c>
      <c r="B114" s="10">
        <f t="shared" si="7"/>
        <v>7</v>
      </c>
      <c r="D114" s="10" t="s">
        <v>41</v>
      </c>
      <c r="E114" s="25" t="d">
        <v>2025-07-01</v>
      </c>
      <c r="F114" s="26">
        <v>1877742</v>
      </c>
      <c r="G114" s="26">
        <v>38566</v>
      </c>
      <c r="H114" s="26">
        <v>350590849</v>
      </c>
      <c r="I114" s="26">
        <v>9157431</v>
      </c>
      <c r="J114" s="26">
        <v>1447544</v>
      </c>
      <c r="K114" s="26">
        <v>-68956</v>
      </c>
      <c r="L114" s="26">
        <v>336800</v>
      </c>
      <c r="M114" s="26">
        <v>29800</v>
      </c>
      <c r="N114" s="26">
        <v>2400000</v>
      </c>
      <c r="O114" s="26">
        <v>400000</v>
      </c>
      <c r="P114" s="26">
        <v>255000</v>
      </c>
      <c r="Q114" s="26">
        <v>4000</v>
      </c>
      <c r="R114" s="26">
        <v>119875142</v>
      </c>
      <c r="S114" s="26">
        <v>1581708</v>
      </c>
      <c r="T114" s="26">
        <v>728624</v>
      </c>
      <c r="U114" s="26">
        <v>2515</v>
      </c>
      <c r="V114" s="26">
        <v>20937</v>
      </c>
      <c r="W114" s="26">
        <v>4870</v>
      </c>
      <c r="X114" s="26">
        <v>505</v>
      </c>
      <c r="Y114" s="26" t="s">
        <v>31</v>
      </c>
      <c r="Z114" s="26" t="s">
        <v>31</v>
      </c>
      <c r="AA114" s="26">
        <v>91586</v>
      </c>
      <c r="AB114" s="26">
        <v>74</v>
      </c>
      <c r="AC114" s="26" t="s">
        <v>31</v>
      </c>
      <c r="AD114" s="26" t="s">
        <v>31</v>
      </c>
      <c r="AE114" s="26" t="s">
        <v>31</v>
      </c>
      <c r="AF114" s="26" t="s">
        <v>31</v>
      </c>
      <c r="AG114" s="26">
        <v>30321</v>
      </c>
      <c r="AH114" s="26">
        <v>237</v>
      </c>
    </row>
    <row r="115" spans="1:34" x14ac:dyDescent="0.2">
      <c r="A115" s="10">
        <f t="shared" si="6"/>
        <v>2025</v>
      </c>
      <c r="B115" s="10">
        <f t="shared" si="7"/>
        <v>8</v>
      </c>
      <c r="D115" s="10" t="s">
        <v>41</v>
      </c>
      <c r="E115" s="25" t="d">
        <v>2025-08-01</v>
      </c>
      <c r="F115" s="26">
        <v>1904879</v>
      </c>
      <c r="G115" s="26">
        <v>27137</v>
      </c>
      <c r="H115" s="26">
        <v>361410242</v>
      </c>
      <c r="I115" s="26">
        <v>10754289</v>
      </c>
      <c r="J115" s="26">
        <v>1361305</v>
      </c>
      <c r="K115" s="26">
        <v>-86239</v>
      </c>
      <c r="L115" s="26">
        <v>339200</v>
      </c>
      <c r="M115" s="26">
        <v>2400</v>
      </c>
      <c r="N115" s="26">
        <v>2400000</v>
      </c>
      <c r="O115" s="26">
        <v>0</v>
      </c>
      <c r="P115" s="26">
        <v>258000</v>
      </c>
      <c r="Q115" s="26">
        <v>3000</v>
      </c>
      <c r="R115" s="26">
        <v>121219095</v>
      </c>
      <c r="S115" s="26">
        <v>1343953</v>
      </c>
      <c r="T115" s="26">
        <v>728233</v>
      </c>
      <c r="U115" s="26">
        <v>-391</v>
      </c>
      <c r="V115" s="26">
        <v>17814</v>
      </c>
      <c r="W115" s="26">
        <v>5472</v>
      </c>
      <c r="X115" s="26">
        <v>602</v>
      </c>
      <c r="Y115" s="26" t="s">
        <v>31</v>
      </c>
      <c r="Z115" s="26" t="s">
        <v>31</v>
      </c>
      <c r="AA115" s="26">
        <v>91464</v>
      </c>
      <c r="AB115" s="26">
        <v>-122</v>
      </c>
      <c r="AC115" s="26" t="s">
        <v>31</v>
      </c>
      <c r="AD115" s="26" t="s">
        <v>31</v>
      </c>
      <c r="AE115" s="26" t="s">
        <v>31</v>
      </c>
      <c r="AF115" s="26" t="s">
        <v>31</v>
      </c>
      <c r="AG115" s="26">
        <v>30606</v>
      </c>
      <c r="AH115" s="26">
        <v>285</v>
      </c>
    </row>
    <row r="116" spans="1:34" x14ac:dyDescent="0.2">
      <c r="A116" s="10">
        <f t="shared" si="6"/>
        <v>2025</v>
      </c>
      <c r="B116" s="10">
        <f t="shared" si="7"/>
        <v>9</v>
      </c>
      <c r="D116" s="10" t="s">
        <v>41</v>
      </c>
      <c r="E116" s="25" t="d">
        <v>2025-09-01</v>
      </c>
      <c r="F116" s="26">
        <v>1931676</v>
      </c>
      <c r="G116" s="26">
        <v>26797</v>
      </c>
      <c r="H116" s="26">
        <v>369344630</v>
      </c>
      <c r="I116" s="26">
        <v>7779968</v>
      </c>
      <c r="J116" s="26">
        <v>1302888</v>
      </c>
      <c r="K116" s="26">
        <v>-58417</v>
      </c>
      <c r="L116" s="26">
        <v>339200</v>
      </c>
      <c r="M116" s="26">
        <v>0</v>
      </c>
      <c r="N116" s="26">
        <v>2400000</v>
      </c>
      <c r="O116" s="26">
        <v>0</v>
      </c>
      <c r="P116" s="26">
        <v>262000</v>
      </c>
      <c r="Q116" s="26">
        <v>4000</v>
      </c>
      <c r="R116" s="26">
        <v>122598882</v>
      </c>
      <c r="S116" s="26">
        <v>1379787</v>
      </c>
      <c r="T116" s="26">
        <v>729403</v>
      </c>
      <c r="U116" s="26">
        <v>1170</v>
      </c>
      <c r="V116" s="26">
        <v>870</v>
      </c>
      <c r="W116" s="26">
        <v>6194</v>
      </c>
      <c r="X116" s="26">
        <v>722</v>
      </c>
      <c r="Y116" s="26" t="s">
        <v>31</v>
      </c>
      <c r="Z116" s="26" t="s">
        <v>31</v>
      </c>
      <c r="AA116" s="26">
        <v>91498</v>
      </c>
      <c r="AB116" s="26">
        <v>34</v>
      </c>
      <c r="AC116" s="26" t="s">
        <v>31</v>
      </c>
      <c r="AD116" s="26" t="s">
        <v>31</v>
      </c>
      <c r="AE116" s="26" t="s">
        <v>31</v>
      </c>
      <c r="AF116" s="26" t="s">
        <v>31</v>
      </c>
      <c r="AG116" s="26">
        <v>30843</v>
      </c>
      <c r="AH116" s="26">
        <v>237</v>
      </c>
    </row>
    <row r="117" spans="1:34" x14ac:dyDescent="0.2">
      <c r="A117" s="10">
        <f t="shared" si="6"/>
        <v>2025</v>
      </c>
      <c r="B117" s="10">
        <f t="shared" si="7"/>
        <v>10</v>
      </c>
      <c r="D117" s="10" t="s">
        <v>41</v>
      </c>
      <c r="E117" s="25" t="d">
        <v>2025-10-01</v>
      </c>
      <c r="F117" s="26">
        <v>1966452</v>
      </c>
      <c r="G117" s="26">
        <v>34776</v>
      </c>
      <c r="H117" s="26">
        <v>381519352</v>
      </c>
      <c r="I117" s="26">
        <v>11869062</v>
      </c>
      <c r="J117" s="26">
        <v>1390706</v>
      </c>
      <c r="K117" s="26">
        <v>87818</v>
      </c>
      <c r="L117" s="26">
        <v>340100</v>
      </c>
      <c r="M117" s="26">
        <v>900</v>
      </c>
      <c r="N117" s="26">
        <v>2400000</v>
      </c>
      <c r="O117" s="26">
        <v>0</v>
      </c>
      <c r="P117" s="26">
        <v>264000</v>
      </c>
      <c r="Q117" s="26">
        <v>2000</v>
      </c>
      <c r="R117" s="26">
        <v>123923677</v>
      </c>
      <c r="S117" s="26">
        <v>1324795</v>
      </c>
      <c r="T117" s="26">
        <v>729393</v>
      </c>
      <c r="U117" s="26">
        <v>-10</v>
      </c>
      <c r="V117" s="26">
        <v>2891</v>
      </c>
      <c r="W117" s="26">
        <v>6856</v>
      </c>
      <c r="X117" s="26">
        <v>662</v>
      </c>
      <c r="Y117" s="26" t="s">
        <v>31</v>
      </c>
      <c r="Z117" s="26" t="s">
        <v>31</v>
      </c>
      <c r="AA117" s="26">
        <v>91790</v>
      </c>
      <c r="AB117" s="26">
        <v>292</v>
      </c>
      <c r="AC117" s="26" t="s">
        <v>31</v>
      </c>
      <c r="AD117" s="26" t="s">
        <v>31</v>
      </c>
      <c r="AE117" s="26" t="s">
        <v>31</v>
      </c>
      <c r="AF117" s="26" t="s">
        <v>31</v>
      </c>
      <c r="AG117" s="26">
        <v>31015</v>
      </c>
      <c r="AH117" s="26">
        <v>172</v>
      </c>
    </row>
    <row r="118" spans="1:34" x14ac:dyDescent="0.2">
      <c r="A118" s="10">
        <f t="shared" si="6"/>
        <v>2025</v>
      </c>
      <c r="B118" s="10">
        <f t="shared" si="7"/>
        <v>11</v>
      </c>
      <c r="D118" s="10" t="s">
        <v>41</v>
      </c>
      <c r="E118" s="25" t="d">
        <v>2025-11-01</v>
      </c>
      <c r="F118" s="26">
        <v>1984783</v>
      </c>
      <c r="G118" s="26">
        <v>18331</v>
      </c>
      <c r="H118" s="26">
        <v>381060424</v>
      </c>
      <c r="I118" s="26">
        <v>7602841</v>
      </c>
      <c r="J118" s="26">
        <v>1356862</v>
      </c>
      <c r="K118" s="26">
        <v>-33844</v>
      </c>
      <c r="L118" s="26">
        <v>344700</v>
      </c>
      <c r="M118" s="26">
        <v>4600</v>
      </c>
      <c r="N118" s="26">
        <v>2500000</v>
      </c>
      <c r="O118" s="26">
        <v>100000</v>
      </c>
      <c r="P118" s="26">
        <v>268000</v>
      </c>
      <c r="Q118" s="26">
        <v>4000</v>
      </c>
      <c r="R118" s="26">
        <v>125251645</v>
      </c>
      <c r="S118" s="26">
        <v>1392851</v>
      </c>
      <c r="T118" s="26">
        <v>729393</v>
      </c>
      <c r="U118" s="26">
        <v>0</v>
      </c>
      <c r="V118" s="26">
        <v>0</v>
      </c>
      <c r="W118" s="26">
        <v>7345</v>
      </c>
      <c r="X118" s="26">
        <v>507</v>
      </c>
      <c r="Y118" s="26" t="s">
        <v>31</v>
      </c>
      <c r="Z118" s="26" t="s">
        <v>31</v>
      </c>
      <c r="AA118" s="26">
        <v>91866</v>
      </c>
      <c r="AB118" s="26">
        <v>76</v>
      </c>
      <c r="AC118" s="26" t="s">
        <v>31</v>
      </c>
      <c r="AD118" s="26" t="s">
        <v>31</v>
      </c>
      <c r="AE118" s="26" t="s">
        <v>31</v>
      </c>
      <c r="AF118" s="26" t="s">
        <v>31</v>
      </c>
      <c r="AG118" s="26">
        <v>31216</v>
      </c>
      <c r="AH118" s="26">
        <v>201</v>
      </c>
    </row>
    <row r="119" spans="1:34" x14ac:dyDescent="0.2">
      <c r="A119" s="10">
        <f t="shared" si="6"/>
        <v>2025</v>
      </c>
      <c r="B119" s="10">
        <f t="shared" si="7"/>
        <v>12</v>
      </c>
      <c r="D119" s="10" t="s">
        <v>41</v>
      </c>
      <c r="E119" s="25" t="d">
        <v>2025-12-01</v>
      </c>
      <c r="F119" s="26">
        <v>2001793</v>
      </c>
      <c r="G119" s="26">
        <v>17010</v>
      </c>
      <c r="H119" s="26">
        <v>392560009</v>
      </c>
      <c r="I119" s="26">
        <v>11428144</v>
      </c>
      <c r="J119" s="26">
        <v>1545019</v>
      </c>
      <c r="K119" s="26">
        <v>188157</v>
      </c>
      <c r="L119" s="26">
        <v>347100</v>
      </c>
      <c r="M119" s="26">
        <v>2400</v>
      </c>
      <c r="N119" s="26">
        <v>2600000</v>
      </c>
      <c r="O119" s="26">
        <v>100000</v>
      </c>
      <c r="P119" s="26">
        <v>269000</v>
      </c>
      <c r="Q119" s="26">
        <v>1000</v>
      </c>
      <c r="R119" s="26">
        <v>126455738</v>
      </c>
      <c r="S119" s="26">
        <v>1204096</v>
      </c>
      <c r="T119" s="26">
        <v>729393</v>
      </c>
      <c r="U119" s="26">
        <v>0</v>
      </c>
      <c r="V119" s="26">
        <v>0</v>
      </c>
      <c r="W119" s="26">
        <v>7754</v>
      </c>
      <c r="X119" s="26">
        <v>409</v>
      </c>
      <c r="Y119" s="26" t="s">
        <v>31</v>
      </c>
      <c r="Z119" s="26" t="s">
        <v>31</v>
      </c>
      <c r="AA119" s="26">
        <v>91798</v>
      </c>
      <c r="AB119" s="26">
        <v>-68</v>
      </c>
      <c r="AC119" s="26" t="s">
        <v>31</v>
      </c>
      <c r="AD119" s="26" t="s">
        <v>31</v>
      </c>
      <c r="AE119" s="26" t="s">
        <v>31</v>
      </c>
      <c r="AF119" s="26" t="s">
        <v>31</v>
      </c>
      <c r="AG119" s="26">
        <v>31372</v>
      </c>
      <c r="AH119" s="26">
        <v>156</v>
      </c>
    </row>
    <row r="120" spans="1:34" x14ac:dyDescent="0.2">
      <c r="A120" s="10">
        <f t="shared" si="6"/>
        <v>2026</v>
      </c>
      <c r="B120" s="10">
        <f t="shared" si="7"/>
        <v>1</v>
      </c>
      <c r="D120" s="10" t="s">
        <v>41</v>
      </c>
      <c r="E120" s="25" t="d">
        <v>2026-01-01</v>
      </c>
      <c r="F120" s="26">
        <v>2020589</v>
      </c>
      <c r="G120" s="26">
        <v>18796</v>
      </c>
      <c r="H120" s="26">
        <v>414522383</v>
      </c>
      <c r="I120" s="26">
        <v>11359332</v>
      </c>
      <c r="J120" s="26">
        <v>1992711</v>
      </c>
      <c r="K120" s="26">
        <v>447692</v>
      </c>
      <c r="L120" s="26">
        <v>348600</v>
      </c>
      <c r="M120" s="26">
        <v>1500</v>
      </c>
      <c r="N120" s="26">
        <v>2600000</v>
      </c>
      <c r="O120" s="26">
        <v>0</v>
      </c>
      <c r="P120" s="26">
        <v>272000</v>
      </c>
      <c r="Q120" s="26">
        <v>3000</v>
      </c>
      <c r="R120" s="26">
        <v>127684858</v>
      </c>
      <c r="S120" s="26">
        <v>1229120</v>
      </c>
      <c r="T120" s="26">
        <v>729393</v>
      </c>
      <c r="U120" s="26">
        <v>0</v>
      </c>
      <c r="V120" s="26">
        <v>0</v>
      </c>
      <c r="W120" s="26">
        <v>8225</v>
      </c>
      <c r="X120" s="26">
        <v>471</v>
      </c>
      <c r="Y120" s="26" t="s">
        <v>31</v>
      </c>
      <c r="Z120" s="26" t="s">
        <v>31</v>
      </c>
      <c r="AA120" s="26">
        <v>91756</v>
      </c>
      <c r="AB120" s="26">
        <v>-42</v>
      </c>
      <c r="AC120" s="26" t="s">
        <v>31</v>
      </c>
      <c r="AD120" s="26" t="s">
        <v>31</v>
      </c>
      <c r="AE120" s="26" t="s">
        <v>31</v>
      </c>
      <c r="AF120" s="26" t="s">
        <v>31</v>
      </c>
      <c r="AG120" s="26">
        <v>31578</v>
      </c>
      <c r="AH120" s="26">
        <v>206</v>
      </c>
    </row>
    <row r="121" spans="1:34" x14ac:dyDescent="0.2">
      <c r="A121" s="10">
        <f t="shared" si="6"/>
        <v>2026</v>
      </c>
      <c r="B121" s="10">
        <f t="shared" si="7"/>
        <v>2</v>
      </c>
      <c r="D121" s="10" t="s">
        <v>41</v>
      </c>
      <c r="E121" s="25" t="d">
        <v>2026-02-01</v>
      </c>
      <c r="F121" s="26">
        <v>2035222</v>
      </c>
      <c r="G121" s="26">
        <v>14633</v>
      </c>
      <c r="H121" s="26">
        <v>422886147</v>
      </c>
      <c r="I121" s="26">
        <v>8363764</v>
      </c>
      <c r="J121" s="26">
        <v>1477085</v>
      </c>
      <c r="K121" s="26">
        <v>-515626</v>
      </c>
      <c r="L121" s="26">
        <v>348800</v>
      </c>
      <c r="M121" s="26">
        <v>200</v>
      </c>
      <c r="N121" s="26">
        <v>2600000</v>
      </c>
      <c r="O121" s="26">
        <v>0</v>
      </c>
      <c r="P121" s="26">
        <v>273000</v>
      </c>
      <c r="Q121" s="26">
        <v>1000</v>
      </c>
      <c r="R121" s="26">
        <v>128701892</v>
      </c>
      <c r="S121" s="26">
        <v>1017034</v>
      </c>
      <c r="T121" s="26">
        <v>729393</v>
      </c>
      <c r="U121" s="26">
        <v>0</v>
      </c>
      <c r="V121" s="26">
        <v>0</v>
      </c>
      <c r="W121" s="26">
        <v>8708</v>
      </c>
      <c r="X121" s="26">
        <v>483</v>
      </c>
      <c r="Y121" s="26" t="s">
        <v>31</v>
      </c>
      <c r="Z121" s="26" t="s">
        <v>31</v>
      </c>
      <c r="AA121" s="26">
        <v>91860</v>
      </c>
      <c r="AB121" s="26">
        <v>104</v>
      </c>
      <c r="AC121" s="26" t="s">
        <v>31</v>
      </c>
      <c r="AD121" s="26" t="s">
        <v>31</v>
      </c>
      <c r="AE121" s="26" t="s">
        <v>31</v>
      </c>
      <c r="AF121" s="26" t="s">
        <v>31</v>
      </c>
      <c r="AG121" s="26">
        <v>31690</v>
      </c>
      <c r="AH121" s="26">
        <v>112</v>
      </c>
    </row>
    <row r="122" spans="1:34" x14ac:dyDescent="0.2">
      <c r="A122" s="10">
        <f t="shared" si="6"/>
        <v>2026</v>
      </c>
      <c r="B122" s="10">
        <f t="shared" si="7"/>
        <v>3</v>
      </c>
      <c r="D122" s="10" t="s">
        <v>41</v>
      </c>
      <c r="E122" s="25" t="d">
        <v>2026-03-01</v>
      </c>
      <c r="F122" s="26">
        <v>2046030</v>
      </c>
      <c r="G122" s="26">
        <v>10808</v>
      </c>
      <c r="H122" s="26">
        <v>429595882</v>
      </c>
      <c r="I122" s="26">
        <v>6694514</v>
      </c>
      <c r="J122" s="26">
        <v>1364072</v>
      </c>
      <c r="K122" s="26">
        <v>-113013</v>
      </c>
      <c r="L122" s="26">
        <v>348800</v>
      </c>
      <c r="M122" s="26">
        <v>0</v>
      </c>
      <c r="N122" s="26">
        <v>2600000</v>
      </c>
      <c r="O122" s="26">
        <v>0</v>
      </c>
      <c r="P122" s="26">
        <v>275000</v>
      </c>
      <c r="Q122" s="26">
        <v>2000</v>
      </c>
      <c r="R122" s="26">
        <v>129736601</v>
      </c>
      <c r="S122" s="26">
        <v>1034709</v>
      </c>
      <c r="T122" s="26">
        <v>729393</v>
      </c>
      <c r="U122" s="26">
        <v>0</v>
      </c>
      <c r="V122" s="26">
        <v>0</v>
      </c>
      <c r="W122" s="26">
        <v>9209</v>
      </c>
      <c r="X122" s="26">
        <v>501</v>
      </c>
      <c r="Y122" s="26" t="s">
        <v>31</v>
      </c>
      <c r="Z122" s="26" t="s">
        <v>31</v>
      </c>
      <c r="AA122" s="26">
        <v>92089</v>
      </c>
      <c r="AB122" s="26">
        <v>229</v>
      </c>
      <c r="AC122" s="26" t="s">
        <v>31</v>
      </c>
      <c r="AD122" s="26" t="s">
        <v>31</v>
      </c>
      <c r="AE122" s="26" t="s">
        <v>31</v>
      </c>
      <c r="AF122" s="26" t="s">
        <v>31</v>
      </c>
      <c r="AG122" s="26">
        <v>31816</v>
      </c>
      <c r="AH122" s="26">
        <v>126</v>
      </c>
    </row>
    <row r="123" spans="1:34" x14ac:dyDescent="0.2">
      <c r="A123" s="10">
        <f t="shared" si="6"/>
        <v>2026</v>
      </c>
      <c r="B123" s="10">
        <f t="shared" si="7"/>
        <v>4</v>
      </c>
      <c r="D123" s="10" t="s">
        <v>41</v>
      </c>
      <c r="E123" s="25" t="d">
        <v>2026-04-01</v>
      </c>
      <c r="F123" s="26">
        <v>2059753</v>
      </c>
      <c r="G123" s="26">
        <v>13723</v>
      </c>
      <c r="H123" s="26">
        <v>437766424</v>
      </c>
      <c r="I123" s="26">
        <v>7937998</v>
      </c>
      <c r="J123" s="26">
        <v>1161051</v>
      </c>
      <c r="K123" s="26">
        <v>-203021</v>
      </c>
      <c r="L123" s="26">
        <v>349960</v>
      </c>
      <c r="M123" s="26">
        <v>36</v>
      </c>
      <c r="N123" s="26">
        <v>2682956</v>
      </c>
      <c r="O123" s="26">
        <v>3574</v>
      </c>
      <c r="P123" s="26">
        <v>277000</v>
      </c>
      <c r="Q123" s="26">
        <v>2000</v>
      </c>
      <c r="R123" s="26">
        <v>130861212</v>
      </c>
      <c r="S123" s="26">
        <v>1124611</v>
      </c>
      <c r="T123" s="26">
        <v>734573</v>
      </c>
      <c r="U123" s="26">
        <v>5180</v>
      </c>
      <c r="V123" s="26">
        <v>9962</v>
      </c>
      <c r="W123" s="26">
        <v>9585</v>
      </c>
      <c r="X123" s="26">
        <v>376</v>
      </c>
      <c r="Y123" s="26">
        <v>35152834</v>
      </c>
      <c r="Z123" s="26">
        <v>228614</v>
      </c>
      <c r="AA123" s="26">
        <v>92527</v>
      </c>
      <c r="AB123" s="26">
        <v>438</v>
      </c>
      <c r="AC123" s="26" t="s">
        <v>31</v>
      </c>
      <c r="AD123" s="26" t="s">
        <v>31</v>
      </c>
      <c r="AE123" s="26" t="s">
        <v>31</v>
      </c>
      <c r="AF123" s="26" t="s">
        <v>31</v>
      </c>
      <c r="AG123" s="26">
        <v>31986</v>
      </c>
      <c r="AH123" s="26">
        <v>170</v>
      </c>
    </row>
    <row r="124" spans="1:34" x14ac:dyDescent="0.2">
      <c r="A124" s="10">
        <f t="shared" si="6"/>
        <v>2026</v>
      </c>
      <c r="B124" s="10">
        <f t="shared" si="7"/>
        <v>5</v>
      </c>
      <c r="D124" s="10" t="s">
        <v>41</v>
      </c>
      <c r="E124" s="25" t="d">
        <v>2026-05-01</v>
      </c>
      <c r="F124" s="26">
        <v>2071063</v>
      </c>
      <c r="G124" s="26">
        <v>11310</v>
      </c>
      <c r="H124" s="26">
        <v>447506443</v>
      </c>
      <c r="I124" s="26">
        <v>9652598</v>
      </c>
      <c r="J124" s="26">
        <v>1593361</v>
      </c>
      <c r="K124" s="26">
        <v>432310</v>
      </c>
      <c r="L124" s="26">
        <v>349833</v>
      </c>
      <c r="M124" s="26">
        <v>-127</v>
      </c>
      <c r="N124" s="26">
        <v>2688586</v>
      </c>
      <c r="O124" s="26">
        <v>5630</v>
      </c>
      <c r="P124" s="26">
        <v>279000</v>
      </c>
      <c r="Q124" s="26">
        <v>2000</v>
      </c>
      <c r="R124" s="26">
        <v>132031713</v>
      </c>
      <c r="S124" s="26">
        <v>1170501</v>
      </c>
      <c r="T124" s="26">
        <v>733953</v>
      </c>
      <c r="U124" s="26">
        <v>-620</v>
      </c>
      <c r="V124" s="26">
        <v>3624</v>
      </c>
      <c r="W124" s="26">
        <v>9995</v>
      </c>
      <c r="X124" s="26">
        <v>410</v>
      </c>
      <c r="Y124" s="26">
        <v>35168422</v>
      </c>
      <c r="Z124" s="26">
        <v>15588</v>
      </c>
      <c r="AA124" s="26">
        <v>92719</v>
      </c>
      <c r="AB124" s="26">
        <v>192</v>
      </c>
      <c r="AC124" s="26" t="s">
        <v>31</v>
      </c>
      <c r="AD124" s="26" t="s">
        <v>31</v>
      </c>
      <c r="AE124" s="26" t="s">
        <v>31</v>
      </c>
      <c r="AF124" s="26" t="s">
        <v>31</v>
      </c>
      <c r="AG124" s="26">
        <v>32154</v>
      </c>
      <c r="AH124" s="26">
        <v>168</v>
      </c>
    </row>
    <row r="125" spans="1:34" x14ac:dyDescent="0.2">
      <c r="A125" s="10">
        <f t="shared" si="6"/>
        <v>2026</v>
      </c>
      <c r="B125" s="10">
        <f t="shared" si="7"/>
        <v>6</v>
      </c>
      <c r="D125" s="10" t="s">
        <v>41</v>
      </c>
      <c r="E125" s="25" t="d">
        <v>2026-06-01</v>
      </c>
      <c r="F125" s="26">
        <v>2086011</v>
      </c>
      <c r="G125" s="26">
        <v>14948</v>
      </c>
      <c r="H125" s="26">
        <v>456867299</v>
      </c>
      <c r="I125" s="26">
        <v>9227560</v>
      </c>
      <c r="J125" s="26">
        <v>1531331</v>
      </c>
      <c r="K125" s="26">
        <v>-62030</v>
      </c>
      <c r="L125" s="26">
        <v>349444</v>
      </c>
      <c r="M125" s="26">
        <v>-389</v>
      </c>
      <c r="N125" s="26">
        <v>2692997</v>
      </c>
      <c r="O125" s="26">
        <v>4411</v>
      </c>
      <c r="P125" s="26">
        <v>280000</v>
      </c>
      <c r="Q125" s="26">
        <v>1000</v>
      </c>
      <c r="R125" s="26">
        <v>133265441</v>
      </c>
      <c r="S125" s="26">
        <v>1233729</v>
      </c>
      <c r="T125" s="26">
        <v>729657</v>
      </c>
      <c r="U125" s="26">
        <v>-4296</v>
      </c>
      <c r="V125" s="26">
        <v>14265</v>
      </c>
      <c r="W125" s="26">
        <v>10467</v>
      </c>
      <c r="X125" s="26">
        <v>472</v>
      </c>
      <c r="Y125" s="26">
        <v>35943107</v>
      </c>
      <c r="Z125" s="26">
        <v>774685</v>
      </c>
      <c r="AA125" s="26">
        <v>93290</v>
      </c>
      <c r="AB125" s="26">
        <v>571</v>
      </c>
      <c r="AC125" s="26" t="s">
        <v>31</v>
      </c>
      <c r="AD125" s="26" t="s">
        <v>31</v>
      </c>
      <c r="AE125" s="26" t="s">
        <v>31</v>
      </c>
      <c r="AF125" s="26" t="s">
        <v>31</v>
      </c>
      <c r="AG125" s="26">
        <v>32353</v>
      </c>
      <c r="AH125" s="26">
        <v>199</v>
      </c>
    </row>
    <row r="126" spans="1:34" x14ac:dyDescent="0.2">
      <c r="A126" s="10">
        <f t="shared" si="6"/>
        <v>2026</v>
      </c>
      <c r="B126" s="10">
        <f t="shared" si="7"/>
        <v>7</v>
      </c>
      <c r="D126" s="10" t="s">
        <v>41</v>
      </c>
      <c r="E126" s="25" t="d">
        <v>2026-07-01</v>
      </c>
      <c r="F126" s="26">
        <v>2097476</v>
      </c>
      <c r="G126" s="26">
        <v>11465</v>
      </c>
      <c r="H126" s="26">
        <v>465681178</v>
      </c>
      <c r="I126" s="26">
        <v>8792759</v>
      </c>
      <c r="J126" s="26">
        <v>1470211</v>
      </c>
      <c r="K126" s="26">
        <v>-61120</v>
      </c>
      <c r="L126" s="26">
        <v>348814</v>
      </c>
      <c r="M126" s="26">
        <v>-630</v>
      </c>
      <c r="N126" s="26">
        <v>2697105</v>
      </c>
      <c r="O126" s="26">
        <v>4108</v>
      </c>
      <c r="P126" s="26">
        <v>281000</v>
      </c>
      <c r="Q126" s="26">
        <v>1000</v>
      </c>
      <c r="R126" s="26">
        <v>134485459</v>
      </c>
      <c r="S126" s="26">
        <v>1220019</v>
      </c>
      <c r="T126" s="26">
        <v>727954</v>
      </c>
      <c r="U126" s="26">
        <v>-1703</v>
      </c>
      <c r="V126" s="26">
        <v>16831</v>
      </c>
      <c r="W126" s="26">
        <v>10868</v>
      </c>
      <c r="X126" s="26">
        <v>401</v>
      </c>
      <c r="Y126" s="26">
        <v>36030760</v>
      </c>
      <c r="Z126" s="26">
        <v>286707</v>
      </c>
      <c r="AA126" s="26">
        <v>93442</v>
      </c>
      <c r="AB126" s="26">
        <v>152</v>
      </c>
      <c r="AC126" s="26" t="s">
        <v>31</v>
      </c>
      <c r="AD126" s="26" t="s">
        <v>31</v>
      </c>
      <c r="AE126" s="26" t="s">
        <v>31</v>
      </c>
      <c r="AF126" s="26" t="s">
        <v>31</v>
      </c>
      <c r="AG126" s="26">
        <v>32537</v>
      </c>
      <c r="AH126" s="26">
        <v>184</v>
      </c>
    </row>
    <row r="127" spans="1:34" x14ac:dyDescent="0.2">
      <c r="A127" s="10">
        <f t="shared" si="6"/>
        <v>2024</v>
      </c>
      <c r="B127" s="10">
        <f t="shared" si="7"/>
        <v>7</v>
      </c>
      <c r="D127" s="10" t="s">
        <v>45</v>
      </c>
      <c r="E127" s="25" t="d">
        <v>2024-07-01</v>
      </c>
      <c r="F127" s="26">
        <v>7124</v>
      </c>
      <c r="G127" s="26">
        <v>1321</v>
      </c>
      <c r="H127" s="26"/>
      <c r="I127" s="26"/>
      <c r="J127" s="26">
        <v>11593</v>
      </c>
      <c r="K127" s="26">
        <v>-8132</v>
      </c>
      <c r="L127" s="26">
        <v>1240</v>
      </c>
      <c r="M127" s="26">
        <v>100</v>
      </c>
      <c r="N127" s="26">
        <v>1020</v>
      </c>
      <c r="O127" s="26">
        <v>87</v>
      </c>
      <c r="P127" s="26">
        <v>98</v>
      </c>
      <c r="Q127" s="26">
        <v>3</v>
      </c>
      <c r="R127" s="26">
        <v>9165</v>
      </c>
      <c r="S127" s="26">
        <v>49</v>
      </c>
      <c r="T127" s="26">
        <v>20660</v>
      </c>
      <c r="U127" s="26">
        <v>6650</v>
      </c>
      <c r="V127" s="26">
        <v>5874</v>
      </c>
      <c r="W127" s="26">
        <v>12</v>
      </c>
      <c r="X127" s="26">
        <v>0</v>
      </c>
      <c r="Y127" s="26" t="s">
        <v>31</v>
      </c>
      <c r="Z127" s="26" t="s">
        <v>31</v>
      </c>
      <c r="AA127" s="26">
        <v>43728</v>
      </c>
      <c r="AB127" s="26">
        <v>325</v>
      </c>
      <c r="AC127" s="26" t="s">
        <v>31</v>
      </c>
      <c r="AD127" s="26" t="s">
        <v>31</v>
      </c>
      <c r="AE127" s="26" t="s">
        <v>31</v>
      </c>
      <c r="AF127" s="26" t="s">
        <v>31</v>
      </c>
      <c r="AG127" s="26">
        <v>20</v>
      </c>
      <c r="AH127" s="26">
        <v>1</v>
      </c>
    </row>
    <row r="128" spans="1:34" x14ac:dyDescent="0.2">
      <c r="A128" s="10">
        <f t="shared" si="6"/>
        <v>2024</v>
      </c>
      <c r="B128" s="10">
        <f t="shared" si="7"/>
        <v>8</v>
      </c>
      <c r="D128" s="10" t="s">
        <v>45</v>
      </c>
      <c r="E128" s="25" t="d">
        <v>2024-08-01</v>
      </c>
      <c r="F128" s="26">
        <v>10262</v>
      </c>
      <c r="G128" s="26">
        <v>3138</v>
      </c>
      <c r="H128" s="26"/>
      <c r="I128" s="26"/>
      <c r="J128" s="26">
        <v>96909</v>
      </c>
      <c r="K128" s="26">
        <v>85316</v>
      </c>
      <c r="L128" s="26">
        <v>1870</v>
      </c>
      <c r="M128" s="26">
        <v>630</v>
      </c>
      <c r="N128" s="26">
        <v>1460</v>
      </c>
      <c r="O128" s="26">
        <v>440</v>
      </c>
      <c r="P128" s="26">
        <v>101</v>
      </c>
      <c r="Q128" s="26">
        <v>3</v>
      </c>
      <c r="R128" s="26">
        <v>9246</v>
      </c>
      <c r="S128" s="26">
        <v>81</v>
      </c>
      <c r="T128" s="26">
        <v>64507</v>
      </c>
      <c r="U128" s="26">
        <v>43847</v>
      </c>
      <c r="V128" s="26">
        <v>29155</v>
      </c>
      <c r="W128" s="26">
        <v>14</v>
      </c>
      <c r="X128" s="26">
        <v>2</v>
      </c>
      <c r="Y128" s="26" t="s">
        <v>31</v>
      </c>
      <c r="Z128" s="26" t="s">
        <v>31</v>
      </c>
      <c r="AA128" s="26">
        <v>46208</v>
      </c>
      <c r="AB128" s="26">
        <v>2480</v>
      </c>
      <c r="AC128" s="26" t="s">
        <v>31</v>
      </c>
      <c r="AD128" s="26" t="s">
        <v>31</v>
      </c>
      <c r="AE128" s="26" t="s">
        <v>31</v>
      </c>
      <c r="AF128" s="26" t="s">
        <v>31</v>
      </c>
      <c r="AG128" s="26">
        <v>56</v>
      </c>
      <c r="AH128" s="26">
        <v>36</v>
      </c>
    </row>
    <row r="129" spans="1:34" x14ac:dyDescent="0.2">
      <c r="A129" s="10">
        <f t="shared" si="6"/>
        <v>2024</v>
      </c>
      <c r="B129" s="10">
        <f t="shared" si="7"/>
        <v>9</v>
      </c>
      <c r="D129" s="10" t="s">
        <v>45</v>
      </c>
      <c r="E129" s="25" t="d">
        <v>2024-09-01</v>
      </c>
      <c r="F129" s="26">
        <v>15255</v>
      </c>
      <c r="G129" s="26">
        <v>4993</v>
      </c>
      <c r="H129" s="26"/>
      <c r="I129" s="26"/>
      <c r="J129" s="26">
        <v>240794</v>
      </c>
      <c r="K129" s="26">
        <v>143885</v>
      </c>
      <c r="L129" s="26">
        <v>2320</v>
      </c>
      <c r="M129" s="26">
        <v>450</v>
      </c>
      <c r="N129" s="26">
        <v>2110</v>
      </c>
      <c r="O129" s="26">
        <v>650</v>
      </c>
      <c r="P129" s="26">
        <v>103</v>
      </c>
      <c r="Q129" s="26">
        <v>2</v>
      </c>
      <c r="R129" s="26">
        <v>9343</v>
      </c>
      <c r="S129" s="26">
        <v>97</v>
      </c>
      <c r="T129" s="26">
        <v>94335</v>
      </c>
      <c r="U129" s="26">
        <v>29828</v>
      </c>
      <c r="V129" s="26">
        <v>34000</v>
      </c>
      <c r="W129" s="26">
        <v>31</v>
      </c>
      <c r="X129" s="26">
        <v>17</v>
      </c>
      <c r="Y129" s="26" t="s">
        <v>31</v>
      </c>
      <c r="Z129" s="26" t="s">
        <v>31</v>
      </c>
      <c r="AA129" s="26">
        <v>49703</v>
      </c>
      <c r="AB129" s="26">
        <v>3495</v>
      </c>
      <c r="AC129" s="26" t="s">
        <v>31</v>
      </c>
      <c r="AD129" s="26" t="s">
        <v>31</v>
      </c>
      <c r="AE129" s="26" t="s">
        <v>31</v>
      </c>
      <c r="AF129" s="26" t="s">
        <v>31</v>
      </c>
      <c r="AG129" s="26">
        <v>173</v>
      </c>
      <c r="AH129" s="26">
        <v>117</v>
      </c>
    </row>
    <row r="130" spans="1:34" x14ac:dyDescent="0.2">
      <c r="A130" s="10">
        <f t="shared" si="6"/>
        <v>2024</v>
      </c>
      <c r="B130" s="10">
        <f t="shared" si="7"/>
        <v>10</v>
      </c>
      <c r="D130" s="10" t="s">
        <v>45</v>
      </c>
      <c r="E130" s="25" t="d">
        <v>2024-10-01</v>
      </c>
      <c r="F130" s="26">
        <v>19435</v>
      </c>
      <c r="G130" s="26">
        <v>4180</v>
      </c>
      <c r="H130" s="26"/>
      <c r="I130" s="26"/>
      <c r="J130" s="26">
        <v>102118</v>
      </c>
      <c r="K130" s="26">
        <v>-138676</v>
      </c>
      <c r="L130" s="26">
        <v>2320</v>
      </c>
      <c r="M130" s="26">
        <v>0</v>
      </c>
      <c r="N130" s="26">
        <v>2110</v>
      </c>
      <c r="O130" s="26">
        <v>0</v>
      </c>
      <c r="P130" s="26">
        <v>103</v>
      </c>
      <c r="Q130" s="26">
        <v>0</v>
      </c>
      <c r="R130" s="26">
        <v>9498</v>
      </c>
      <c r="S130" s="26">
        <v>155</v>
      </c>
      <c r="T130" s="26">
        <v>136247</v>
      </c>
      <c r="U130" s="26">
        <v>41912</v>
      </c>
      <c r="V130" s="26">
        <v>0</v>
      </c>
      <c r="W130" s="26">
        <v>74</v>
      </c>
      <c r="X130" s="26">
        <v>43</v>
      </c>
      <c r="Y130" s="26" t="s">
        <v>31</v>
      </c>
      <c r="Z130" s="26" t="s">
        <v>31</v>
      </c>
      <c r="AA130" s="26">
        <v>51046</v>
      </c>
      <c r="AB130" s="26">
        <v>1343</v>
      </c>
      <c r="AC130" s="26" t="s">
        <v>31</v>
      </c>
      <c r="AD130" s="26" t="s">
        <v>31</v>
      </c>
      <c r="AE130" s="26" t="s">
        <v>31</v>
      </c>
      <c r="AF130" s="26" t="s">
        <v>31</v>
      </c>
      <c r="AG130" s="26">
        <v>310</v>
      </c>
      <c r="AH130" s="26">
        <v>137</v>
      </c>
    </row>
    <row r="131" spans="1:34" x14ac:dyDescent="0.2">
      <c r="A131" s="10">
        <f t="shared" si="6"/>
        <v>2024</v>
      </c>
      <c r="B131" s="10">
        <f t="shared" si="7"/>
        <v>11</v>
      </c>
      <c r="D131" s="10" t="s">
        <v>45</v>
      </c>
      <c r="E131" s="25" t="d">
        <v>2024-11-01</v>
      </c>
      <c r="F131" s="26">
        <v>22019</v>
      </c>
      <c r="G131" s="26">
        <v>2584</v>
      </c>
      <c r="H131" s="26"/>
      <c r="I131" s="26"/>
      <c r="J131" s="26">
        <v>28422</v>
      </c>
      <c r="K131" s="26">
        <v>-73696</v>
      </c>
      <c r="L131" s="26">
        <v>2320</v>
      </c>
      <c r="M131" s="26">
        <v>0</v>
      </c>
      <c r="N131" s="26">
        <v>2110</v>
      </c>
      <c r="O131" s="26">
        <v>0</v>
      </c>
      <c r="P131" s="26">
        <v>104</v>
      </c>
      <c r="Q131" s="26">
        <v>1</v>
      </c>
      <c r="R131" s="26">
        <v>9581</v>
      </c>
      <c r="S131" s="26">
        <v>83</v>
      </c>
      <c r="T131" s="26">
        <v>206157</v>
      </c>
      <c r="U131" s="26">
        <v>69910</v>
      </c>
      <c r="V131" s="26">
        <v>11371</v>
      </c>
      <c r="W131" s="26">
        <v>115</v>
      </c>
      <c r="X131" s="26">
        <v>41</v>
      </c>
      <c r="Y131" s="26" t="s">
        <v>31</v>
      </c>
      <c r="Z131" s="26" t="s">
        <v>31</v>
      </c>
      <c r="AA131" s="26">
        <v>55062</v>
      </c>
      <c r="AB131" s="26">
        <v>4016</v>
      </c>
      <c r="AC131" s="26" t="s">
        <v>31</v>
      </c>
      <c r="AD131" s="26" t="s">
        <v>31</v>
      </c>
      <c r="AE131" s="26" t="s">
        <v>31</v>
      </c>
      <c r="AF131" s="26" t="s">
        <v>31</v>
      </c>
      <c r="AG131" s="26">
        <v>489</v>
      </c>
      <c r="AH131" s="26">
        <v>179</v>
      </c>
    </row>
    <row r="132" spans="1:34" x14ac:dyDescent="0.2">
      <c r="A132" s="10">
        <f t="shared" si="6"/>
        <v>2024</v>
      </c>
      <c r="B132" s="10">
        <f t="shared" si="7"/>
        <v>12</v>
      </c>
      <c r="D132" s="10" t="s">
        <v>45</v>
      </c>
      <c r="E132" s="25" t="d">
        <v>2024-12-01</v>
      </c>
      <c r="F132" s="26">
        <v>24088</v>
      </c>
      <c r="G132" s="26">
        <v>2069</v>
      </c>
      <c r="H132" s="26"/>
      <c r="I132" s="26"/>
      <c r="J132" s="26">
        <v>17458</v>
      </c>
      <c r="K132" s="26">
        <v>-10964</v>
      </c>
      <c r="L132" s="26">
        <v>2320</v>
      </c>
      <c r="M132" s="26">
        <v>0</v>
      </c>
      <c r="N132" s="26">
        <v>2110</v>
      </c>
      <c r="O132" s="26">
        <v>0</v>
      </c>
      <c r="P132" s="26">
        <v>104</v>
      </c>
      <c r="Q132" s="26">
        <v>0</v>
      </c>
      <c r="R132" s="26">
        <v>9674</v>
      </c>
      <c r="S132" s="26">
        <v>93</v>
      </c>
      <c r="T132" s="26">
        <v>262502</v>
      </c>
      <c r="U132" s="26">
        <v>56345</v>
      </c>
      <c r="V132" s="26">
        <v>27677</v>
      </c>
      <c r="W132" s="26">
        <v>117</v>
      </c>
      <c r="X132" s="26">
        <v>2</v>
      </c>
      <c r="Y132" s="26" t="s">
        <v>31</v>
      </c>
      <c r="Z132" s="26" t="s">
        <v>31</v>
      </c>
      <c r="AA132" s="26">
        <v>59552</v>
      </c>
      <c r="AB132" s="26">
        <v>4490</v>
      </c>
      <c r="AC132" s="26" t="s">
        <v>31</v>
      </c>
      <c r="AD132" s="26" t="s">
        <v>31</v>
      </c>
      <c r="AE132" s="26" t="s">
        <v>31</v>
      </c>
      <c r="AF132" s="26" t="s">
        <v>31</v>
      </c>
      <c r="AG132" s="26">
        <v>714</v>
      </c>
      <c r="AH132" s="26">
        <v>225</v>
      </c>
    </row>
    <row r="133" spans="1:34" x14ac:dyDescent="0.2">
      <c r="A133" s="10">
        <f t="shared" si="6"/>
        <v>2025</v>
      </c>
      <c r="B133" s="10">
        <f t="shared" si="7"/>
        <v>1</v>
      </c>
      <c r="D133" s="10" t="s">
        <v>45</v>
      </c>
      <c r="E133" s="25" t="d">
        <v>2025-01-01</v>
      </c>
      <c r="F133" s="26">
        <v>468005</v>
      </c>
      <c r="G133" s="26">
        <v>443917</v>
      </c>
      <c r="H133" s="26"/>
      <c r="I133" s="26"/>
      <c r="J133" s="26">
        <v>2230436</v>
      </c>
      <c r="K133" s="26">
        <v>2212978</v>
      </c>
      <c r="L133" s="26">
        <v>8400</v>
      </c>
      <c r="M133" s="26">
        <v>6080</v>
      </c>
      <c r="N133" s="26">
        <v>25800</v>
      </c>
      <c r="O133" s="26">
        <v>23690</v>
      </c>
      <c r="P133" s="26">
        <v>107</v>
      </c>
      <c r="Q133" s="26">
        <v>3</v>
      </c>
      <c r="R133" s="26">
        <v>9912</v>
      </c>
      <c r="S133" s="26">
        <v>238</v>
      </c>
      <c r="T133" s="26">
        <v>425443</v>
      </c>
      <c r="U133" s="26">
        <v>162941</v>
      </c>
      <c r="V133" s="26">
        <v>441458</v>
      </c>
      <c r="W133" s="26">
        <v>149</v>
      </c>
      <c r="X133" s="26">
        <v>32</v>
      </c>
      <c r="Y133" s="26" t="s">
        <v>31</v>
      </c>
      <c r="Z133" s="26" t="s">
        <v>31</v>
      </c>
      <c r="AA133" s="26">
        <v>65610</v>
      </c>
      <c r="AB133" s="26">
        <v>6058</v>
      </c>
      <c r="AC133" s="26" t="s">
        <v>31</v>
      </c>
      <c r="AD133" s="26" t="s">
        <v>31</v>
      </c>
      <c r="AE133" s="26" t="s">
        <v>31</v>
      </c>
      <c r="AF133" s="26" t="s">
        <v>31</v>
      </c>
      <c r="AG133" s="26">
        <v>1050</v>
      </c>
      <c r="AH133" s="26">
        <v>336</v>
      </c>
    </row>
    <row r="134" spans="1:34" x14ac:dyDescent="0.2">
      <c r="A134" s="10">
        <f t="shared" si="6"/>
        <v>2025</v>
      </c>
      <c r="B134" s="10">
        <f t="shared" si="7"/>
        <v>2</v>
      </c>
      <c r="D134" s="10" t="s">
        <v>45</v>
      </c>
      <c r="E134" s="25" t="d">
        <v>2025-02-01</v>
      </c>
      <c r="F134" s="26">
        <v>586877</v>
      </c>
      <c r="G134" s="26">
        <v>118872</v>
      </c>
      <c r="H134" s="26">
        <v>145555388</v>
      </c>
      <c r="I134" s="26">
        <v>19538685</v>
      </c>
      <c r="J134" s="26">
        <v>1683982</v>
      </c>
      <c r="K134" s="26">
        <v>-546454</v>
      </c>
      <c r="L134" s="26">
        <v>9090</v>
      </c>
      <c r="M134" s="26">
        <v>690</v>
      </c>
      <c r="N134" s="26">
        <v>28740</v>
      </c>
      <c r="O134" s="26">
        <v>2940</v>
      </c>
      <c r="P134" s="26">
        <v>108</v>
      </c>
      <c r="Q134" s="26">
        <v>1</v>
      </c>
      <c r="R134" s="26">
        <v>10035</v>
      </c>
      <c r="S134" s="26">
        <v>123</v>
      </c>
      <c r="T134" s="26">
        <v>529945</v>
      </c>
      <c r="U134" s="26">
        <v>104502</v>
      </c>
      <c r="V134" s="26">
        <v>420987</v>
      </c>
      <c r="W134" s="26">
        <v>181</v>
      </c>
      <c r="X134" s="26">
        <v>32</v>
      </c>
      <c r="Y134" s="26" t="s">
        <v>31</v>
      </c>
      <c r="Z134" s="26" t="s">
        <v>31</v>
      </c>
      <c r="AA134" s="26">
        <v>69989</v>
      </c>
      <c r="AB134" s="26">
        <v>4379</v>
      </c>
      <c r="AC134" s="26" t="s">
        <v>31</v>
      </c>
      <c r="AD134" s="26" t="s">
        <v>31</v>
      </c>
      <c r="AE134" s="26" t="s">
        <v>31</v>
      </c>
      <c r="AF134" s="26" t="s">
        <v>31</v>
      </c>
      <c r="AG134" s="26">
        <v>1349</v>
      </c>
      <c r="AH134" s="26">
        <v>299</v>
      </c>
    </row>
    <row r="135" spans="1:34" x14ac:dyDescent="0.2">
      <c r="A135" s="10">
        <f t="shared" si="6"/>
        <v>2025</v>
      </c>
      <c r="B135" s="10">
        <f t="shared" si="7"/>
        <v>3</v>
      </c>
      <c r="D135" s="10" t="s">
        <v>45</v>
      </c>
      <c r="E135" s="25" t="d">
        <v>2025-03-01</v>
      </c>
      <c r="F135" s="26">
        <v>682940</v>
      </c>
      <c r="G135" s="26">
        <v>96063</v>
      </c>
      <c r="H135" s="26">
        <v>169883880</v>
      </c>
      <c r="I135" s="26">
        <v>23834617</v>
      </c>
      <c r="J135" s="26">
        <v>1857898</v>
      </c>
      <c r="K135" s="26">
        <v>173916</v>
      </c>
      <c r="L135" s="26">
        <v>9090</v>
      </c>
      <c r="M135" s="26">
        <v>0</v>
      </c>
      <c r="N135" s="26">
        <v>28740</v>
      </c>
      <c r="O135" s="26">
        <v>0</v>
      </c>
      <c r="P135" s="26">
        <v>108</v>
      </c>
      <c r="Q135" s="26">
        <v>0</v>
      </c>
      <c r="R135" s="26">
        <v>10101</v>
      </c>
      <c r="S135" s="26">
        <v>66</v>
      </c>
      <c r="T135" s="26">
        <v>592569</v>
      </c>
      <c r="U135" s="26">
        <v>62624</v>
      </c>
      <c r="V135" s="26">
        <v>586626</v>
      </c>
      <c r="W135" s="26">
        <v>215</v>
      </c>
      <c r="X135" s="26">
        <v>34</v>
      </c>
      <c r="Y135" s="26" t="s">
        <v>31</v>
      </c>
      <c r="Z135" s="26" t="s">
        <v>31</v>
      </c>
      <c r="AA135" s="26">
        <v>73093</v>
      </c>
      <c r="AB135" s="26">
        <v>3104</v>
      </c>
      <c r="AC135" s="26" t="s">
        <v>31</v>
      </c>
      <c r="AD135" s="26" t="s">
        <v>31</v>
      </c>
      <c r="AE135" s="26" t="s">
        <v>31</v>
      </c>
      <c r="AF135" s="26" t="s">
        <v>31</v>
      </c>
      <c r="AG135" s="26">
        <v>1562</v>
      </c>
      <c r="AH135" s="26">
        <v>213</v>
      </c>
    </row>
    <row r="136" spans="1:34" x14ac:dyDescent="0.2">
      <c r="A136" s="10">
        <f t="shared" si="6"/>
        <v>2025</v>
      </c>
      <c r="B136" s="10">
        <f t="shared" si="7"/>
        <v>4</v>
      </c>
      <c r="D136" s="10" t="s">
        <v>45</v>
      </c>
      <c r="E136" s="25" t="d">
        <v>2025-04-01</v>
      </c>
      <c r="F136" s="26">
        <v>788778</v>
      </c>
      <c r="G136" s="26">
        <v>105838</v>
      </c>
      <c r="H136" s="26">
        <v>194982124</v>
      </c>
      <c r="I136" s="26">
        <v>24800714</v>
      </c>
      <c r="J136" s="26">
        <v>1788665</v>
      </c>
      <c r="K136" s="26">
        <v>-69233</v>
      </c>
      <c r="L136" s="26">
        <v>9090</v>
      </c>
      <c r="M136" s="26">
        <v>0</v>
      </c>
      <c r="N136" s="26">
        <v>28740</v>
      </c>
      <c r="O136" s="26">
        <v>0</v>
      </c>
      <c r="P136" s="26">
        <v>108</v>
      </c>
      <c r="Q136" s="26">
        <v>0</v>
      </c>
      <c r="R136" s="26">
        <v>10207</v>
      </c>
      <c r="S136" s="26">
        <v>106</v>
      </c>
      <c r="T136" s="26">
        <v>699607</v>
      </c>
      <c r="U136" s="26">
        <v>107038</v>
      </c>
      <c r="V136" s="26">
        <v>669485</v>
      </c>
      <c r="W136" s="26">
        <v>216</v>
      </c>
      <c r="X136" s="26">
        <v>1</v>
      </c>
      <c r="Y136" s="26" t="s">
        <v>31</v>
      </c>
      <c r="Z136" s="26" t="s">
        <v>31</v>
      </c>
      <c r="AA136" s="26">
        <v>74778</v>
      </c>
      <c r="AB136" s="26">
        <v>1685</v>
      </c>
      <c r="AC136" s="26" t="s">
        <v>31</v>
      </c>
      <c r="AD136" s="26" t="s">
        <v>31</v>
      </c>
      <c r="AE136" s="26" t="s">
        <v>31</v>
      </c>
      <c r="AF136" s="26" t="s">
        <v>31</v>
      </c>
      <c r="AG136" s="26">
        <v>1941</v>
      </c>
      <c r="AH136" s="26">
        <v>379</v>
      </c>
    </row>
    <row r="137" spans="1:34" x14ac:dyDescent="0.2">
      <c r="A137" s="10">
        <f t="shared" si="6"/>
        <v>2025</v>
      </c>
      <c r="B137" s="10">
        <f t="shared" si="7"/>
        <v>5</v>
      </c>
      <c r="D137" s="10" t="s">
        <v>45</v>
      </c>
      <c r="E137" s="25" t="d">
        <v>2025-05-01</v>
      </c>
      <c r="F137" s="26">
        <v>879580</v>
      </c>
      <c r="G137" s="26">
        <v>90802</v>
      </c>
      <c r="H137" s="26">
        <v>215304100</v>
      </c>
      <c r="I137" s="26">
        <v>20191015</v>
      </c>
      <c r="J137" s="26">
        <v>1746447</v>
      </c>
      <c r="K137" s="26">
        <v>-42218</v>
      </c>
      <c r="L137" s="26">
        <v>9090</v>
      </c>
      <c r="M137" s="26">
        <v>0</v>
      </c>
      <c r="N137" s="26">
        <v>28740</v>
      </c>
      <c r="O137" s="26">
        <v>0</v>
      </c>
      <c r="P137" s="26">
        <v>110</v>
      </c>
      <c r="Q137" s="26">
        <v>2</v>
      </c>
      <c r="R137" s="26">
        <v>10350</v>
      </c>
      <c r="S137" s="26">
        <v>143</v>
      </c>
      <c r="T137" s="26">
        <v>769438</v>
      </c>
      <c r="U137" s="26">
        <v>69831</v>
      </c>
      <c r="V137" s="26">
        <v>592453</v>
      </c>
      <c r="W137" s="26">
        <v>225</v>
      </c>
      <c r="X137" s="26">
        <v>9</v>
      </c>
      <c r="Y137" s="26" t="s">
        <v>31</v>
      </c>
      <c r="Z137" s="26" t="s">
        <v>31</v>
      </c>
      <c r="AA137" s="26">
        <v>79162</v>
      </c>
      <c r="AB137" s="26">
        <v>4384</v>
      </c>
      <c r="AC137" s="26" t="s">
        <v>31</v>
      </c>
      <c r="AD137" s="26" t="s">
        <v>31</v>
      </c>
      <c r="AE137" s="26" t="s">
        <v>31</v>
      </c>
      <c r="AF137" s="26" t="s">
        <v>31</v>
      </c>
      <c r="AG137" s="26">
        <v>2236</v>
      </c>
      <c r="AH137" s="26">
        <v>295</v>
      </c>
    </row>
    <row r="138" spans="1:34" x14ac:dyDescent="0.2">
      <c r="A138" s="10">
        <f t="shared" si="6"/>
        <v>2025</v>
      </c>
      <c r="B138" s="10">
        <f t="shared" si="7"/>
        <v>6</v>
      </c>
      <c r="D138" s="10" t="s">
        <v>45</v>
      </c>
      <c r="E138" s="25" t="d">
        <v>2025-06-01</v>
      </c>
      <c r="F138" s="26">
        <v>952016</v>
      </c>
      <c r="G138" s="26">
        <v>72436</v>
      </c>
      <c r="H138" s="26">
        <v>234013526</v>
      </c>
      <c r="I138" s="26">
        <v>18530319</v>
      </c>
      <c r="J138" s="26">
        <v>1550913</v>
      </c>
      <c r="K138" s="26">
        <v>-195534</v>
      </c>
      <c r="L138" s="26">
        <v>9090</v>
      </c>
      <c r="M138" s="26">
        <v>0</v>
      </c>
      <c r="N138" s="26">
        <v>28740</v>
      </c>
      <c r="O138" s="26">
        <v>0</v>
      </c>
      <c r="P138" s="26">
        <v>110</v>
      </c>
      <c r="Q138" s="26">
        <v>0</v>
      </c>
      <c r="R138" s="26">
        <v>10486</v>
      </c>
      <c r="S138" s="26">
        <v>136</v>
      </c>
      <c r="T138" s="26">
        <v>846537</v>
      </c>
      <c r="U138" s="26">
        <v>77099</v>
      </c>
      <c r="V138" s="26">
        <v>716019</v>
      </c>
      <c r="W138" s="26">
        <v>394</v>
      </c>
      <c r="X138" s="26">
        <v>169</v>
      </c>
      <c r="Y138" s="26" t="s">
        <v>31</v>
      </c>
      <c r="Z138" s="26" t="s">
        <v>31</v>
      </c>
      <c r="AA138" s="26">
        <v>80570</v>
      </c>
      <c r="AB138" s="26">
        <v>1408</v>
      </c>
      <c r="AC138" s="26" t="s">
        <v>31</v>
      </c>
      <c r="AD138" s="26" t="s">
        <v>31</v>
      </c>
      <c r="AE138" s="26" t="s">
        <v>31</v>
      </c>
      <c r="AF138" s="26" t="s">
        <v>31</v>
      </c>
      <c r="AG138" s="26">
        <v>2482</v>
      </c>
      <c r="AH138" s="26">
        <v>246</v>
      </c>
    </row>
    <row r="139" spans="1:34" x14ac:dyDescent="0.2">
      <c r="A139" s="10">
        <f t="shared" si="6"/>
        <v>2025</v>
      </c>
      <c r="B139" s="10">
        <f t="shared" si="7"/>
        <v>7</v>
      </c>
      <c r="D139" s="10" t="s">
        <v>45</v>
      </c>
      <c r="E139" s="25" t="d">
        <v>2025-07-01</v>
      </c>
      <c r="F139" s="26">
        <v>1021356</v>
      </c>
      <c r="G139" s="26">
        <v>69340</v>
      </c>
      <c r="H139" s="26">
        <v>249181795</v>
      </c>
      <c r="I139" s="26">
        <v>14866384</v>
      </c>
      <c r="J139" s="26">
        <v>1561214</v>
      </c>
      <c r="K139" s="26">
        <v>10301</v>
      </c>
      <c r="L139" s="26">
        <v>12020</v>
      </c>
      <c r="M139" s="26">
        <v>2930</v>
      </c>
      <c r="N139" s="26">
        <v>47240</v>
      </c>
      <c r="O139" s="26">
        <v>18500</v>
      </c>
      <c r="P139" s="26">
        <v>112</v>
      </c>
      <c r="Q139" s="26">
        <v>2</v>
      </c>
      <c r="R139" s="26">
        <v>10642</v>
      </c>
      <c r="S139" s="26">
        <v>156</v>
      </c>
      <c r="T139" s="26">
        <v>913448</v>
      </c>
      <c r="U139" s="26">
        <v>66911</v>
      </c>
      <c r="V139" s="26">
        <v>612827</v>
      </c>
      <c r="W139" s="26">
        <v>585</v>
      </c>
      <c r="X139" s="26">
        <v>191</v>
      </c>
      <c r="Y139" s="26" t="s">
        <v>31</v>
      </c>
      <c r="Z139" s="26" t="s">
        <v>31</v>
      </c>
      <c r="AA139" s="26">
        <v>82112</v>
      </c>
      <c r="AB139" s="26">
        <v>1542</v>
      </c>
      <c r="AC139" s="26" t="s">
        <v>31</v>
      </c>
      <c r="AD139" s="26" t="s">
        <v>31</v>
      </c>
      <c r="AE139" s="26" t="s">
        <v>31</v>
      </c>
      <c r="AF139" s="26" t="s">
        <v>31</v>
      </c>
      <c r="AG139" s="26">
        <v>2778</v>
      </c>
      <c r="AH139" s="26">
        <v>296</v>
      </c>
    </row>
    <row r="140" spans="1:34" x14ac:dyDescent="0.2">
      <c r="A140" s="10">
        <f t="shared" si="6"/>
        <v>2025</v>
      </c>
      <c r="B140" s="10">
        <f t="shared" si="7"/>
        <v>8</v>
      </c>
      <c r="D140" s="10" t="s">
        <v>45</v>
      </c>
      <c r="E140" s="25" t="d">
        <v>2025-08-01</v>
      </c>
      <c r="F140" s="26">
        <v>1104663</v>
      </c>
      <c r="G140" s="26">
        <v>83307</v>
      </c>
      <c r="H140" s="26">
        <v>263728418</v>
      </c>
      <c r="I140" s="26">
        <v>14486812</v>
      </c>
      <c r="J140" s="26">
        <v>1470078</v>
      </c>
      <c r="K140" s="26">
        <v>-91136</v>
      </c>
      <c r="L140" s="26">
        <v>12300</v>
      </c>
      <c r="M140" s="26">
        <v>280</v>
      </c>
      <c r="N140" s="26">
        <v>50500</v>
      </c>
      <c r="O140" s="26">
        <v>3260</v>
      </c>
      <c r="P140" s="26">
        <v>113</v>
      </c>
      <c r="Q140" s="26">
        <v>1</v>
      </c>
      <c r="R140" s="26">
        <v>11062</v>
      </c>
      <c r="S140" s="26">
        <v>420</v>
      </c>
      <c r="T140" s="26">
        <v>963377</v>
      </c>
      <c r="U140" s="26">
        <v>49929</v>
      </c>
      <c r="V140" s="26">
        <v>651081</v>
      </c>
      <c r="W140" s="26">
        <v>861</v>
      </c>
      <c r="X140" s="26">
        <v>276</v>
      </c>
      <c r="Y140" s="26" t="s">
        <v>31</v>
      </c>
      <c r="Z140" s="26" t="s">
        <v>31</v>
      </c>
      <c r="AA140" s="26">
        <v>86570</v>
      </c>
      <c r="AB140" s="26">
        <v>4458</v>
      </c>
      <c r="AC140" s="26" t="s">
        <v>31</v>
      </c>
      <c r="AD140" s="26" t="s">
        <v>31</v>
      </c>
      <c r="AE140" s="26" t="s">
        <v>31</v>
      </c>
      <c r="AF140" s="26" t="s">
        <v>31</v>
      </c>
      <c r="AG140" s="26">
        <v>3147</v>
      </c>
      <c r="AH140" s="26">
        <v>369</v>
      </c>
    </row>
    <row r="141" spans="1:34" x14ac:dyDescent="0.2">
      <c r="A141" s="10">
        <f t="shared" si="6"/>
        <v>2025</v>
      </c>
      <c r="B141" s="10">
        <f t="shared" si="7"/>
        <v>9</v>
      </c>
      <c r="D141" s="10" t="s">
        <v>45</v>
      </c>
      <c r="E141" s="25" t="d">
        <v>2025-09-01</v>
      </c>
      <c r="F141" s="26">
        <v>1169171</v>
      </c>
      <c r="G141" s="26">
        <v>64508</v>
      </c>
      <c r="H141" s="26">
        <v>276469818</v>
      </c>
      <c r="I141" s="26">
        <v>12264655</v>
      </c>
      <c r="J141" s="26">
        <v>1266368</v>
      </c>
      <c r="K141" s="26">
        <v>-203710</v>
      </c>
      <c r="L141" s="26">
        <v>12300</v>
      </c>
      <c r="M141" s="26">
        <v>0</v>
      </c>
      <c r="N141" s="26">
        <v>50700</v>
      </c>
      <c r="O141" s="26">
        <v>200</v>
      </c>
      <c r="P141" s="26">
        <v>113</v>
      </c>
      <c r="Q141" s="26">
        <v>0</v>
      </c>
      <c r="R141" s="26">
        <v>11187</v>
      </c>
      <c r="S141" s="26">
        <v>125</v>
      </c>
      <c r="T141" s="26">
        <v>996582</v>
      </c>
      <c r="U141" s="26">
        <v>33205</v>
      </c>
      <c r="V141" s="26">
        <v>275051</v>
      </c>
      <c r="W141" s="26">
        <v>1589</v>
      </c>
      <c r="X141" s="26">
        <v>728</v>
      </c>
      <c r="Y141" s="26" t="s">
        <v>31</v>
      </c>
      <c r="Z141" s="26" t="s">
        <v>31</v>
      </c>
      <c r="AA141" s="26">
        <v>88475</v>
      </c>
      <c r="AB141" s="26">
        <v>1905</v>
      </c>
      <c r="AC141" s="26" t="s">
        <v>31</v>
      </c>
      <c r="AD141" s="26" t="s">
        <v>31</v>
      </c>
      <c r="AE141" s="26" t="s">
        <v>31</v>
      </c>
      <c r="AF141" s="26" t="s">
        <v>31</v>
      </c>
      <c r="AG141" s="26">
        <v>3407</v>
      </c>
      <c r="AH141" s="26">
        <v>260</v>
      </c>
    </row>
    <row r="142" spans="1:34" x14ac:dyDescent="0.2">
      <c r="A142" s="10">
        <f t="shared" si="6"/>
        <v>2025</v>
      </c>
      <c r="B142" s="10">
        <f t="shared" si="7"/>
        <v>10</v>
      </c>
      <c r="D142" s="10" t="s">
        <v>45</v>
      </c>
      <c r="E142" s="25" t="d">
        <v>2025-10-01</v>
      </c>
      <c r="F142" s="26">
        <v>1220304</v>
      </c>
      <c r="G142" s="26">
        <v>51133</v>
      </c>
      <c r="H142" s="26">
        <v>290615976</v>
      </c>
      <c r="I142" s="26">
        <v>13883895</v>
      </c>
      <c r="J142" s="26">
        <v>1289152</v>
      </c>
      <c r="K142" s="26">
        <v>22784</v>
      </c>
      <c r="L142" s="26">
        <v>12300</v>
      </c>
      <c r="M142" s="26">
        <v>0</v>
      </c>
      <c r="N142" s="26">
        <v>50700</v>
      </c>
      <c r="O142" s="26">
        <v>0</v>
      </c>
      <c r="P142" s="26">
        <v>114</v>
      </c>
      <c r="Q142" s="26">
        <v>1</v>
      </c>
      <c r="R142" s="26">
        <v>11554</v>
      </c>
      <c r="S142" s="26">
        <v>367</v>
      </c>
      <c r="T142" s="26">
        <v>1022431</v>
      </c>
      <c r="U142" s="26">
        <v>25849</v>
      </c>
      <c r="V142" s="26">
        <v>165877</v>
      </c>
      <c r="W142" s="26">
        <v>2355</v>
      </c>
      <c r="X142" s="26">
        <v>766</v>
      </c>
      <c r="Y142" s="26" t="s">
        <v>31</v>
      </c>
      <c r="Z142" s="26" t="s">
        <v>31</v>
      </c>
      <c r="AA142" s="26">
        <v>88420</v>
      </c>
      <c r="AB142" s="26">
        <v>-55</v>
      </c>
      <c r="AC142" s="26" t="s">
        <v>31</v>
      </c>
      <c r="AD142" s="26" t="s">
        <v>31</v>
      </c>
      <c r="AE142" s="26" t="s">
        <v>31</v>
      </c>
      <c r="AF142" s="26" t="s">
        <v>31</v>
      </c>
      <c r="AG142" s="26">
        <v>3592</v>
      </c>
      <c r="AH142" s="26">
        <v>185</v>
      </c>
    </row>
    <row r="143" spans="1:34" x14ac:dyDescent="0.2">
      <c r="A143" s="10">
        <f t="shared" si="6"/>
        <v>2025</v>
      </c>
      <c r="B143" s="10">
        <f t="shared" si="7"/>
        <v>11</v>
      </c>
      <c r="D143" s="10" t="s">
        <v>45</v>
      </c>
      <c r="E143" s="25" t="d">
        <v>2025-11-01</v>
      </c>
      <c r="F143" s="26">
        <v>1275992</v>
      </c>
      <c r="G143" s="26">
        <v>55688</v>
      </c>
      <c r="H143" s="26">
        <v>303628267</v>
      </c>
      <c r="I143" s="26">
        <v>12199101</v>
      </c>
      <c r="J143" s="26">
        <v>1285043</v>
      </c>
      <c r="K143" s="26">
        <v>-4109</v>
      </c>
      <c r="L143" s="26">
        <v>13000</v>
      </c>
      <c r="M143" s="26">
        <v>700</v>
      </c>
      <c r="N143" s="26">
        <v>55000</v>
      </c>
      <c r="O143" s="26">
        <v>4300</v>
      </c>
      <c r="P143" s="26">
        <v>115</v>
      </c>
      <c r="Q143" s="26">
        <v>1</v>
      </c>
      <c r="R143" s="26">
        <v>12187</v>
      </c>
      <c r="S143" s="26">
        <v>945</v>
      </c>
      <c r="T143" s="26">
        <v>1047166</v>
      </c>
      <c r="U143" s="26">
        <v>24735</v>
      </c>
      <c r="V143" s="26">
        <v>25558</v>
      </c>
      <c r="W143" s="26">
        <v>2895</v>
      </c>
      <c r="X143" s="26">
        <v>559</v>
      </c>
      <c r="Y143" s="26" t="s">
        <v>31</v>
      </c>
      <c r="Z143" s="26" t="s">
        <v>31</v>
      </c>
      <c r="AA143" s="26">
        <v>92994</v>
      </c>
      <c r="AB143" s="26">
        <v>4574</v>
      </c>
      <c r="AC143" s="26" t="s">
        <v>31</v>
      </c>
      <c r="AD143" s="26" t="s">
        <v>31</v>
      </c>
      <c r="AE143" s="26" t="s">
        <v>31</v>
      </c>
      <c r="AF143" s="26" t="s">
        <v>31</v>
      </c>
      <c r="AG143" s="26">
        <v>3788</v>
      </c>
      <c r="AH143" s="26">
        <v>196</v>
      </c>
    </row>
    <row r="144" spans="1:34" x14ac:dyDescent="0.2">
      <c r="A144" s="10">
        <f t="shared" si="6"/>
        <v>2025</v>
      </c>
      <c r="B144" s="10">
        <f t="shared" si="7"/>
        <v>12</v>
      </c>
      <c r="D144" s="10" t="s">
        <v>45</v>
      </c>
      <c r="E144" s="25" t="d">
        <v>2025-12-01</v>
      </c>
      <c r="F144" s="26">
        <v>1327328</v>
      </c>
      <c r="G144" s="26">
        <v>51336</v>
      </c>
      <c r="H144" s="26">
        <v>317922584</v>
      </c>
      <c r="I144" s="26">
        <v>13827824</v>
      </c>
      <c r="J144" s="26">
        <v>1514157</v>
      </c>
      <c r="K144" s="26">
        <v>229114</v>
      </c>
      <c r="L144" s="26">
        <v>13100</v>
      </c>
      <c r="M144" s="26">
        <v>100</v>
      </c>
      <c r="N144" s="26">
        <v>57100</v>
      </c>
      <c r="O144" s="26">
        <v>2100</v>
      </c>
      <c r="P144" s="26">
        <v>116</v>
      </c>
      <c r="Q144" s="26">
        <v>1</v>
      </c>
      <c r="R144" s="26">
        <v>12748</v>
      </c>
      <c r="S144" s="26">
        <v>561</v>
      </c>
      <c r="T144" s="26">
        <v>1047166</v>
      </c>
      <c r="U144" s="26">
        <v>0</v>
      </c>
      <c r="V144" s="26">
        <v>0</v>
      </c>
      <c r="W144" s="26">
        <v>3406</v>
      </c>
      <c r="X144" s="26">
        <v>511</v>
      </c>
      <c r="Y144" s="26" t="s">
        <v>31</v>
      </c>
      <c r="Z144" s="26" t="s">
        <v>31</v>
      </c>
      <c r="AA144" s="26">
        <v>96174</v>
      </c>
      <c r="AB144" s="26">
        <v>3180</v>
      </c>
      <c r="AC144" s="26" t="s">
        <v>31</v>
      </c>
      <c r="AD144" s="26" t="s">
        <v>31</v>
      </c>
      <c r="AE144" s="26" t="s">
        <v>31</v>
      </c>
      <c r="AF144" s="26" t="s">
        <v>31</v>
      </c>
      <c r="AG144" s="26">
        <v>3947</v>
      </c>
      <c r="AH144" s="26">
        <v>159</v>
      </c>
    </row>
    <row r="145" spans="1:34" x14ac:dyDescent="0.2">
      <c r="A145" s="10">
        <f t="shared" si="6"/>
        <v>2026</v>
      </c>
      <c r="B145" s="10">
        <f t="shared" si="7"/>
        <v>1</v>
      </c>
      <c r="D145" s="10" t="s">
        <v>45</v>
      </c>
      <c r="E145" s="25" t="d">
        <v>2026-01-01</v>
      </c>
      <c r="F145" s="26">
        <v>1426088</v>
      </c>
      <c r="G145" s="26">
        <v>98760</v>
      </c>
      <c r="H145" s="26">
        <v>345992595</v>
      </c>
      <c r="I145" s="26">
        <v>27575019</v>
      </c>
      <c r="J145" s="26">
        <v>3107383</v>
      </c>
      <c r="K145" s="26">
        <v>1593226</v>
      </c>
      <c r="L145" s="26">
        <v>13100</v>
      </c>
      <c r="M145" s="26">
        <v>0</v>
      </c>
      <c r="N145" s="26">
        <v>58000</v>
      </c>
      <c r="O145" s="26">
        <v>900</v>
      </c>
      <c r="P145" s="26">
        <v>117</v>
      </c>
      <c r="Q145" s="26">
        <v>1</v>
      </c>
      <c r="R145" s="26">
        <v>13040</v>
      </c>
      <c r="S145" s="26">
        <v>292</v>
      </c>
      <c r="T145" s="26">
        <v>1047166</v>
      </c>
      <c r="U145" s="26">
        <v>0</v>
      </c>
      <c r="V145" s="26">
        <v>0</v>
      </c>
      <c r="W145" s="26">
        <v>3933</v>
      </c>
      <c r="X145" s="26">
        <v>527</v>
      </c>
      <c r="Y145" s="26" t="s">
        <v>31</v>
      </c>
      <c r="Z145" s="26" t="s">
        <v>31</v>
      </c>
      <c r="AA145" s="26">
        <v>101985</v>
      </c>
      <c r="AB145" s="26">
        <v>5811</v>
      </c>
      <c r="AC145" s="26" t="s">
        <v>31</v>
      </c>
      <c r="AD145" s="26" t="s">
        <v>31</v>
      </c>
      <c r="AE145" s="26" t="s">
        <v>31</v>
      </c>
      <c r="AF145" s="26" t="s">
        <v>31</v>
      </c>
      <c r="AG145" s="26">
        <v>4183</v>
      </c>
      <c r="AH145" s="26">
        <v>236</v>
      </c>
    </row>
    <row r="146" spans="1:34" x14ac:dyDescent="0.2">
      <c r="A146" s="10">
        <f t="shared" si="6"/>
        <v>2026</v>
      </c>
      <c r="B146" s="10">
        <f t="shared" si="7"/>
        <v>2</v>
      </c>
      <c r="D146" s="10" t="s">
        <v>45</v>
      </c>
      <c r="E146" s="25" t="d">
        <v>2026-02-01</v>
      </c>
      <c r="F146" s="26">
        <v>1489768</v>
      </c>
      <c r="G146" s="26">
        <v>63680</v>
      </c>
      <c r="H146" s="26">
        <v>368485626</v>
      </c>
      <c r="I146" s="26">
        <v>22881848</v>
      </c>
      <c r="J146" s="26">
        <v>2803160</v>
      </c>
      <c r="K146" s="26">
        <v>-304223</v>
      </c>
      <c r="L146" s="26">
        <v>13100</v>
      </c>
      <c r="M146" s="26">
        <v>0</v>
      </c>
      <c r="N146" s="26">
        <v>58000</v>
      </c>
      <c r="O146" s="26">
        <v>0</v>
      </c>
      <c r="P146" s="26">
        <v>116</v>
      </c>
      <c r="Q146" s="26">
        <v>-1</v>
      </c>
      <c r="R146" s="26">
        <v>13297</v>
      </c>
      <c r="S146" s="26">
        <v>257</v>
      </c>
      <c r="T146" s="26">
        <v>1047166</v>
      </c>
      <c r="U146" s="26">
        <v>0</v>
      </c>
      <c r="V146" s="26">
        <v>0</v>
      </c>
      <c r="W146" s="26">
        <v>4468</v>
      </c>
      <c r="X146" s="26">
        <v>535</v>
      </c>
      <c r="Y146" s="26" t="s">
        <v>31</v>
      </c>
      <c r="Z146" s="26" t="s">
        <v>31</v>
      </c>
      <c r="AA146" s="26">
        <v>107014</v>
      </c>
      <c r="AB146" s="26">
        <v>5029</v>
      </c>
      <c r="AC146" s="26" t="s">
        <v>31</v>
      </c>
      <c r="AD146" s="26" t="s">
        <v>31</v>
      </c>
      <c r="AE146" s="26" t="s">
        <v>31</v>
      </c>
      <c r="AF146" s="26" t="s">
        <v>31</v>
      </c>
      <c r="AG146" s="26">
        <v>4324</v>
      </c>
      <c r="AH146" s="26">
        <v>141</v>
      </c>
    </row>
    <row r="147" spans="1:34" x14ac:dyDescent="0.2">
      <c r="A147" s="10">
        <f t="shared" si="6"/>
        <v>2026</v>
      </c>
      <c r="B147" s="10">
        <f t="shared" si="7"/>
        <v>3</v>
      </c>
      <c r="D147" s="10" t="s">
        <v>45</v>
      </c>
      <c r="E147" s="25" t="d">
        <v>2026-03-01</v>
      </c>
      <c r="F147" s="26">
        <v>1543750</v>
      </c>
      <c r="G147" s="26">
        <v>53982</v>
      </c>
      <c r="H147" s="26">
        <v>387422055</v>
      </c>
      <c r="I147" s="26">
        <v>18871733</v>
      </c>
      <c r="J147" s="26">
        <v>2919899</v>
      </c>
      <c r="K147" s="26">
        <v>116739</v>
      </c>
      <c r="L147" s="26">
        <v>13100</v>
      </c>
      <c r="M147" s="26">
        <v>0</v>
      </c>
      <c r="N147" s="26">
        <v>58000</v>
      </c>
      <c r="O147" s="26">
        <v>0</v>
      </c>
      <c r="P147" s="26">
        <v>115</v>
      </c>
      <c r="Q147" s="26">
        <v>-1</v>
      </c>
      <c r="R147" s="26">
        <v>13418</v>
      </c>
      <c r="S147" s="26">
        <v>121</v>
      </c>
      <c r="T147" s="26">
        <v>1047166</v>
      </c>
      <c r="U147" s="26">
        <v>0</v>
      </c>
      <c r="V147" s="26">
        <v>0</v>
      </c>
      <c r="W147" s="26">
        <v>4972</v>
      </c>
      <c r="X147" s="26">
        <v>504</v>
      </c>
      <c r="Y147" s="26" t="s">
        <v>31</v>
      </c>
      <c r="Z147" s="26" t="s">
        <v>31</v>
      </c>
      <c r="AA147" s="26">
        <v>110583</v>
      </c>
      <c r="AB147" s="26">
        <v>3569</v>
      </c>
      <c r="AC147" s="26" t="s">
        <v>31</v>
      </c>
      <c r="AD147" s="26" t="s">
        <v>31</v>
      </c>
      <c r="AE147" s="26" t="s">
        <v>31</v>
      </c>
      <c r="AF147" s="26" t="s">
        <v>31</v>
      </c>
      <c r="AG147" s="26">
        <v>4478</v>
      </c>
      <c r="AH147" s="26">
        <v>154</v>
      </c>
    </row>
    <row r="148" spans="1:34" x14ac:dyDescent="0.2">
      <c r="A148" s="10">
        <f t="shared" si="6"/>
        <v>2026</v>
      </c>
      <c r="B148" s="10">
        <f t="shared" si="7"/>
        <v>4</v>
      </c>
      <c r="D148" s="10" t="s">
        <v>45</v>
      </c>
      <c r="E148" s="25" t="d">
        <v>2026-04-01</v>
      </c>
      <c r="F148" s="26">
        <v>1613833</v>
      </c>
      <c r="G148" s="26">
        <v>70083</v>
      </c>
      <c r="H148" s="26">
        <v>406508201</v>
      </c>
      <c r="I148" s="26">
        <v>18657097</v>
      </c>
      <c r="J148" s="26">
        <v>2981199</v>
      </c>
      <c r="K148" s="26">
        <v>61300</v>
      </c>
      <c r="L148" s="26">
        <v>13390</v>
      </c>
      <c r="M148" s="26">
        <v>92</v>
      </c>
      <c r="N148" s="26">
        <v>63218</v>
      </c>
      <c r="O148" s="26">
        <v>1431</v>
      </c>
      <c r="P148" s="26">
        <v>115</v>
      </c>
      <c r="Q148" s="26">
        <v>0</v>
      </c>
      <c r="R148" s="26">
        <v>13536</v>
      </c>
      <c r="S148" s="26">
        <v>118</v>
      </c>
      <c r="T148" s="26">
        <v>1228817</v>
      </c>
      <c r="U148" s="26">
        <v>181651</v>
      </c>
      <c r="V148" s="26">
        <v>108166</v>
      </c>
      <c r="W148" s="26">
        <v>5523</v>
      </c>
      <c r="X148" s="26">
        <v>551</v>
      </c>
      <c r="Y148" s="26">
        <v>1574983</v>
      </c>
      <c r="Z148" s="26">
        <v>4180</v>
      </c>
      <c r="AA148" s="26">
        <v>111919</v>
      </c>
      <c r="AB148" s="26">
        <v>1336</v>
      </c>
      <c r="AC148" s="26" t="s">
        <v>31</v>
      </c>
      <c r="AD148" s="26" t="s">
        <v>31</v>
      </c>
      <c r="AE148" s="26" t="s">
        <v>31</v>
      </c>
      <c r="AF148" s="26" t="s">
        <v>31</v>
      </c>
      <c r="AG148" s="26">
        <v>4654</v>
      </c>
      <c r="AH148" s="26">
        <v>176</v>
      </c>
    </row>
    <row r="149" spans="1:34" x14ac:dyDescent="0.2">
      <c r="A149" s="10">
        <f t="shared" si="6"/>
        <v>2026</v>
      </c>
      <c r="B149" s="10">
        <f t="shared" si="7"/>
        <v>5</v>
      </c>
      <c r="D149" s="10" t="s">
        <v>45</v>
      </c>
      <c r="E149" s="25" t="d">
        <v>2026-05-01</v>
      </c>
      <c r="F149" s="26">
        <v>1706291</v>
      </c>
      <c r="G149" s="26">
        <v>92458</v>
      </c>
      <c r="H149" s="26">
        <v>426326820</v>
      </c>
      <c r="I149" s="26">
        <v>19691614</v>
      </c>
      <c r="J149" s="26">
        <v>3133097</v>
      </c>
      <c r="K149" s="26">
        <v>151898</v>
      </c>
      <c r="L149" s="26">
        <v>13839</v>
      </c>
      <c r="M149" s="26">
        <v>449</v>
      </c>
      <c r="N149" s="26">
        <v>66279</v>
      </c>
      <c r="O149" s="26">
        <v>3061</v>
      </c>
      <c r="P149" s="26">
        <v>117</v>
      </c>
      <c r="Q149" s="26">
        <v>2</v>
      </c>
      <c r="R149" s="26">
        <v>13908</v>
      </c>
      <c r="S149" s="26">
        <v>372</v>
      </c>
      <c r="T149" s="26">
        <v>1285203</v>
      </c>
      <c r="U149" s="26">
        <v>56386</v>
      </c>
      <c r="V149" s="26">
        <v>177290</v>
      </c>
      <c r="W149" s="26">
        <v>6077</v>
      </c>
      <c r="X149" s="26">
        <v>554</v>
      </c>
      <c r="Y149" s="26">
        <v>1576250</v>
      </c>
      <c r="Z149" s="26">
        <v>1267</v>
      </c>
      <c r="AA149" s="26">
        <v>124798</v>
      </c>
      <c r="AB149" s="26">
        <v>12879</v>
      </c>
      <c r="AC149" s="26" t="s">
        <v>31</v>
      </c>
      <c r="AD149" s="26" t="s">
        <v>31</v>
      </c>
      <c r="AE149" s="26" t="s">
        <v>31</v>
      </c>
      <c r="AF149" s="26" t="s">
        <v>31</v>
      </c>
      <c r="AG149" s="26">
        <v>4869</v>
      </c>
      <c r="AH149" s="26">
        <v>215</v>
      </c>
    </row>
    <row r="150" spans="1:34" x14ac:dyDescent="0.2">
      <c r="A150" s="10">
        <f t="shared" si="6"/>
        <v>2026</v>
      </c>
      <c r="B150" s="10">
        <f t="shared" si="7"/>
        <v>6</v>
      </c>
      <c r="D150" s="10" t="s">
        <v>45</v>
      </c>
      <c r="E150" s="25" t="d">
        <v>2026-06-01</v>
      </c>
      <c r="F150" s="26">
        <v>1775021</v>
      </c>
      <c r="G150" s="26">
        <v>68730</v>
      </c>
      <c r="H150" s="26">
        <v>444736661</v>
      </c>
      <c r="I150" s="26">
        <v>18357978</v>
      </c>
      <c r="J150" s="26">
        <v>2960217</v>
      </c>
      <c r="K150" s="26">
        <v>-172880</v>
      </c>
      <c r="L150" s="26">
        <v>14384</v>
      </c>
      <c r="M150" s="26">
        <v>545</v>
      </c>
      <c r="N150" s="26">
        <v>68054</v>
      </c>
      <c r="O150" s="26">
        <v>1775</v>
      </c>
      <c r="P150" s="26">
        <v>120</v>
      </c>
      <c r="Q150" s="26">
        <v>3</v>
      </c>
      <c r="R150" s="26">
        <v>14338</v>
      </c>
      <c r="S150" s="26">
        <v>430</v>
      </c>
      <c r="T150" s="26">
        <v>1298061</v>
      </c>
      <c r="U150" s="26">
        <v>12858</v>
      </c>
      <c r="V150" s="26">
        <v>80416</v>
      </c>
      <c r="W150" s="26">
        <v>6451</v>
      </c>
      <c r="X150" s="26">
        <v>374</v>
      </c>
      <c r="Y150" s="26">
        <v>1600958</v>
      </c>
      <c r="Z150" s="26">
        <v>24708</v>
      </c>
      <c r="AA150" s="26">
        <v>126195</v>
      </c>
      <c r="AB150" s="26">
        <v>1397</v>
      </c>
      <c r="AC150" s="26" t="s">
        <v>31</v>
      </c>
      <c r="AD150" s="26" t="s">
        <v>31</v>
      </c>
      <c r="AE150" s="26" t="s">
        <v>31</v>
      </c>
      <c r="AF150" s="26" t="s">
        <v>31</v>
      </c>
      <c r="AG150" s="26">
        <v>5087</v>
      </c>
      <c r="AH150" s="26">
        <v>218</v>
      </c>
    </row>
    <row r="151" spans="1:34" x14ac:dyDescent="0.2">
      <c r="A151" s="10">
        <f t="shared" si="6"/>
        <v>2026</v>
      </c>
      <c r="B151" s="10">
        <f t="shared" si="7"/>
        <v>7</v>
      </c>
      <c r="D151" s="10" t="s">
        <v>45</v>
      </c>
      <c r="E151" s="25" t="d">
        <v>2026-07-01</v>
      </c>
      <c r="F151" s="26">
        <v>1836645</v>
      </c>
      <c r="G151" s="26">
        <v>61624</v>
      </c>
      <c r="H151" s="26">
        <v>461440317</v>
      </c>
      <c r="I151" s="26">
        <v>16631346</v>
      </c>
      <c r="J151" s="26">
        <v>2828057</v>
      </c>
      <c r="K151" s="26">
        <v>-132160</v>
      </c>
      <c r="L151" s="26">
        <v>14479</v>
      </c>
      <c r="M151" s="26">
        <v>95</v>
      </c>
      <c r="N151" s="26">
        <v>69133</v>
      </c>
      <c r="O151" s="26">
        <v>1079</v>
      </c>
      <c r="P151" s="26">
        <v>120</v>
      </c>
      <c r="Q151" s="26">
        <v>0</v>
      </c>
      <c r="R151" s="26">
        <v>14621</v>
      </c>
      <c r="S151" s="26">
        <v>283</v>
      </c>
      <c r="T151" s="26">
        <v>1320940</v>
      </c>
      <c r="U151" s="26">
        <v>22879</v>
      </c>
      <c r="V151" s="26">
        <v>33198</v>
      </c>
      <c r="W151" s="26">
        <v>6737</v>
      </c>
      <c r="X151" s="26">
        <v>286</v>
      </c>
      <c r="Y151" s="26">
        <v>1609617</v>
      </c>
      <c r="Z151" s="26">
        <v>8659</v>
      </c>
      <c r="AA151" s="26">
        <v>126264</v>
      </c>
      <c r="AB151" s="26">
        <v>69</v>
      </c>
      <c r="AC151" s="26" t="s">
        <v>31</v>
      </c>
      <c r="AD151" s="26" t="s">
        <v>31</v>
      </c>
      <c r="AE151" s="26" t="s">
        <v>31</v>
      </c>
      <c r="AF151" s="26" t="s">
        <v>31</v>
      </c>
      <c r="AG151" s="26">
        <v>5270</v>
      </c>
      <c r="AH151" s="26">
        <v>183</v>
      </c>
    </row>
    <row r="152" spans="1:34" x14ac:dyDescent="0.2">
      <c r="A152" s="10">
        <f t="shared" si="6"/>
        <v>2024</v>
      </c>
      <c r="B152" s="10">
        <f t="shared" si="7"/>
        <v>7</v>
      </c>
      <c r="D152" s="10" t="s">
        <v>49</v>
      </c>
      <c r="E152" s="25" t="d">
        <v>2024-07-01</v>
      </c>
      <c r="F152" s="26">
        <v>92909</v>
      </c>
      <c r="G152" s="26">
        <v>24798</v>
      </c>
      <c r="H152" s="26">
        <v>26877880</v>
      </c>
      <c r="I152" s="26">
        <v>4596449</v>
      </c>
      <c r="J152" s="26">
        <v>960479</v>
      </c>
      <c r="K152" s="26">
        <v>27221</v>
      </c>
      <c r="L152" s="26">
        <v>1100000</v>
      </c>
      <c r="M152" s="26">
        <v>0</v>
      </c>
      <c r="N152" s="26">
        <v>26700000</v>
      </c>
      <c r="O152" s="26">
        <v>2900000</v>
      </c>
      <c r="P152" s="26">
        <v>24200</v>
      </c>
      <c r="Q152" s="26">
        <v>2800</v>
      </c>
      <c r="R152" s="26">
        <v>3320888</v>
      </c>
      <c r="S152" s="26">
        <v>595840</v>
      </c>
      <c r="T152" s="26">
        <v>308034</v>
      </c>
      <c r="U152" s="26">
        <v>31929</v>
      </c>
      <c r="V152" s="26">
        <v>178000</v>
      </c>
      <c r="W152" s="26">
        <v>63</v>
      </c>
      <c r="X152" s="26">
        <v>1</v>
      </c>
      <c r="Y152" s="26" t="s">
        <v>31</v>
      </c>
      <c r="Z152" s="26" t="s">
        <v>31</v>
      </c>
      <c r="AA152" s="26">
        <v>380951</v>
      </c>
      <c r="AB152" s="26">
        <v>24788</v>
      </c>
      <c r="AC152" s="26" t="s">
        <v>31</v>
      </c>
      <c r="AD152" s="26" t="s">
        <v>31</v>
      </c>
      <c r="AE152" s="26" t="s">
        <v>31</v>
      </c>
      <c r="AF152" s="26" t="s">
        <v>31</v>
      </c>
      <c r="AG152" s="26">
        <v>230</v>
      </c>
      <c r="AH152" s="26">
        <v>61</v>
      </c>
    </row>
    <row r="153" spans="1:34" x14ac:dyDescent="0.2">
      <c r="A153" s="10">
        <f t="shared" si="6"/>
        <v>2024</v>
      </c>
      <c r="B153" s="10">
        <f t="shared" si="7"/>
        <v>8</v>
      </c>
      <c r="D153" s="10" t="s">
        <v>49</v>
      </c>
      <c r="E153" s="25" t="d">
        <v>2024-08-01</v>
      </c>
      <c r="F153" s="26">
        <v>120973</v>
      </c>
      <c r="G153" s="26">
        <v>28064</v>
      </c>
      <c r="H153" s="26">
        <v>32211474</v>
      </c>
      <c r="I153" s="26">
        <v>5176962</v>
      </c>
      <c r="J153" s="26">
        <v>1011316</v>
      </c>
      <c r="K153" s="26">
        <v>50837</v>
      </c>
      <c r="L153" s="26">
        <v>1300000</v>
      </c>
      <c r="M153" s="26">
        <v>200000</v>
      </c>
      <c r="N153" s="26">
        <v>30100000</v>
      </c>
      <c r="O153" s="26">
        <v>3400000</v>
      </c>
      <c r="P153" s="26">
        <v>28800</v>
      </c>
      <c r="Q153" s="26">
        <v>4600</v>
      </c>
      <c r="R153" s="26">
        <v>4301166</v>
      </c>
      <c r="S153" s="26">
        <v>812829</v>
      </c>
      <c r="T153" s="26">
        <v>338357</v>
      </c>
      <c r="U153" s="26">
        <v>30323</v>
      </c>
      <c r="V153" s="26">
        <v>268000</v>
      </c>
      <c r="W153" s="26">
        <v>74</v>
      </c>
      <c r="X153" s="26">
        <v>11</v>
      </c>
      <c r="Y153" s="26" t="s">
        <v>31</v>
      </c>
      <c r="Z153" s="26" t="s">
        <v>31</v>
      </c>
      <c r="AA153" s="26">
        <v>463526</v>
      </c>
      <c r="AB153" s="26">
        <v>82575</v>
      </c>
      <c r="AC153" s="26" t="s">
        <v>31</v>
      </c>
      <c r="AD153" s="26" t="s">
        <v>31</v>
      </c>
      <c r="AE153" s="26" t="s">
        <v>31</v>
      </c>
      <c r="AF153" s="26" t="s">
        <v>31</v>
      </c>
      <c r="AG153" s="26">
        <v>311</v>
      </c>
      <c r="AH153" s="26">
        <v>81</v>
      </c>
    </row>
    <row r="154" spans="1:34" x14ac:dyDescent="0.2">
      <c r="A154" s="10">
        <f t="shared" si="6"/>
        <v>2024</v>
      </c>
      <c r="B154" s="10">
        <f t="shared" si="7"/>
        <v>9</v>
      </c>
      <c r="D154" s="10" t="s">
        <v>49</v>
      </c>
      <c r="E154" s="25" t="d">
        <v>2024-09-01</v>
      </c>
      <c r="F154" s="26">
        <v>144345</v>
      </c>
      <c r="G154" s="26">
        <v>23372</v>
      </c>
      <c r="H154" s="26">
        <v>39522258</v>
      </c>
      <c r="I154" s="26">
        <v>7163211</v>
      </c>
      <c r="J154" s="26">
        <v>1109216</v>
      </c>
      <c r="K154" s="26">
        <v>97900</v>
      </c>
      <c r="L154" s="26">
        <v>1400000</v>
      </c>
      <c r="M154" s="26">
        <v>100000</v>
      </c>
      <c r="N154" s="26">
        <v>33400000</v>
      </c>
      <c r="O154" s="26">
        <v>3300000</v>
      </c>
      <c r="P154" s="26">
        <v>33500</v>
      </c>
      <c r="Q154" s="26">
        <v>4700</v>
      </c>
      <c r="R154" s="26">
        <v>5322832</v>
      </c>
      <c r="S154" s="26">
        <v>1002634</v>
      </c>
      <c r="T154" s="26">
        <v>369938</v>
      </c>
      <c r="U154" s="26">
        <v>31581</v>
      </c>
      <c r="V154" s="26">
        <v>257000</v>
      </c>
      <c r="W154" s="26">
        <v>95</v>
      </c>
      <c r="X154" s="26">
        <v>21</v>
      </c>
      <c r="Y154" s="26" t="s">
        <v>31</v>
      </c>
      <c r="Z154" s="26" t="s">
        <v>31</v>
      </c>
      <c r="AA154" s="26">
        <v>538344</v>
      </c>
      <c r="AB154" s="26">
        <v>74818</v>
      </c>
      <c r="AC154" s="26" t="s">
        <v>31</v>
      </c>
      <c r="AD154" s="26" t="s">
        <v>31</v>
      </c>
      <c r="AE154" s="26" t="s">
        <v>31</v>
      </c>
      <c r="AF154" s="26" t="s">
        <v>31</v>
      </c>
      <c r="AG154" s="26">
        <v>405</v>
      </c>
      <c r="AH154" s="26">
        <v>94</v>
      </c>
    </row>
    <row r="155" spans="1:34" x14ac:dyDescent="0.2">
      <c r="A155" s="10">
        <f t="shared" si="6"/>
        <v>2024</v>
      </c>
      <c r="B155" s="10">
        <f t="shared" si="7"/>
        <v>10</v>
      </c>
      <c r="D155" s="10" t="s">
        <v>49</v>
      </c>
      <c r="E155" s="25" t="d">
        <v>2024-10-01</v>
      </c>
      <c r="F155" s="26">
        <v>175974</v>
      </c>
      <c r="G155" s="26">
        <v>31629</v>
      </c>
      <c r="H155" s="26">
        <v>47049481</v>
      </c>
      <c r="I155" s="26">
        <v>7490272</v>
      </c>
      <c r="J155" s="26">
        <v>1151793</v>
      </c>
      <c r="K155" s="26">
        <v>42577</v>
      </c>
      <c r="L155" s="26">
        <v>1470000</v>
      </c>
      <c r="M155" s="26">
        <v>70000</v>
      </c>
      <c r="N155" s="26">
        <v>33700000</v>
      </c>
      <c r="O155" s="26">
        <v>300000</v>
      </c>
      <c r="P155" s="26">
        <v>40800</v>
      </c>
      <c r="Q155" s="26">
        <v>7300</v>
      </c>
      <c r="R155" s="26">
        <v>6306013</v>
      </c>
      <c r="S155" s="26">
        <v>867975</v>
      </c>
      <c r="T155" s="26">
        <v>406264</v>
      </c>
      <c r="U155" s="26">
        <v>36326</v>
      </c>
      <c r="V155" s="26">
        <v>49784</v>
      </c>
      <c r="W155" s="26">
        <v>133</v>
      </c>
      <c r="X155" s="26">
        <v>38</v>
      </c>
      <c r="Y155" s="26" t="s">
        <v>31</v>
      </c>
      <c r="Z155" s="26" t="s">
        <v>31</v>
      </c>
      <c r="AA155" s="26">
        <v>587935</v>
      </c>
      <c r="AB155" s="26">
        <v>49591</v>
      </c>
      <c r="AC155" s="26" t="s">
        <v>31</v>
      </c>
      <c r="AD155" s="26" t="s">
        <v>31</v>
      </c>
      <c r="AE155" s="26" t="s">
        <v>31</v>
      </c>
      <c r="AF155" s="26" t="s">
        <v>31</v>
      </c>
      <c r="AG155" s="26">
        <v>483</v>
      </c>
      <c r="AH155" s="26">
        <v>78</v>
      </c>
    </row>
    <row r="156" spans="1:34" x14ac:dyDescent="0.2">
      <c r="A156" s="10">
        <f t="shared" si="6"/>
        <v>2024</v>
      </c>
      <c r="B156" s="10">
        <f t="shared" si="7"/>
        <v>11</v>
      </c>
      <c r="D156" s="10" t="s">
        <v>49</v>
      </c>
      <c r="E156" s="25" t="d">
        <v>2024-11-01</v>
      </c>
      <c r="F156" s="26">
        <v>211274</v>
      </c>
      <c r="G156" s="26">
        <v>35300</v>
      </c>
      <c r="H156" s="26">
        <v>54425905</v>
      </c>
      <c r="I156" s="26">
        <v>7257675</v>
      </c>
      <c r="J156" s="26">
        <v>1153418</v>
      </c>
      <c r="K156" s="26">
        <v>1625</v>
      </c>
      <c r="L156" s="26">
        <v>1640000</v>
      </c>
      <c r="M156" s="26">
        <v>170000</v>
      </c>
      <c r="N156" s="26">
        <v>33700000</v>
      </c>
      <c r="O156" s="26">
        <v>0</v>
      </c>
      <c r="P156" s="26">
        <v>49400</v>
      </c>
      <c r="Q156" s="26">
        <v>8600</v>
      </c>
      <c r="R156" s="26">
        <v>7874427</v>
      </c>
      <c r="S156" s="26">
        <v>1560788</v>
      </c>
      <c r="T156" s="26">
        <v>436044</v>
      </c>
      <c r="U156" s="26">
        <v>29780</v>
      </c>
      <c r="V156" s="26">
        <v>104149</v>
      </c>
      <c r="W156" s="26">
        <v>227</v>
      </c>
      <c r="X156" s="26">
        <v>94</v>
      </c>
      <c r="Y156" s="26" t="s">
        <v>31</v>
      </c>
      <c r="Z156" s="26" t="s">
        <v>31</v>
      </c>
      <c r="AA156" s="26">
        <v>656331</v>
      </c>
      <c r="AB156" s="26">
        <v>68396</v>
      </c>
      <c r="AC156" s="26" t="s">
        <v>31</v>
      </c>
      <c r="AD156" s="26" t="s">
        <v>31</v>
      </c>
      <c r="AE156" s="26" t="s">
        <v>31</v>
      </c>
      <c r="AF156" s="26" t="s">
        <v>31</v>
      </c>
      <c r="AG156" s="26">
        <v>590</v>
      </c>
      <c r="AH156" s="26">
        <v>107</v>
      </c>
    </row>
    <row r="157" spans="1:34" x14ac:dyDescent="0.2">
      <c r="A157" s="10">
        <f t="shared" si="6"/>
        <v>2024</v>
      </c>
      <c r="B157" s="10">
        <f t="shared" si="7"/>
        <v>12</v>
      </c>
      <c r="D157" s="10" t="s">
        <v>49</v>
      </c>
      <c r="E157" s="25" t="d">
        <v>2024-12-01</v>
      </c>
      <c r="F157" s="26">
        <v>250755</v>
      </c>
      <c r="G157" s="26">
        <v>39481</v>
      </c>
      <c r="H157" s="26">
        <v>60824274</v>
      </c>
      <c r="I157" s="26">
        <v>6280139</v>
      </c>
      <c r="J157" s="26">
        <v>1056645</v>
      </c>
      <c r="K157" s="26">
        <v>-96773</v>
      </c>
      <c r="L157" s="26">
        <v>1700000</v>
      </c>
      <c r="M157" s="26">
        <v>60000</v>
      </c>
      <c r="N157" s="26">
        <v>40000000</v>
      </c>
      <c r="O157" s="26">
        <v>6300000</v>
      </c>
      <c r="P157" s="26">
        <v>60500</v>
      </c>
      <c r="Q157" s="26">
        <v>11100</v>
      </c>
      <c r="R157" s="26">
        <v>10186528</v>
      </c>
      <c r="S157" s="26">
        <v>1858100</v>
      </c>
      <c r="T157" s="26">
        <v>466784</v>
      </c>
      <c r="U157" s="26">
        <v>30740</v>
      </c>
      <c r="V157" s="26">
        <v>234849</v>
      </c>
      <c r="W157" s="26">
        <v>371</v>
      </c>
      <c r="X157" s="26">
        <v>144</v>
      </c>
      <c r="Y157" s="26" t="s">
        <v>31</v>
      </c>
      <c r="Z157" s="26" t="s">
        <v>31</v>
      </c>
      <c r="AA157" s="26">
        <v>722859</v>
      </c>
      <c r="AB157" s="26">
        <v>66528</v>
      </c>
      <c r="AC157" s="26" t="s">
        <v>31</v>
      </c>
      <c r="AD157" s="26" t="s">
        <v>31</v>
      </c>
      <c r="AE157" s="26" t="s">
        <v>31</v>
      </c>
      <c r="AF157" s="26" t="s">
        <v>31</v>
      </c>
      <c r="AG157" s="26">
        <v>694</v>
      </c>
      <c r="AH157" s="26">
        <v>104</v>
      </c>
    </row>
    <row r="158" spans="1:34" x14ac:dyDescent="0.2">
      <c r="A158" s="10">
        <f t="shared" si="6"/>
        <v>2025</v>
      </c>
      <c r="B158" s="10">
        <f t="shared" si="7"/>
        <v>1</v>
      </c>
      <c r="D158" s="10" t="s">
        <v>49</v>
      </c>
      <c r="E158" s="25" t="d">
        <v>2025-01-01</v>
      </c>
      <c r="F158" s="26">
        <v>305665</v>
      </c>
      <c r="G158" s="26">
        <v>54910</v>
      </c>
      <c r="H158" s="26">
        <v>68243434</v>
      </c>
      <c r="I158" s="26">
        <v>7374422</v>
      </c>
      <c r="J158" s="26">
        <v>1242951</v>
      </c>
      <c r="K158" s="26">
        <v>186306</v>
      </c>
      <c r="L158" s="26">
        <v>1820000</v>
      </c>
      <c r="M158" s="26">
        <v>120000</v>
      </c>
      <c r="N158" s="26">
        <v>41500000</v>
      </c>
      <c r="O158" s="26">
        <v>1500000</v>
      </c>
      <c r="P158" s="26">
        <v>77900</v>
      </c>
      <c r="Q158" s="26">
        <v>17400</v>
      </c>
      <c r="R158" s="26">
        <v>13818906</v>
      </c>
      <c r="S158" s="26">
        <v>3483540</v>
      </c>
      <c r="T158" s="26">
        <v>525195</v>
      </c>
      <c r="U158" s="26">
        <v>58411</v>
      </c>
      <c r="V158" s="26">
        <v>527329</v>
      </c>
      <c r="W158" s="26">
        <v>514</v>
      </c>
      <c r="X158" s="26">
        <v>143</v>
      </c>
      <c r="Y158" s="26" t="s">
        <v>31</v>
      </c>
      <c r="Z158" s="26" t="s">
        <v>31</v>
      </c>
      <c r="AA158" s="26">
        <v>835615</v>
      </c>
      <c r="AB158" s="26">
        <v>112756</v>
      </c>
      <c r="AC158" s="26" t="s">
        <v>31</v>
      </c>
      <c r="AD158" s="26" t="s">
        <v>31</v>
      </c>
      <c r="AE158" s="26" t="s">
        <v>31</v>
      </c>
      <c r="AF158" s="26" t="s">
        <v>31</v>
      </c>
      <c r="AG158" s="26">
        <v>798</v>
      </c>
      <c r="AH158" s="26">
        <v>104</v>
      </c>
    </row>
    <row r="159" spans="1:34" x14ac:dyDescent="0.2">
      <c r="A159" s="10">
        <f t="shared" si="6"/>
        <v>2025</v>
      </c>
      <c r="B159" s="10">
        <f t="shared" si="7"/>
        <v>2</v>
      </c>
      <c r="D159" s="10" t="s">
        <v>49</v>
      </c>
      <c r="E159" s="25" t="d">
        <v>2025-02-01</v>
      </c>
      <c r="F159" s="26">
        <v>343011</v>
      </c>
      <c r="G159" s="26">
        <v>37346</v>
      </c>
      <c r="H159" s="26">
        <v>73746667</v>
      </c>
      <c r="I159" s="26">
        <v>5503637</v>
      </c>
      <c r="J159" s="26">
        <v>948264</v>
      </c>
      <c r="K159" s="26">
        <v>-294687</v>
      </c>
      <c r="L159" s="26">
        <v>1900000</v>
      </c>
      <c r="M159" s="26">
        <v>80000</v>
      </c>
      <c r="N159" s="26">
        <v>43300000</v>
      </c>
      <c r="O159" s="26">
        <v>1800000</v>
      </c>
      <c r="P159" s="26">
        <v>92500</v>
      </c>
      <c r="Q159" s="26">
        <v>14600</v>
      </c>
      <c r="R159" s="26">
        <v>17088466</v>
      </c>
      <c r="S159" s="26">
        <v>3269560</v>
      </c>
      <c r="T159" s="26">
        <v>573824</v>
      </c>
      <c r="U159" s="26">
        <v>48629</v>
      </c>
      <c r="V159" s="26">
        <v>221082</v>
      </c>
      <c r="W159" s="26">
        <v>667</v>
      </c>
      <c r="X159" s="26">
        <v>153</v>
      </c>
      <c r="Y159" s="26" t="s">
        <v>31</v>
      </c>
      <c r="Z159" s="26" t="s">
        <v>31</v>
      </c>
      <c r="AA159" s="26">
        <v>928443</v>
      </c>
      <c r="AB159" s="26">
        <v>92828</v>
      </c>
      <c r="AC159" s="26" t="s">
        <v>31</v>
      </c>
      <c r="AD159" s="26" t="s">
        <v>31</v>
      </c>
      <c r="AE159" s="26" t="s">
        <v>31</v>
      </c>
      <c r="AF159" s="26" t="s">
        <v>31</v>
      </c>
      <c r="AG159" s="26">
        <v>897</v>
      </c>
      <c r="AH159" s="26">
        <v>99</v>
      </c>
    </row>
    <row r="160" spans="1:34" x14ac:dyDescent="0.2">
      <c r="A160" s="10">
        <f t="shared" si="6"/>
        <v>2025</v>
      </c>
      <c r="B160" s="10">
        <f t="shared" si="7"/>
        <v>3</v>
      </c>
      <c r="D160" s="10" t="s">
        <v>49</v>
      </c>
      <c r="E160" s="25" t="d">
        <v>2025-03-01</v>
      </c>
      <c r="F160" s="26">
        <v>371200</v>
      </c>
      <c r="G160" s="26">
        <v>28189</v>
      </c>
      <c r="H160" s="26">
        <v>78231052</v>
      </c>
      <c r="I160" s="26">
        <v>4443572</v>
      </c>
      <c r="J160" s="26">
        <v>946551</v>
      </c>
      <c r="K160" s="26">
        <v>-1713</v>
      </c>
      <c r="L160" s="26">
        <v>1900000</v>
      </c>
      <c r="M160" s="26">
        <v>0</v>
      </c>
      <c r="N160" s="26">
        <v>43300000</v>
      </c>
      <c r="O160" s="26">
        <v>0</v>
      </c>
      <c r="P160" s="26">
        <v>102000</v>
      </c>
      <c r="Q160" s="26">
        <v>9500</v>
      </c>
      <c r="R160" s="26">
        <v>20041930</v>
      </c>
      <c r="S160" s="26">
        <v>2952605</v>
      </c>
      <c r="T160" s="26">
        <v>598289</v>
      </c>
      <c r="U160" s="26">
        <v>24465</v>
      </c>
      <c r="V160" s="26">
        <v>208835</v>
      </c>
      <c r="W160" s="26">
        <v>753</v>
      </c>
      <c r="X160" s="26">
        <v>86</v>
      </c>
      <c r="Y160" s="26" t="s">
        <v>31</v>
      </c>
      <c r="Z160" s="26" t="s">
        <v>31</v>
      </c>
      <c r="AA160" s="26">
        <v>979191</v>
      </c>
      <c r="AB160" s="26">
        <v>50748</v>
      </c>
      <c r="AC160" s="26" t="s">
        <v>31</v>
      </c>
      <c r="AD160" s="26" t="s">
        <v>31</v>
      </c>
      <c r="AE160" s="26" t="s">
        <v>31</v>
      </c>
      <c r="AF160" s="26" t="s">
        <v>31</v>
      </c>
      <c r="AG160" s="26">
        <v>962</v>
      </c>
      <c r="AH160" s="26">
        <v>65</v>
      </c>
    </row>
    <row r="161" spans="1:34" x14ac:dyDescent="0.2">
      <c r="A161" s="10">
        <f t="shared" si="6"/>
        <v>2025</v>
      </c>
      <c r="B161" s="10">
        <f t="shared" si="7"/>
        <v>4</v>
      </c>
      <c r="D161" s="10" t="s">
        <v>49</v>
      </c>
      <c r="E161" s="25" t="d">
        <v>2025-04-01</v>
      </c>
      <c r="F161" s="26">
        <v>433785</v>
      </c>
      <c r="G161" s="26">
        <v>62585</v>
      </c>
      <c r="H161" s="26">
        <v>85040209</v>
      </c>
      <c r="I161" s="26">
        <v>6757453</v>
      </c>
      <c r="J161" s="26">
        <v>1231239</v>
      </c>
      <c r="K161" s="26">
        <v>284688</v>
      </c>
      <c r="L161" s="26">
        <v>1900000</v>
      </c>
      <c r="M161" s="26">
        <v>0</v>
      </c>
      <c r="N161" s="26">
        <v>43300000</v>
      </c>
      <c r="O161" s="26">
        <v>0</v>
      </c>
      <c r="P161" s="26">
        <v>117000</v>
      </c>
      <c r="Q161" s="26">
        <v>15000</v>
      </c>
      <c r="R161" s="26">
        <v>25304666</v>
      </c>
      <c r="S161" s="26">
        <v>5239437</v>
      </c>
      <c r="T161" s="26">
        <v>644870</v>
      </c>
      <c r="U161" s="26">
        <v>46581</v>
      </c>
      <c r="V161" s="26">
        <v>469628</v>
      </c>
      <c r="W161" s="26">
        <v>855</v>
      </c>
      <c r="X161" s="26">
        <v>102</v>
      </c>
      <c r="Y161" s="26" t="s">
        <v>31</v>
      </c>
      <c r="Z161" s="26" t="s">
        <v>31</v>
      </c>
      <c r="AA161" s="26">
        <v>1065279</v>
      </c>
      <c r="AB161" s="26">
        <v>86088</v>
      </c>
      <c r="AC161" s="26" t="s">
        <v>31</v>
      </c>
      <c r="AD161" s="26" t="s">
        <v>31</v>
      </c>
      <c r="AE161" s="26" t="s">
        <v>31</v>
      </c>
      <c r="AF161" s="26" t="s">
        <v>31</v>
      </c>
      <c r="AG161" s="26">
        <v>1072</v>
      </c>
      <c r="AH161" s="26">
        <v>110</v>
      </c>
    </row>
    <row r="162" spans="1:34" x14ac:dyDescent="0.2">
      <c r="A162" s="10">
        <f t="shared" si="6"/>
        <v>2025</v>
      </c>
      <c r="B162" s="10">
        <f t="shared" si="7"/>
        <v>5</v>
      </c>
      <c r="D162" s="10" t="s">
        <v>49</v>
      </c>
      <c r="E162" s="25" t="d">
        <v>2025-05-01</v>
      </c>
      <c r="F162" s="26">
        <v>484216</v>
      </c>
      <c r="G162" s="26">
        <v>50431</v>
      </c>
      <c r="H162" s="26">
        <v>93053027</v>
      </c>
      <c r="I162" s="26">
        <v>7683558</v>
      </c>
      <c r="J162" s="26">
        <v>1667857</v>
      </c>
      <c r="K162" s="26">
        <v>436618</v>
      </c>
      <c r="L162" s="26">
        <v>1900000</v>
      </c>
      <c r="M162" s="26">
        <v>0</v>
      </c>
      <c r="N162" s="26">
        <v>43300000</v>
      </c>
      <c r="O162" s="26">
        <v>0</v>
      </c>
      <c r="P162" s="26">
        <v>133000</v>
      </c>
      <c r="Q162" s="26">
        <v>16000</v>
      </c>
      <c r="R162" s="26">
        <v>31304794</v>
      </c>
      <c r="S162" s="26">
        <v>5938924</v>
      </c>
      <c r="T162" s="26">
        <v>694458</v>
      </c>
      <c r="U162" s="26">
        <v>49588</v>
      </c>
      <c r="V162" s="26">
        <v>337376</v>
      </c>
      <c r="W162" s="26">
        <v>886</v>
      </c>
      <c r="X162" s="26">
        <v>31</v>
      </c>
      <c r="Y162" s="26" t="s">
        <v>31</v>
      </c>
      <c r="Z162" s="26" t="s">
        <v>31</v>
      </c>
      <c r="AA162" s="26">
        <v>1186054</v>
      </c>
      <c r="AB162" s="26">
        <v>120775</v>
      </c>
      <c r="AC162" s="26" t="s">
        <v>31</v>
      </c>
      <c r="AD162" s="26" t="s">
        <v>31</v>
      </c>
      <c r="AE162" s="26" t="s">
        <v>31</v>
      </c>
      <c r="AF162" s="26" t="s">
        <v>31</v>
      </c>
      <c r="AG162" s="26">
        <v>1181</v>
      </c>
      <c r="AH162" s="26">
        <v>109</v>
      </c>
    </row>
    <row r="163" spans="1:34" x14ac:dyDescent="0.2">
      <c r="A163" s="10">
        <f t="shared" si="6"/>
        <v>2025</v>
      </c>
      <c r="B163" s="10">
        <f t="shared" si="7"/>
        <v>6</v>
      </c>
      <c r="D163" s="10" t="s">
        <v>49</v>
      </c>
      <c r="E163" s="25" t="d">
        <v>2025-06-01</v>
      </c>
      <c r="F163" s="26">
        <v>543444</v>
      </c>
      <c r="G163" s="26">
        <v>59228</v>
      </c>
      <c r="H163" s="26">
        <v>105885604</v>
      </c>
      <c r="I163" s="26">
        <v>12757849</v>
      </c>
      <c r="J163" s="26">
        <v>2111927</v>
      </c>
      <c r="K163" s="26">
        <v>444070</v>
      </c>
      <c r="L163" s="26">
        <v>1900000</v>
      </c>
      <c r="M163" s="26">
        <v>0</v>
      </c>
      <c r="N163" s="26">
        <v>43300000</v>
      </c>
      <c r="O163" s="26">
        <v>0</v>
      </c>
      <c r="P163" s="26">
        <v>151000</v>
      </c>
      <c r="Q163" s="26">
        <v>18000</v>
      </c>
      <c r="R163" s="26">
        <v>38153756</v>
      </c>
      <c r="S163" s="26">
        <v>6715045</v>
      </c>
      <c r="T163" s="26">
        <v>741467</v>
      </c>
      <c r="U163" s="26">
        <v>47009</v>
      </c>
      <c r="V163" s="26">
        <v>161619</v>
      </c>
      <c r="W163" s="26">
        <v>1015</v>
      </c>
      <c r="X163" s="26">
        <v>129</v>
      </c>
      <c r="Y163" s="26" t="s">
        <v>31</v>
      </c>
      <c r="Z163" s="26" t="s">
        <v>31</v>
      </c>
      <c r="AA163" s="26">
        <v>1300243</v>
      </c>
      <c r="AB163" s="26">
        <v>114189</v>
      </c>
      <c r="AC163" s="26" t="s">
        <v>31</v>
      </c>
      <c r="AD163" s="26" t="s">
        <v>31</v>
      </c>
      <c r="AE163" s="26" t="s">
        <v>31</v>
      </c>
      <c r="AF163" s="26" t="s">
        <v>31</v>
      </c>
      <c r="AG163" s="26">
        <v>1315</v>
      </c>
      <c r="AH163" s="26">
        <v>134</v>
      </c>
    </row>
    <row r="164" spans="1:34" x14ac:dyDescent="0.2">
      <c r="A164" s="10">
        <f t="shared" si="6"/>
        <v>2025</v>
      </c>
      <c r="B164" s="10">
        <f t="shared" si="7"/>
        <v>7</v>
      </c>
      <c r="D164" s="10" t="s">
        <v>49</v>
      </c>
      <c r="E164" s="25" t="d">
        <v>2025-07-01</v>
      </c>
      <c r="F164" s="26">
        <v>632272</v>
      </c>
      <c r="G164" s="26">
        <v>88828</v>
      </c>
      <c r="H164" s="26">
        <v>118008775</v>
      </c>
      <c r="I164" s="26">
        <v>12032502</v>
      </c>
      <c r="J164" s="26">
        <v>2192202</v>
      </c>
      <c r="K164" s="26">
        <v>80275</v>
      </c>
      <c r="L164" s="26">
        <v>1900000</v>
      </c>
      <c r="M164" s="26">
        <v>0</v>
      </c>
      <c r="N164" s="26">
        <v>43300000</v>
      </c>
      <c r="O164" s="26">
        <v>0</v>
      </c>
      <c r="P164" s="26">
        <v>170000</v>
      </c>
      <c r="Q164" s="26">
        <v>19000</v>
      </c>
      <c r="R164" s="26">
        <v>45149392</v>
      </c>
      <c r="S164" s="26">
        <v>6595962</v>
      </c>
      <c r="T164" s="26">
        <v>834369</v>
      </c>
      <c r="U164" s="26">
        <v>92902</v>
      </c>
      <c r="V164" s="26">
        <v>264922</v>
      </c>
      <c r="W164" s="26">
        <v>1182</v>
      </c>
      <c r="X164" s="26">
        <v>167</v>
      </c>
      <c r="Y164" s="26" t="s">
        <v>31</v>
      </c>
      <c r="Z164" s="26" t="s">
        <v>31</v>
      </c>
      <c r="AA164" s="26">
        <v>1418829</v>
      </c>
      <c r="AB164" s="26">
        <v>118586</v>
      </c>
      <c r="AC164" s="26" t="s">
        <v>31</v>
      </c>
      <c r="AD164" s="26" t="s">
        <v>31</v>
      </c>
      <c r="AE164" s="26" t="s">
        <v>31</v>
      </c>
      <c r="AF164" s="26" t="s">
        <v>31</v>
      </c>
      <c r="AG164" s="26">
        <v>1503</v>
      </c>
      <c r="AH164" s="26">
        <v>188</v>
      </c>
    </row>
    <row r="165" spans="1:34" x14ac:dyDescent="0.2">
      <c r="A165" s="10">
        <f t="shared" si="6"/>
        <v>2025</v>
      </c>
      <c r="B165" s="10">
        <f t="shared" si="7"/>
        <v>8</v>
      </c>
      <c r="D165" s="10" t="s">
        <v>49</v>
      </c>
      <c r="E165" s="25" t="d">
        <v>2025-08-01</v>
      </c>
      <c r="F165" s="26">
        <v>736742</v>
      </c>
      <c r="G165" s="26">
        <v>104470</v>
      </c>
      <c r="H165" s="26">
        <v>129138860</v>
      </c>
      <c r="I165" s="26">
        <v>10948692</v>
      </c>
      <c r="J165" s="26">
        <v>2209311</v>
      </c>
      <c r="K165" s="26">
        <v>17109</v>
      </c>
      <c r="L165" s="26">
        <v>1900000</v>
      </c>
      <c r="M165" s="26">
        <v>0</v>
      </c>
      <c r="N165" s="26">
        <v>43300000</v>
      </c>
      <c r="O165" s="26">
        <v>0</v>
      </c>
      <c r="P165" s="26">
        <v>187000</v>
      </c>
      <c r="Q165" s="26">
        <v>17000</v>
      </c>
      <c r="R165" s="26">
        <v>51692176</v>
      </c>
      <c r="S165" s="26">
        <v>6232991</v>
      </c>
      <c r="T165" s="26">
        <v>908892</v>
      </c>
      <c r="U165" s="26">
        <v>74523</v>
      </c>
      <c r="V165" s="26">
        <v>274496</v>
      </c>
      <c r="W165" s="26">
        <v>1479</v>
      </c>
      <c r="X165" s="26">
        <v>297</v>
      </c>
      <c r="Y165" s="26" t="s">
        <v>31</v>
      </c>
      <c r="Z165" s="26" t="s">
        <v>31</v>
      </c>
      <c r="AA165" s="26">
        <v>1511128</v>
      </c>
      <c r="AB165" s="26">
        <v>92299</v>
      </c>
      <c r="AC165" s="26" t="s">
        <v>31</v>
      </c>
      <c r="AD165" s="26" t="s">
        <v>31</v>
      </c>
      <c r="AE165" s="26" t="s">
        <v>31</v>
      </c>
      <c r="AF165" s="26" t="s">
        <v>31</v>
      </c>
      <c r="AG165" s="26">
        <v>1690</v>
      </c>
      <c r="AH165" s="26">
        <v>187</v>
      </c>
    </row>
    <row r="166" spans="1:34" x14ac:dyDescent="0.2">
      <c r="A166" s="10">
        <f t="shared" ref="A166:A176" si="8">YEAR(E166)</f>
        <v>2025</v>
      </c>
      <c r="B166" s="10">
        <f t="shared" ref="B166:B176" si="9">MONTH(E166)</f>
        <v>9</v>
      </c>
      <c r="D166" s="10" t="s">
        <v>49</v>
      </c>
      <c r="E166" s="25" t="d">
        <v>2025-09-01</v>
      </c>
      <c r="F166" s="26">
        <v>835904</v>
      </c>
      <c r="G166" s="26">
        <v>99162</v>
      </c>
      <c r="H166" s="26">
        <v>139607093</v>
      </c>
      <c r="I166" s="26">
        <v>10077619</v>
      </c>
      <c r="J166" s="26">
        <v>2549182</v>
      </c>
      <c r="K166" s="26">
        <v>339871</v>
      </c>
      <c r="L166" s="26">
        <v>2700000</v>
      </c>
      <c r="M166" s="26">
        <v>800000</v>
      </c>
      <c r="N166" s="26">
        <v>65200000</v>
      </c>
      <c r="O166" s="26">
        <v>21900000</v>
      </c>
      <c r="P166" s="26">
        <v>207000</v>
      </c>
      <c r="Q166" s="26">
        <v>20000</v>
      </c>
      <c r="R166" s="26">
        <v>58417476</v>
      </c>
      <c r="S166" s="26">
        <v>6047768</v>
      </c>
      <c r="T166" s="26">
        <v>980170</v>
      </c>
      <c r="U166" s="26">
        <v>71278</v>
      </c>
      <c r="V166" s="26">
        <v>367535</v>
      </c>
      <c r="W166" s="26">
        <v>2071</v>
      </c>
      <c r="X166" s="26">
        <v>592</v>
      </c>
      <c r="Y166" s="26" t="s">
        <v>31</v>
      </c>
      <c r="Z166" s="26" t="s">
        <v>31</v>
      </c>
      <c r="AA166" s="26">
        <v>1577499</v>
      </c>
      <c r="AB166" s="26">
        <v>66371</v>
      </c>
      <c r="AC166" s="26" t="s">
        <v>31</v>
      </c>
      <c r="AD166" s="26" t="s">
        <v>31</v>
      </c>
      <c r="AE166" s="26" t="s">
        <v>31</v>
      </c>
      <c r="AF166" s="26" t="s">
        <v>31</v>
      </c>
      <c r="AG166" s="26">
        <v>1886</v>
      </c>
      <c r="AH166" s="26">
        <v>196</v>
      </c>
    </row>
    <row r="167" spans="1:34" x14ac:dyDescent="0.2">
      <c r="A167" s="10">
        <f t="shared" si="8"/>
        <v>2025</v>
      </c>
      <c r="B167" s="10">
        <f t="shared" si="9"/>
        <v>10</v>
      </c>
      <c r="D167" s="10" t="s">
        <v>49</v>
      </c>
      <c r="E167" s="25" t="d">
        <v>2025-10-01</v>
      </c>
      <c r="F167" s="26">
        <v>943070</v>
      </c>
      <c r="G167" s="26">
        <v>107166</v>
      </c>
      <c r="H167" s="26">
        <v>161727744</v>
      </c>
      <c r="I167" s="26">
        <v>21969189</v>
      </c>
      <c r="J167" s="26">
        <v>3047530</v>
      </c>
      <c r="K167" s="26">
        <v>498348</v>
      </c>
      <c r="L167" s="26">
        <v>2800000</v>
      </c>
      <c r="M167" s="26">
        <v>100000</v>
      </c>
      <c r="N167" s="26">
        <v>65600000</v>
      </c>
      <c r="O167" s="26">
        <v>400000</v>
      </c>
      <c r="P167" s="26">
        <v>229000</v>
      </c>
      <c r="Q167" s="26">
        <v>22000</v>
      </c>
      <c r="R167" s="26">
        <v>66021693</v>
      </c>
      <c r="S167" s="26">
        <v>7420304</v>
      </c>
      <c r="T167" s="26">
        <v>1024726</v>
      </c>
      <c r="U167" s="26">
        <v>44556</v>
      </c>
      <c r="V167" s="26">
        <v>222255</v>
      </c>
      <c r="W167" s="26">
        <v>2970</v>
      </c>
      <c r="X167" s="26">
        <v>899</v>
      </c>
      <c r="Y167" s="26" t="s">
        <v>31</v>
      </c>
      <c r="Z167" s="26" t="s">
        <v>31</v>
      </c>
      <c r="AA167" s="26">
        <v>1647960</v>
      </c>
      <c r="AB167" s="26">
        <v>70461</v>
      </c>
      <c r="AC167" s="26" t="s">
        <v>31</v>
      </c>
      <c r="AD167" s="26" t="s">
        <v>31</v>
      </c>
      <c r="AE167" s="26" t="s">
        <v>31</v>
      </c>
      <c r="AF167" s="26" t="s">
        <v>31</v>
      </c>
      <c r="AG167" s="26">
        <v>2077</v>
      </c>
      <c r="AH167" s="26">
        <v>191</v>
      </c>
    </row>
    <row r="168" spans="1:34" x14ac:dyDescent="0.2">
      <c r="A168" s="10">
        <f t="shared" si="8"/>
        <v>2025</v>
      </c>
      <c r="B168" s="10">
        <f t="shared" si="9"/>
        <v>11</v>
      </c>
      <c r="D168" s="10" t="s">
        <v>49</v>
      </c>
      <c r="E168" s="25" t="d">
        <v>2025-11-01</v>
      </c>
      <c r="F168" s="26">
        <v>1041137</v>
      </c>
      <c r="G168" s="26">
        <v>98067</v>
      </c>
      <c r="H168" s="26">
        <v>181332691</v>
      </c>
      <c r="I168" s="26">
        <v>19112085</v>
      </c>
      <c r="J168" s="26">
        <v>3293971</v>
      </c>
      <c r="K168" s="26">
        <v>246441</v>
      </c>
      <c r="L168" s="26">
        <v>2900000</v>
      </c>
      <c r="M168" s="26">
        <v>100000</v>
      </c>
      <c r="N168" s="26">
        <v>69600000</v>
      </c>
      <c r="O168" s="26">
        <v>4000000</v>
      </c>
      <c r="P168" s="26">
        <v>253000</v>
      </c>
      <c r="Q168" s="26">
        <v>24000</v>
      </c>
      <c r="R168" s="26">
        <v>74933447</v>
      </c>
      <c r="S168" s="26">
        <v>8744692</v>
      </c>
      <c r="T168" s="26">
        <v>1072551</v>
      </c>
      <c r="U168" s="26">
        <v>47825</v>
      </c>
      <c r="V168" s="26">
        <v>188160</v>
      </c>
      <c r="W168" s="26">
        <v>3853</v>
      </c>
      <c r="X168" s="26">
        <v>912</v>
      </c>
      <c r="Y168" s="26" t="s">
        <v>31</v>
      </c>
      <c r="Z168" s="26" t="s">
        <v>31</v>
      </c>
      <c r="AA168" s="26">
        <v>1734914</v>
      </c>
      <c r="AB168" s="26">
        <v>86954</v>
      </c>
      <c r="AC168" s="26" t="s">
        <v>31</v>
      </c>
      <c r="AD168" s="26" t="s">
        <v>31</v>
      </c>
      <c r="AE168" s="26" t="s">
        <v>31</v>
      </c>
      <c r="AF168" s="26" t="s">
        <v>31</v>
      </c>
      <c r="AG168" s="26">
        <v>2265</v>
      </c>
      <c r="AH168" s="26">
        <v>188</v>
      </c>
    </row>
    <row r="169" spans="1:34" x14ac:dyDescent="0.2">
      <c r="A169" s="10">
        <f t="shared" si="8"/>
        <v>2025</v>
      </c>
      <c r="B169" s="10">
        <f t="shared" si="9"/>
        <v>12</v>
      </c>
      <c r="D169" s="10" t="s">
        <v>49</v>
      </c>
      <c r="E169" s="25" t="d">
        <v>2025-12-01</v>
      </c>
      <c r="F169" s="26">
        <v>1126068</v>
      </c>
      <c r="G169" s="26">
        <v>84931</v>
      </c>
      <c r="H169" s="26">
        <v>197925979</v>
      </c>
      <c r="I169" s="26">
        <v>16471775</v>
      </c>
      <c r="J169" s="26">
        <v>3167706</v>
      </c>
      <c r="K169" s="26">
        <v>-126265</v>
      </c>
      <c r="L169" s="26">
        <v>3000000</v>
      </c>
      <c r="M169" s="26">
        <v>100000</v>
      </c>
      <c r="N169" s="26">
        <v>71200000</v>
      </c>
      <c r="O169" s="26">
        <v>1600000</v>
      </c>
      <c r="P169" s="26">
        <v>274000</v>
      </c>
      <c r="Q169" s="26">
        <v>21000</v>
      </c>
      <c r="R169" s="26">
        <v>83703851</v>
      </c>
      <c r="S169" s="26">
        <v>8701514</v>
      </c>
      <c r="T169" s="26">
        <v>1110381</v>
      </c>
      <c r="U169" s="26">
        <v>37830</v>
      </c>
      <c r="V169" s="26">
        <v>333126</v>
      </c>
      <c r="W169" s="26">
        <v>4402</v>
      </c>
      <c r="X169" s="26">
        <v>549</v>
      </c>
      <c r="Y169" s="26" t="s">
        <v>31</v>
      </c>
      <c r="Z169" s="26" t="s">
        <v>31</v>
      </c>
      <c r="AA169" s="26">
        <v>1813201</v>
      </c>
      <c r="AB169" s="26">
        <v>78287</v>
      </c>
      <c r="AC169" s="26" t="s">
        <v>31</v>
      </c>
      <c r="AD169" s="26" t="s">
        <v>31</v>
      </c>
      <c r="AE169" s="26" t="s">
        <v>31</v>
      </c>
      <c r="AF169" s="26" t="s">
        <v>31</v>
      </c>
      <c r="AG169" s="26">
        <v>2466</v>
      </c>
      <c r="AH169" s="26">
        <v>201</v>
      </c>
    </row>
    <row r="170" spans="1:34" x14ac:dyDescent="0.2">
      <c r="A170" s="10">
        <f t="shared" si="8"/>
        <v>2026</v>
      </c>
      <c r="B170" s="10">
        <f t="shared" si="9"/>
        <v>1</v>
      </c>
      <c r="D170" s="10" t="s">
        <v>49</v>
      </c>
      <c r="E170" s="25" t="d">
        <v>2026-01-01</v>
      </c>
      <c r="F170" s="26">
        <v>1255496</v>
      </c>
      <c r="G170" s="26">
        <v>129428</v>
      </c>
      <c r="H170" s="26">
        <v>215925503</v>
      </c>
      <c r="I170" s="26">
        <v>17998240</v>
      </c>
      <c r="J170" s="26">
        <v>3447060</v>
      </c>
      <c r="K170" s="26">
        <v>279354</v>
      </c>
      <c r="L170" s="26">
        <v>3040000</v>
      </c>
      <c r="M170" s="26">
        <v>40000</v>
      </c>
      <c r="N170" s="26">
        <v>72600000</v>
      </c>
      <c r="O170" s="26">
        <v>1400000</v>
      </c>
      <c r="P170" s="26">
        <v>296000</v>
      </c>
      <c r="Q170" s="26">
        <v>22000</v>
      </c>
      <c r="R170" s="26">
        <v>94628929</v>
      </c>
      <c r="S170" s="26">
        <v>10742675</v>
      </c>
      <c r="T170" s="26">
        <v>1156615</v>
      </c>
      <c r="U170" s="26">
        <v>46234</v>
      </c>
      <c r="V170" s="26">
        <v>389455</v>
      </c>
      <c r="W170" s="26">
        <v>4976</v>
      </c>
      <c r="X170" s="26">
        <v>574</v>
      </c>
      <c r="Y170" s="26" t="s">
        <v>31</v>
      </c>
      <c r="Z170" s="26" t="s">
        <v>31</v>
      </c>
      <c r="AA170" s="26">
        <v>1914179</v>
      </c>
      <c r="AB170" s="26">
        <v>100978</v>
      </c>
      <c r="AC170" s="26" t="s">
        <v>31</v>
      </c>
      <c r="AD170" s="26" t="s">
        <v>31</v>
      </c>
      <c r="AE170" s="26" t="s">
        <v>31</v>
      </c>
      <c r="AF170" s="26" t="s">
        <v>31</v>
      </c>
      <c r="AG170" s="26">
        <v>2672</v>
      </c>
      <c r="AH170" s="26">
        <v>206</v>
      </c>
    </row>
    <row r="171" spans="1:34" x14ac:dyDescent="0.2">
      <c r="A171" s="10">
        <f t="shared" si="8"/>
        <v>2026</v>
      </c>
      <c r="B171" s="10">
        <f t="shared" si="9"/>
        <v>2</v>
      </c>
      <c r="D171" s="10" t="s">
        <v>49</v>
      </c>
      <c r="E171" s="25" t="d">
        <v>2026-02-01</v>
      </c>
      <c r="F171" s="26">
        <v>1339190</v>
      </c>
      <c r="G171" s="26">
        <v>83694</v>
      </c>
      <c r="H171" s="26">
        <v>228238900</v>
      </c>
      <c r="I171" s="26">
        <v>12313440</v>
      </c>
      <c r="J171" s="26">
        <v>2615929</v>
      </c>
      <c r="K171" s="26">
        <v>-831131</v>
      </c>
      <c r="L171" s="26">
        <v>3150000</v>
      </c>
      <c r="M171" s="26">
        <v>110000</v>
      </c>
      <c r="N171" s="26">
        <v>72600000</v>
      </c>
      <c r="O171" s="26">
        <v>0</v>
      </c>
      <c r="P171" s="26">
        <v>309000</v>
      </c>
      <c r="Q171" s="26">
        <v>13000</v>
      </c>
      <c r="R171" s="26">
        <v>101317124</v>
      </c>
      <c r="S171" s="26">
        <v>6607382</v>
      </c>
      <c r="T171" s="26">
        <v>1195802</v>
      </c>
      <c r="U171" s="26">
        <v>39187</v>
      </c>
      <c r="V171" s="26">
        <v>273102</v>
      </c>
      <c r="W171" s="26">
        <v>5432</v>
      </c>
      <c r="X171" s="26">
        <v>456</v>
      </c>
      <c r="Y171" s="26" t="s">
        <v>31</v>
      </c>
      <c r="Z171" s="26" t="s">
        <v>31</v>
      </c>
      <c r="AA171" s="26">
        <v>1988566</v>
      </c>
      <c r="AB171" s="26">
        <v>74387</v>
      </c>
      <c r="AC171" s="26" t="s">
        <v>31</v>
      </c>
      <c r="AD171" s="26" t="s">
        <v>31</v>
      </c>
      <c r="AE171" s="26" t="s">
        <v>31</v>
      </c>
      <c r="AF171" s="26" t="s">
        <v>31</v>
      </c>
      <c r="AG171" s="26">
        <v>2805</v>
      </c>
      <c r="AH171" s="26">
        <v>133</v>
      </c>
    </row>
    <row r="172" spans="1:34" x14ac:dyDescent="0.2">
      <c r="A172" s="10">
        <f t="shared" si="8"/>
        <v>2026</v>
      </c>
      <c r="B172" s="10">
        <f t="shared" si="9"/>
        <v>3</v>
      </c>
      <c r="D172" s="10" t="s">
        <v>49</v>
      </c>
      <c r="E172" s="25" t="d">
        <v>2026-03-01</v>
      </c>
      <c r="F172" s="26">
        <v>1412040</v>
      </c>
      <c r="G172" s="26">
        <v>72850</v>
      </c>
      <c r="H172" s="26">
        <v>236607719</v>
      </c>
      <c r="I172" s="26">
        <v>8297045</v>
      </c>
      <c r="J172" s="26">
        <v>2286194</v>
      </c>
      <c r="K172" s="26">
        <v>-329735</v>
      </c>
      <c r="L172" s="26">
        <v>3200000</v>
      </c>
      <c r="M172" s="26">
        <v>50000</v>
      </c>
      <c r="N172" s="26">
        <v>72600000</v>
      </c>
      <c r="O172" s="26">
        <v>0</v>
      </c>
      <c r="P172" s="26">
        <v>320000</v>
      </c>
      <c r="Q172" s="26">
        <v>11000</v>
      </c>
      <c r="R172" s="26">
        <v>106428633</v>
      </c>
      <c r="S172" s="26">
        <v>4926086</v>
      </c>
      <c r="T172" s="26">
        <v>1229397</v>
      </c>
      <c r="U172" s="26">
        <v>33595</v>
      </c>
      <c r="V172" s="26">
        <v>479978</v>
      </c>
      <c r="W172" s="26">
        <v>5839</v>
      </c>
      <c r="X172" s="26">
        <v>407</v>
      </c>
      <c r="Y172" s="26" t="s">
        <v>31</v>
      </c>
      <c r="Z172" s="26" t="s">
        <v>31</v>
      </c>
      <c r="AA172" s="26">
        <v>2057963</v>
      </c>
      <c r="AB172" s="26">
        <v>69397</v>
      </c>
      <c r="AC172" s="26" t="s">
        <v>31</v>
      </c>
      <c r="AD172" s="26" t="s">
        <v>31</v>
      </c>
      <c r="AE172" s="26" t="s">
        <v>31</v>
      </c>
      <c r="AF172" s="26" t="s">
        <v>31</v>
      </c>
      <c r="AG172" s="26">
        <v>2939</v>
      </c>
      <c r="AH172" s="26">
        <v>134</v>
      </c>
    </row>
    <row r="173" spans="1:34" x14ac:dyDescent="0.2">
      <c r="A173" s="10">
        <f t="shared" si="8"/>
        <v>2026</v>
      </c>
      <c r="B173" s="10">
        <f t="shared" si="9"/>
        <v>4</v>
      </c>
      <c r="D173" s="10" t="s">
        <v>49</v>
      </c>
      <c r="E173" s="25" t="d">
        <v>2026-04-01</v>
      </c>
      <c r="F173" s="26">
        <v>1500888</v>
      </c>
      <c r="G173" s="26">
        <v>88848</v>
      </c>
      <c r="H173" s="26">
        <v>245103082</v>
      </c>
      <c r="I173" s="26">
        <v>8535493</v>
      </c>
      <c r="J173" s="26">
        <v>2200482</v>
      </c>
      <c r="K173" s="26">
        <v>-85712</v>
      </c>
      <c r="L173" s="26">
        <v>3244126</v>
      </c>
      <c r="M173" s="26">
        <v>31790</v>
      </c>
      <c r="N173" s="26">
        <v>77659849</v>
      </c>
      <c r="O173" s="26">
        <v>410385</v>
      </c>
      <c r="P173" s="26">
        <v>330000</v>
      </c>
      <c r="Q173" s="26">
        <v>10000</v>
      </c>
      <c r="R173" s="26">
        <v>112060020</v>
      </c>
      <c r="S173" s="26">
        <v>5501361</v>
      </c>
      <c r="T173" s="26">
        <v>1251232</v>
      </c>
      <c r="U173" s="26">
        <v>21835</v>
      </c>
      <c r="V173" s="26">
        <v>213428</v>
      </c>
      <c r="W173" s="26">
        <v>6243</v>
      </c>
      <c r="X173" s="26">
        <v>404</v>
      </c>
      <c r="Y173" s="26">
        <v>10461244</v>
      </c>
      <c r="Z173" s="26">
        <v>95303</v>
      </c>
      <c r="AA173" s="26">
        <v>2128941</v>
      </c>
      <c r="AB173" s="26">
        <v>70978</v>
      </c>
      <c r="AC173" s="26" t="s">
        <v>31</v>
      </c>
      <c r="AD173" s="26" t="s">
        <v>31</v>
      </c>
      <c r="AE173" s="26" t="s">
        <v>31</v>
      </c>
      <c r="AF173" s="26" t="s">
        <v>31</v>
      </c>
      <c r="AG173" s="26">
        <v>3137</v>
      </c>
      <c r="AH173" s="26">
        <v>198</v>
      </c>
    </row>
    <row r="174" spans="1:34" x14ac:dyDescent="0.2">
      <c r="A174" s="10">
        <f t="shared" si="8"/>
        <v>2026</v>
      </c>
      <c r="B174" s="10">
        <f t="shared" si="9"/>
        <v>5</v>
      </c>
      <c r="D174" s="10" t="s">
        <v>49</v>
      </c>
      <c r="E174" s="25" t="d">
        <v>2026-05-01</v>
      </c>
      <c r="F174" s="26">
        <v>1564098</v>
      </c>
      <c r="G174" s="26">
        <v>63210</v>
      </c>
      <c r="H174" s="26">
        <v>254314841</v>
      </c>
      <c r="I174" s="26">
        <v>9063751</v>
      </c>
      <c r="J174" s="26">
        <v>2264738</v>
      </c>
      <c r="K174" s="26">
        <v>64256</v>
      </c>
      <c r="L174" s="26">
        <v>3283334</v>
      </c>
      <c r="M174" s="26">
        <v>39208</v>
      </c>
      <c r="N174" s="26">
        <v>78938057</v>
      </c>
      <c r="O174" s="26">
        <v>1278208</v>
      </c>
      <c r="P174" s="26">
        <v>340000</v>
      </c>
      <c r="Q174" s="26">
        <v>10000</v>
      </c>
      <c r="R174" s="26">
        <v>117360628</v>
      </c>
      <c r="S174" s="26">
        <v>5042990</v>
      </c>
      <c r="T174" s="26">
        <v>1279507</v>
      </c>
      <c r="U174" s="26">
        <v>28275</v>
      </c>
      <c r="V174" s="26">
        <v>375290</v>
      </c>
      <c r="W174" s="26">
        <v>6669</v>
      </c>
      <c r="X174" s="26">
        <v>426</v>
      </c>
      <c r="Y174" s="26">
        <v>10464615</v>
      </c>
      <c r="Z174" s="26">
        <v>3371</v>
      </c>
      <c r="AA174" s="26">
        <v>2199176</v>
      </c>
      <c r="AB174" s="26">
        <v>70235</v>
      </c>
      <c r="AC174" s="26" t="s">
        <v>31</v>
      </c>
      <c r="AD174" s="26" t="s">
        <v>31</v>
      </c>
      <c r="AE174" s="26" t="s">
        <v>31</v>
      </c>
      <c r="AF174" s="26" t="s">
        <v>31</v>
      </c>
      <c r="AG174" s="26">
        <v>3305</v>
      </c>
      <c r="AH174" s="26">
        <v>168</v>
      </c>
    </row>
    <row r="175" spans="1:34" x14ac:dyDescent="0.2">
      <c r="A175" s="10">
        <f t="shared" si="8"/>
        <v>2026</v>
      </c>
      <c r="B175" s="10">
        <f t="shared" si="9"/>
        <v>6</v>
      </c>
      <c r="D175" s="10" t="s">
        <v>49</v>
      </c>
      <c r="E175" s="25" t="d">
        <v>2026-06-01</v>
      </c>
      <c r="F175" s="26">
        <v>1634196</v>
      </c>
      <c r="G175" s="26">
        <v>70098</v>
      </c>
      <c r="H175" s="26">
        <v>263362547</v>
      </c>
      <c r="I175" s="26">
        <v>8978093</v>
      </c>
      <c r="J175" s="26">
        <v>2136262</v>
      </c>
      <c r="K175" s="26">
        <v>-128476</v>
      </c>
      <c r="L175" s="26">
        <v>3326547</v>
      </c>
      <c r="M175" s="26">
        <v>43213</v>
      </c>
      <c r="N175" s="26">
        <v>80236439</v>
      </c>
      <c r="O175" s="26">
        <v>1298382</v>
      </c>
      <c r="P175" s="26">
        <v>351000</v>
      </c>
      <c r="Q175" s="26">
        <v>11000</v>
      </c>
      <c r="R175" s="26">
        <v>122285428</v>
      </c>
      <c r="S175" s="26">
        <v>4868124</v>
      </c>
      <c r="T175" s="26">
        <v>1300044</v>
      </c>
      <c r="U175" s="26">
        <v>20537</v>
      </c>
      <c r="V175" s="26">
        <v>251083</v>
      </c>
      <c r="W175" s="26">
        <v>7037</v>
      </c>
      <c r="X175" s="26">
        <v>368</v>
      </c>
      <c r="Y175" s="26">
        <v>10777178</v>
      </c>
      <c r="Z175" s="26">
        <v>312563</v>
      </c>
      <c r="AA175" s="26">
        <v>2255592</v>
      </c>
      <c r="AB175" s="26">
        <v>56416</v>
      </c>
      <c r="AC175" s="26" t="s">
        <v>31</v>
      </c>
      <c r="AD175" s="26" t="s">
        <v>31</v>
      </c>
      <c r="AE175" s="26" t="s">
        <v>31</v>
      </c>
      <c r="AF175" s="26" t="s">
        <v>31</v>
      </c>
      <c r="AG175" s="26">
        <v>3484</v>
      </c>
      <c r="AH175" s="26">
        <v>179</v>
      </c>
    </row>
    <row r="176" spans="1:34" x14ac:dyDescent="0.2">
      <c r="A176" s="10">
        <f t="shared" si="8"/>
        <v>2026</v>
      </c>
      <c r="B176" s="10">
        <f t="shared" si="9"/>
        <v>7</v>
      </c>
      <c r="D176" s="10" t="s">
        <v>49</v>
      </c>
      <c r="E176" s="25" t="d">
        <v>2026-07-01</v>
      </c>
      <c r="F176" s="26">
        <v>1691439</v>
      </c>
      <c r="G176" s="26">
        <v>57243</v>
      </c>
      <c r="H176" s="26">
        <v>271481212</v>
      </c>
      <c r="I176" s="26">
        <v>8107183</v>
      </c>
      <c r="J176" s="26">
        <v>2014789</v>
      </c>
      <c r="K176" s="26">
        <v>-121473</v>
      </c>
      <c r="L176" s="26">
        <v>3386242</v>
      </c>
      <c r="M176" s="26">
        <v>59695</v>
      </c>
      <c r="N176" s="26">
        <v>82634371</v>
      </c>
      <c r="O176" s="26">
        <v>2397932</v>
      </c>
      <c r="P176" s="26">
        <v>365000</v>
      </c>
      <c r="Q176" s="26">
        <v>14000</v>
      </c>
      <c r="R176" s="26">
        <v>128930678</v>
      </c>
      <c r="S176" s="26">
        <v>6389620</v>
      </c>
      <c r="T176" s="26">
        <v>1310855</v>
      </c>
      <c r="U176" s="26">
        <v>10811</v>
      </c>
      <c r="V176" s="26">
        <v>265079</v>
      </c>
      <c r="W176" s="26">
        <v>7309</v>
      </c>
      <c r="X176" s="26">
        <v>272</v>
      </c>
      <c r="Y176" s="26">
        <v>10884926</v>
      </c>
      <c r="Z176" s="26">
        <v>107748</v>
      </c>
      <c r="AA176" s="26">
        <v>2297913</v>
      </c>
      <c r="AB176" s="26">
        <v>42321</v>
      </c>
      <c r="AC176" s="26" t="s">
        <v>31</v>
      </c>
      <c r="AD176" s="26" t="s">
        <v>31</v>
      </c>
      <c r="AE176" s="26" t="s">
        <v>31</v>
      </c>
      <c r="AF176" s="26" t="s">
        <v>31</v>
      </c>
      <c r="AG176" s="26">
        <v>3632</v>
      </c>
      <c r="AH176" s="26">
        <v>148</v>
      </c>
    </row>
    <row r="177" spans="1:34" x14ac:dyDescent="0.2">
      <c r="A177" s="10">
        <f t="shared" ref="A177:A201" si="10">YEAR(E177)</f>
        <v>2024</v>
      </c>
      <c r="B177" s="10">
        <f t="shared" ref="B177:B201" si="11">MONTH(E177)</f>
        <v>7</v>
      </c>
      <c r="D177" s="10" t="s">
        <v>56</v>
      </c>
      <c r="E177" s="25" t="d">
        <v>2024-07-01</v>
      </c>
      <c r="F177" s="26">
        <v>583594</v>
      </c>
      <c r="G177" s="26">
        <v>33005</v>
      </c>
      <c r="H177" s="26">
        <v>74458074</v>
      </c>
      <c r="I177" s="26">
        <v>5788423</v>
      </c>
      <c r="J177" s="26">
        <v>1538333</v>
      </c>
      <c r="K177" s="26">
        <v>40716</v>
      </c>
      <c r="L177" s="26">
        <v>2300000</v>
      </c>
      <c r="M177" s="26">
        <v>100000</v>
      </c>
      <c r="N177" s="26">
        <v>43900000</v>
      </c>
      <c r="O177" s="26">
        <v>2700000</v>
      </c>
      <c r="P177" s="26">
        <v>251000</v>
      </c>
      <c r="Q177" s="26">
        <v>23000</v>
      </c>
      <c r="R177" s="26">
        <v>48390433</v>
      </c>
      <c r="S177" s="26">
        <v>5946468</v>
      </c>
      <c r="T177" s="26">
        <v>2688092</v>
      </c>
      <c r="U177" s="26">
        <v>67100</v>
      </c>
      <c r="V177" s="26">
        <v>1759000</v>
      </c>
      <c r="W177" s="26">
        <v>1782</v>
      </c>
      <c r="X177" s="26">
        <v>141</v>
      </c>
      <c r="Y177" s="26" t="s">
        <v>31</v>
      </c>
      <c r="Z177" s="26" t="s">
        <v>31</v>
      </c>
      <c r="AA177" s="26">
        <v>36707</v>
      </c>
      <c r="AB177" s="26">
        <v>-73</v>
      </c>
      <c r="AC177" s="26">
        <v>5956</v>
      </c>
      <c r="AD177" s="26">
        <v>323</v>
      </c>
      <c r="AE177" s="26" t="s">
        <v>31</v>
      </c>
      <c r="AF177" s="26" t="s">
        <v>31</v>
      </c>
      <c r="AG177" s="26">
        <v>6462</v>
      </c>
      <c r="AH177" s="26">
        <v>198</v>
      </c>
    </row>
    <row r="178" spans="1:34" x14ac:dyDescent="0.2">
      <c r="A178" s="10">
        <f t="shared" si="10"/>
        <v>2024</v>
      </c>
      <c r="B178" s="10">
        <f t="shared" si="11"/>
        <v>8</v>
      </c>
      <c r="D178" s="10" t="s">
        <v>56</v>
      </c>
      <c r="E178" s="25" t="d">
        <v>2024-08-01</v>
      </c>
      <c r="F178" s="26">
        <v>625434</v>
      </c>
      <c r="G178" s="26">
        <v>41840</v>
      </c>
      <c r="H178" s="26">
        <v>79567691</v>
      </c>
      <c r="I178" s="26">
        <v>5109617</v>
      </c>
      <c r="J178" s="26">
        <v>1444935</v>
      </c>
      <c r="K178" s="26">
        <v>-93398</v>
      </c>
      <c r="L178" s="26">
        <v>2400000</v>
      </c>
      <c r="M178" s="26">
        <v>100000</v>
      </c>
      <c r="N178" s="26">
        <v>47600000</v>
      </c>
      <c r="O178" s="26">
        <v>3700000</v>
      </c>
      <c r="P178" s="26">
        <v>269000</v>
      </c>
      <c r="Q178" s="26">
        <v>18000</v>
      </c>
      <c r="R178" s="26">
        <v>53613305</v>
      </c>
      <c r="S178" s="26">
        <v>5221854</v>
      </c>
      <c r="T178" s="26">
        <v>2749707</v>
      </c>
      <c r="U178" s="26">
        <v>61615</v>
      </c>
      <c r="V178" s="26">
        <v>1674000</v>
      </c>
      <c r="W178" s="26">
        <v>1918</v>
      </c>
      <c r="X178" s="26">
        <v>136</v>
      </c>
      <c r="Y178" s="26" t="s">
        <v>31</v>
      </c>
      <c r="Z178" s="26" t="s">
        <v>31</v>
      </c>
      <c r="AA178" s="26">
        <v>36653</v>
      </c>
      <c r="AB178" s="26">
        <v>-54</v>
      </c>
      <c r="AC178" s="26">
        <v>6292</v>
      </c>
      <c r="AD178" s="26">
        <v>336</v>
      </c>
      <c r="AE178" s="26" t="s">
        <v>31</v>
      </c>
      <c r="AF178" s="26" t="s">
        <v>31</v>
      </c>
      <c r="AG178" s="26">
        <v>6663</v>
      </c>
      <c r="AH178" s="26">
        <v>201</v>
      </c>
    </row>
    <row r="179" spans="1:34" x14ac:dyDescent="0.2">
      <c r="A179" s="10">
        <f t="shared" si="10"/>
        <v>2024</v>
      </c>
      <c r="B179" s="10">
        <f t="shared" si="11"/>
        <v>9</v>
      </c>
      <c r="D179" s="10" t="s">
        <v>56</v>
      </c>
      <c r="E179" s="25" t="d">
        <v>2024-09-01</v>
      </c>
      <c r="F179" s="26">
        <v>684994</v>
      </c>
      <c r="G179" s="26">
        <v>59560</v>
      </c>
      <c r="H179" s="26">
        <v>84337905</v>
      </c>
      <c r="I179" s="26">
        <v>4770214</v>
      </c>
      <c r="J179" s="26">
        <v>1433906</v>
      </c>
      <c r="K179" s="26">
        <v>-11029</v>
      </c>
      <c r="L179" s="26">
        <v>2500000</v>
      </c>
      <c r="M179" s="26">
        <v>100000</v>
      </c>
      <c r="N179" s="26">
        <v>51000000</v>
      </c>
      <c r="O179" s="26">
        <v>3400000</v>
      </c>
      <c r="P179" s="26">
        <v>285000</v>
      </c>
      <c r="Q179" s="26">
        <v>16000</v>
      </c>
      <c r="R179" s="26">
        <v>58681072</v>
      </c>
      <c r="S179" s="26">
        <v>5066008</v>
      </c>
      <c r="T179" s="26">
        <v>2776161</v>
      </c>
      <c r="U179" s="26">
        <v>26454</v>
      </c>
      <c r="V179" s="26">
        <v>667000</v>
      </c>
      <c r="W179" s="26">
        <v>2099</v>
      </c>
      <c r="X179" s="26">
        <v>181</v>
      </c>
      <c r="Y179" s="26" t="s">
        <v>31</v>
      </c>
      <c r="Z179" s="26" t="s">
        <v>31</v>
      </c>
      <c r="AA179" s="26">
        <v>36606</v>
      </c>
      <c r="AB179" s="26">
        <v>-47</v>
      </c>
      <c r="AC179" s="26">
        <v>6556</v>
      </c>
      <c r="AD179" s="26">
        <v>264</v>
      </c>
      <c r="AE179" s="26" t="s">
        <v>31</v>
      </c>
      <c r="AF179" s="26" t="s">
        <v>31</v>
      </c>
      <c r="AG179" s="26">
        <v>6850</v>
      </c>
      <c r="AH179" s="26">
        <v>187</v>
      </c>
    </row>
    <row r="180" spans="1:34" x14ac:dyDescent="0.2">
      <c r="A180" s="10">
        <f t="shared" si="10"/>
        <v>2024</v>
      </c>
      <c r="B180" s="10">
        <f t="shared" si="11"/>
        <v>10</v>
      </c>
      <c r="D180" s="10" t="s">
        <v>56</v>
      </c>
      <c r="E180" s="25" t="d">
        <v>2024-10-01</v>
      </c>
      <c r="F180" s="26">
        <v>756675</v>
      </c>
      <c r="G180" s="26">
        <v>71681</v>
      </c>
      <c r="H180" s="26">
        <v>89428911</v>
      </c>
      <c r="I180" s="26">
        <v>4950630</v>
      </c>
      <c r="J180" s="26">
        <v>1663655</v>
      </c>
      <c r="K180" s="26">
        <v>229749</v>
      </c>
      <c r="L180" s="26">
        <v>2560000</v>
      </c>
      <c r="M180" s="26">
        <v>60000</v>
      </c>
      <c r="N180" s="26">
        <v>51200000</v>
      </c>
      <c r="O180" s="26">
        <v>200000</v>
      </c>
      <c r="P180" s="26">
        <v>297000</v>
      </c>
      <c r="Q180" s="26">
        <v>12000</v>
      </c>
      <c r="R180" s="26">
        <v>62377190</v>
      </c>
      <c r="S180" s="26">
        <v>3696118</v>
      </c>
      <c r="T180" s="26">
        <v>2802415</v>
      </c>
      <c r="U180" s="26">
        <v>26254</v>
      </c>
      <c r="V180" s="26">
        <v>295226</v>
      </c>
      <c r="W180" s="26">
        <v>2246</v>
      </c>
      <c r="X180" s="26">
        <v>147</v>
      </c>
      <c r="Y180" s="26" t="s">
        <v>31</v>
      </c>
      <c r="Z180" s="26" t="s">
        <v>31</v>
      </c>
      <c r="AA180" s="26">
        <v>36593</v>
      </c>
      <c r="AB180" s="26">
        <v>-13</v>
      </c>
      <c r="AC180" s="26">
        <v>6805</v>
      </c>
      <c r="AD180" s="26">
        <v>249</v>
      </c>
      <c r="AE180" s="26" t="s">
        <v>31</v>
      </c>
      <c r="AF180" s="26" t="s">
        <v>31</v>
      </c>
      <c r="AG180" s="26">
        <v>7014</v>
      </c>
      <c r="AH180" s="26">
        <v>164</v>
      </c>
    </row>
    <row r="181" spans="1:34" x14ac:dyDescent="0.2">
      <c r="A181" s="10">
        <f t="shared" si="10"/>
        <v>2024</v>
      </c>
      <c r="B181" s="10">
        <f t="shared" si="11"/>
        <v>11</v>
      </c>
      <c r="D181" s="10" t="s">
        <v>56</v>
      </c>
      <c r="E181" s="25" t="d">
        <v>2024-11-01</v>
      </c>
      <c r="F181" s="26">
        <v>794553</v>
      </c>
      <c r="G181" s="26">
        <v>37878</v>
      </c>
      <c r="H181" s="26">
        <v>94720125</v>
      </c>
      <c r="I181" s="26">
        <v>5146634</v>
      </c>
      <c r="J181" s="26">
        <v>1772646</v>
      </c>
      <c r="K181" s="26">
        <v>108991</v>
      </c>
      <c r="L181" s="26">
        <v>2600000</v>
      </c>
      <c r="M181" s="26">
        <v>40000</v>
      </c>
      <c r="N181" s="26">
        <v>51200000</v>
      </c>
      <c r="O181" s="26">
        <v>0</v>
      </c>
      <c r="P181" s="26">
        <v>308000</v>
      </c>
      <c r="Q181" s="26">
        <v>11000</v>
      </c>
      <c r="R181" s="26">
        <v>66098409</v>
      </c>
      <c r="S181" s="26">
        <v>3476685</v>
      </c>
      <c r="T181" s="26">
        <v>2817487</v>
      </c>
      <c r="U181" s="26">
        <v>15072</v>
      </c>
      <c r="V181" s="26">
        <v>826207</v>
      </c>
      <c r="W181" s="26">
        <v>2385</v>
      </c>
      <c r="X181" s="26">
        <v>139</v>
      </c>
      <c r="Y181" s="26" t="s">
        <v>31</v>
      </c>
      <c r="Z181" s="26" t="s">
        <v>31</v>
      </c>
      <c r="AA181" s="26">
        <v>36503</v>
      </c>
      <c r="AB181" s="26">
        <v>-90</v>
      </c>
      <c r="AC181" s="26">
        <v>6992</v>
      </c>
      <c r="AD181" s="26">
        <v>187</v>
      </c>
      <c r="AE181" s="26">
        <v>1115621</v>
      </c>
      <c r="AF181" s="26">
        <v>1588</v>
      </c>
      <c r="AG181" s="26">
        <v>7202</v>
      </c>
      <c r="AH181" s="26">
        <v>188</v>
      </c>
    </row>
    <row r="182" spans="1:34" x14ac:dyDescent="0.2">
      <c r="A182" s="10">
        <f t="shared" si="10"/>
        <v>2024</v>
      </c>
      <c r="B182" s="10">
        <f t="shared" si="11"/>
        <v>12</v>
      </c>
      <c r="D182" s="10" t="s">
        <v>56</v>
      </c>
      <c r="E182" s="25" t="d">
        <v>2024-12-01</v>
      </c>
      <c r="F182" s="26">
        <v>832156</v>
      </c>
      <c r="G182" s="26">
        <v>37603</v>
      </c>
      <c r="H182" s="26">
        <v>99262558</v>
      </c>
      <c r="I182" s="26">
        <v>4541237</v>
      </c>
      <c r="J182" s="26">
        <v>1521093</v>
      </c>
      <c r="K182" s="26">
        <v>-251553</v>
      </c>
      <c r="L182" s="26">
        <v>2600000</v>
      </c>
      <c r="M182" s="26">
        <v>0</v>
      </c>
      <c r="N182" s="26">
        <v>55000000</v>
      </c>
      <c r="O182" s="26">
        <v>3800000</v>
      </c>
      <c r="P182" s="26">
        <v>316000</v>
      </c>
      <c r="Q182" s="26">
        <v>8000</v>
      </c>
      <c r="R182" s="26">
        <v>69064073</v>
      </c>
      <c r="S182" s="26">
        <v>2965664</v>
      </c>
      <c r="T182" s="26">
        <v>2847344</v>
      </c>
      <c r="U182" s="26">
        <v>29857</v>
      </c>
      <c r="V182" s="26">
        <v>703424</v>
      </c>
      <c r="W182" s="26">
        <v>2555</v>
      </c>
      <c r="X182" s="26">
        <v>170</v>
      </c>
      <c r="Y182" s="26" t="s">
        <v>31</v>
      </c>
      <c r="Z182" s="26" t="s">
        <v>31</v>
      </c>
      <c r="AA182" s="26">
        <v>36471</v>
      </c>
      <c r="AB182" s="26">
        <v>-32</v>
      </c>
      <c r="AC182" s="26">
        <v>7120</v>
      </c>
      <c r="AD182" s="26">
        <v>128</v>
      </c>
      <c r="AE182" s="26">
        <v>1160796</v>
      </c>
      <c r="AF182" s="26">
        <v>45175</v>
      </c>
      <c r="AG182" s="26">
        <v>7392</v>
      </c>
      <c r="AH182" s="26">
        <v>190</v>
      </c>
    </row>
    <row r="183" spans="1:34" x14ac:dyDescent="0.2">
      <c r="A183" s="10">
        <f t="shared" si="10"/>
        <v>2025</v>
      </c>
      <c r="B183" s="10">
        <f t="shared" si="11"/>
        <v>1</v>
      </c>
      <c r="D183" s="10" t="s">
        <v>56</v>
      </c>
      <c r="E183" s="25" t="d">
        <v>2025-01-01</v>
      </c>
      <c r="F183" s="26">
        <v>879597</v>
      </c>
      <c r="G183" s="26">
        <v>47441</v>
      </c>
      <c r="H183" s="26">
        <v>105349660</v>
      </c>
      <c r="I183" s="26">
        <v>5933780</v>
      </c>
      <c r="J183" s="26">
        <v>1816893</v>
      </c>
      <c r="K183" s="26">
        <v>295800</v>
      </c>
      <c r="L183" s="26">
        <v>2670000</v>
      </c>
      <c r="M183" s="26">
        <v>70000</v>
      </c>
      <c r="N183" s="26">
        <v>56700000</v>
      </c>
      <c r="O183" s="26">
        <v>1700000</v>
      </c>
      <c r="P183" s="26">
        <v>338000</v>
      </c>
      <c r="Q183" s="26">
        <v>22000</v>
      </c>
      <c r="R183" s="26">
        <v>74550890</v>
      </c>
      <c r="S183" s="26">
        <v>4538485</v>
      </c>
      <c r="T183" s="26">
        <v>2880105</v>
      </c>
      <c r="U183" s="26">
        <v>32761</v>
      </c>
      <c r="V183" s="26">
        <v>1545155</v>
      </c>
      <c r="W183" s="26">
        <v>2739</v>
      </c>
      <c r="X183" s="26">
        <v>184</v>
      </c>
      <c r="Y183" s="26" t="s">
        <v>31</v>
      </c>
      <c r="Z183" s="26" t="s">
        <v>31</v>
      </c>
      <c r="AA183" s="26">
        <v>36405</v>
      </c>
      <c r="AB183" s="26">
        <v>-66</v>
      </c>
      <c r="AC183" s="26">
        <v>7309</v>
      </c>
      <c r="AD183" s="26">
        <v>189</v>
      </c>
      <c r="AE183" s="26">
        <v>1219090</v>
      </c>
      <c r="AF183" s="26">
        <v>56470</v>
      </c>
      <c r="AG183" s="26">
        <v>7628</v>
      </c>
      <c r="AH183" s="26">
        <v>236</v>
      </c>
    </row>
    <row r="184" spans="1:34" x14ac:dyDescent="0.2">
      <c r="A184" s="10">
        <f t="shared" si="10"/>
        <v>2025</v>
      </c>
      <c r="B184" s="10">
        <f t="shared" si="11"/>
        <v>2</v>
      </c>
      <c r="D184" s="10" t="s">
        <v>56</v>
      </c>
      <c r="E184" s="25" t="d">
        <v>2025-02-01</v>
      </c>
      <c r="F184" s="26">
        <v>914859</v>
      </c>
      <c r="G184" s="26">
        <v>35262</v>
      </c>
      <c r="H184" s="26">
        <v>110502919</v>
      </c>
      <c r="I184" s="26">
        <v>5153259</v>
      </c>
      <c r="J184" s="26">
        <v>1429725</v>
      </c>
      <c r="K184" s="26">
        <v>-387168</v>
      </c>
      <c r="L184" s="26">
        <v>2730000</v>
      </c>
      <c r="M184" s="26">
        <v>60000</v>
      </c>
      <c r="N184" s="26">
        <v>59550000</v>
      </c>
      <c r="O184" s="26">
        <v>2850000</v>
      </c>
      <c r="P184" s="26">
        <v>349000</v>
      </c>
      <c r="Q184" s="26">
        <v>11000</v>
      </c>
      <c r="R184" s="26">
        <v>78107172</v>
      </c>
      <c r="S184" s="26">
        <v>3556282</v>
      </c>
      <c r="T184" s="26">
        <v>2893090</v>
      </c>
      <c r="U184" s="26">
        <v>12985</v>
      </c>
      <c r="V184" s="26">
        <v>725429</v>
      </c>
      <c r="W184" s="26">
        <v>2890</v>
      </c>
      <c r="X184" s="26">
        <v>151</v>
      </c>
      <c r="Y184" s="26" t="s">
        <v>31</v>
      </c>
      <c r="Z184" s="26" t="s">
        <v>31</v>
      </c>
      <c r="AA184" s="26">
        <v>36304</v>
      </c>
      <c r="AB184" s="26">
        <v>-101</v>
      </c>
      <c r="AC184" s="26">
        <v>7514</v>
      </c>
      <c r="AD184" s="26">
        <v>205</v>
      </c>
      <c r="AE184" s="26">
        <v>1276236</v>
      </c>
      <c r="AF184" s="26">
        <v>57146</v>
      </c>
      <c r="AG184" s="26">
        <v>7833</v>
      </c>
      <c r="AH184" s="26">
        <v>205</v>
      </c>
    </row>
    <row r="185" spans="1:34" x14ac:dyDescent="0.2">
      <c r="A185" s="10">
        <f t="shared" si="10"/>
        <v>2025</v>
      </c>
      <c r="B185" s="10">
        <f t="shared" si="11"/>
        <v>3</v>
      </c>
      <c r="D185" s="10" t="s">
        <v>56</v>
      </c>
      <c r="E185" s="25" t="d">
        <v>2025-03-01</v>
      </c>
      <c r="F185" s="26">
        <v>942162</v>
      </c>
      <c r="G185" s="26">
        <v>27303</v>
      </c>
      <c r="H185" s="26">
        <v>115160686</v>
      </c>
      <c r="I185" s="26">
        <v>4657767</v>
      </c>
      <c r="J185" s="26">
        <v>1423326</v>
      </c>
      <c r="K185" s="26">
        <v>-6399</v>
      </c>
      <c r="L185" s="26">
        <v>2730000</v>
      </c>
      <c r="M185" s="26">
        <v>0</v>
      </c>
      <c r="N185" s="26">
        <v>59550000</v>
      </c>
      <c r="O185" s="26">
        <v>0</v>
      </c>
      <c r="P185" s="26">
        <v>358000</v>
      </c>
      <c r="Q185" s="26">
        <v>9000</v>
      </c>
      <c r="R185" s="26">
        <v>80858479</v>
      </c>
      <c r="S185" s="26">
        <v>2751307</v>
      </c>
      <c r="T185" s="26">
        <v>2904206</v>
      </c>
      <c r="U185" s="26">
        <v>11116</v>
      </c>
      <c r="V185" s="26">
        <v>620118</v>
      </c>
      <c r="W185" s="26">
        <v>3000</v>
      </c>
      <c r="X185" s="26">
        <v>110</v>
      </c>
      <c r="Y185" s="26" t="s">
        <v>31</v>
      </c>
      <c r="Z185" s="26" t="s">
        <v>31</v>
      </c>
      <c r="AA185" s="26">
        <v>36224</v>
      </c>
      <c r="AB185" s="26">
        <v>-80</v>
      </c>
      <c r="AC185" s="26">
        <v>7657</v>
      </c>
      <c r="AD185" s="26">
        <v>143</v>
      </c>
      <c r="AE185" s="26">
        <v>1324780</v>
      </c>
      <c r="AF185" s="26">
        <v>48544</v>
      </c>
      <c r="AG185" s="26">
        <v>7979</v>
      </c>
      <c r="AH185" s="26">
        <v>146</v>
      </c>
    </row>
    <row r="186" spans="1:34" x14ac:dyDescent="0.2">
      <c r="A186" s="10">
        <f t="shared" si="10"/>
        <v>2025</v>
      </c>
      <c r="B186" s="10">
        <f t="shared" si="11"/>
        <v>4</v>
      </c>
      <c r="D186" s="10" t="s">
        <v>56</v>
      </c>
      <c r="E186" s="25" t="d">
        <v>2025-04-01</v>
      </c>
      <c r="F186" s="26">
        <v>977675</v>
      </c>
      <c r="G186" s="26">
        <v>35513</v>
      </c>
      <c r="H186" s="26">
        <v>120472111</v>
      </c>
      <c r="I186" s="26">
        <v>5311825</v>
      </c>
      <c r="J186" s="26">
        <v>1418802</v>
      </c>
      <c r="K186" s="26">
        <v>-4524</v>
      </c>
      <c r="L186" s="26">
        <v>2730000</v>
      </c>
      <c r="M186" s="26">
        <v>0</v>
      </c>
      <c r="N186" s="26">
        <v>59550000</v>
      </c>
      <c r="O186" s="26">
        <v>0</v>
      </c>
      <c r="P186" s="26">
        <v>369000</v>
      </c>
      <c r="Q186" s="26">
        <v>11000</v>
      </c>
      <c r="R186" s="26">
        <v>83781182</v>
      </c>
      <c r="S186" s="26">
        <v>2922703</v>
      </c>
      <c r="T186" s="26">
        <v>2925843</v>
      </c>
      <c r="U186" s="26">
        <v>21637</v>
      </c>
      <c r="V186" s="26">
        <v>822498</v>
      </c>
      <c r="W186" s="26">
        <v>3081</v>
      </c>
      <c r="X186" s="26">
        <v>81</v>
      </c>
      <c r="Y186" s="26" t="s">
        <v>31</v>
      </c>
      <c r="Z186" s="26" t="s">
        <v>31</v>
      </c>
      <c r="AA186" s="26">
        <v>36184</v>
      </c>
      <c r="AB186" s="26">
        <v>-40</v>
      </c>
      <c r="AC186" s="26">
        <v>7833</v>
      </c>
      <c r="AD186" s="26">
        <v>176</v>
      </c>
      <c r="AE186" s="26">
        <v>1383025</v>
      </c>
      <c r="AF186" s="26">
        <v>58245</v>
      </c>
      <c r="AG186" s="26">
        <v>8249</v>
      </c>
      <c r="AH186" s="26">
        <v>270</v>
      </c>
    </row>
    <row r="187" spans="1:34" x14ac:dyDescent="0.2">
      <c r="A187" s="10">
        <f t="shared" si="10"/>
        <v>2025</v>
      </c>
      <c r="B187" s="10">
        <f t="shared" si="11"/>
        <v>5</v>
      </c>
      <c r="D187" s="10" t="s">
        <v>56</v>
      </c>
      <c r="E187" s="25" t="d">
        <v>2025-05-01</v>
      </c>
      <c r="F187" s="26">
        <v>1020296</v>
      </c>
      <c r="G187" s="26">
        <v>42621</v>
      </c>
      <c r="H187" s="26">
        <v>127164082</v>
      </c>
      <c r="I187" s="26">
        <v>6691971</v>
      </c>
      <c r="J187" s="26">
        <v>1687382</v>
      </c>
      <c r="K187" s="26">
        <v>268580</v>
      </c>
      <c r="L187" s="26">
        <v>2730000</v>
      </c>
      <c r="M187" s="26">
        <v>0</v>
      </c>
      <c r="N187" s="26">
        <v>59550000</v>
      </c>
      <c r="O187" s="26">
        <v>0</v>
      </c>
      <c r="P187" s="26">
        <v>384000</v>
      </c>
      <c r="Q187" s="26">
        <v>15000</v>
      </c>
      <c r="R187" s="26">
        <v>87196600</v>
      </c>
      <c r="S187" s="26">
        <v>3373106</v>
      </c>
      <c r="T187" s="26">
        <v>2985843</v>
      </c>
      <c r="U187" s="26">
        <v>60000</v>
      </c>
      <c r="V187" s="26">
        <v>884440</v>
      </c>
      <c r="W187" s="26">
        <v>3159</v>
      </c>
      <c r="X187" s="26">
        <v>78</v>
      </c>
      <c r="Y187" s="26" t="s">
        <v>31</v>
      </c>
      <c r="Z187" s="26" t="s">
        <v>31</v>
      </c>
      <c r="AA187" s="26">
        <v>36156</v>
      </c>
      <c r="AB187" s="26">
        <v>-28</v>
      </c>
      <c r="AC187" s="26">
        <v>8069</v>
      </c>
      <c r="AD187" s="26">
        <v>236</v>
      </c>
      <c r="AE187" s="26">
        <v>1458741</v>
      </c>
      <c r="AF187" s="26">
        <v>75716</v>
      </c>
      <c r="AG187" s="26">
        <v>8496</v>
      </c>
      <c r="AH187" s="26">
        <v>247</v>
      </c>
    </row>
    <row r="188" spans="1:34" x14ac:dyDescent="0.2">
      <c r="A188" s="10">
        <f t="shared" si="10"/>
        <v>2025</v>
      </c>
      <c r="B188" s="10">
        <f t="shared" si="11"/>
        <v>6</v>
      </c>
      <c r="D188" s="10" t="s">
        <v>56</v>
      </c>
      <c r="E188" s="25" t="d">
        <v>2025-06-01</v>
      </c>
      <c r="F188" s="26">
        <v>1062685</v>
      </c>
      <c r="G188" s="26">
        <v>42389</v>
      </c>
      <c r="H188" s="26">
        <v>135622869</v>
      </c>
      <c r="I188" s="26">
        <v>8457160</v>
      </c>
      <c r="J188" s="26">
        <v>1867641</v>
      </c>
      <c r="K188" s="26">
        <v>180259</v>
      </c>
      <c r="L188" s="26">
        <v>2730000</v>
      </c>
      <c r="M188" s="26">
        <v>0</v>
      </c>
      <c r="N188" s="26">
        <v>59550000</v>
      </c>
      <c r="O188" s="26">
        <v>0</v>
      </c>
      <c r="P188" s="26">
        <v>397000</v>
      </c>
      <c r="Q188" s="26">
        <v>13000</v>
      </c>
      <c r="R188" s="26">
        <v>90615291</v>
      </c>
      <c r="S188" s="26">
        <v>3403428</v>
      </c>
      <c r="T188" s="26">
        <v>3048834</v>
      </c>
      <c r="U188" s="26">
        <v>62991</v>
      </c>
      <c r="V188" s="26">
        <v>1499393</v>
      </c>
      <c r="W188" s="26">
        <v>3907</v>
      </c>
      <c r="X188" s="26">
        <v>748</v>
      </c>
      <c r="Y188" s="26" t="s">
        <v>31</v>
      </c>
      <c r="Z188" s="26" t="s">
        <v>31</v>
      </c>
      <c r="AA188" s="26">
        <v>36156</v>
      </c>
      <c r="AB188" s="26">
        <v>0</v>
      </c>
      <c r="AC188" s="26">
        <v>8341</v>
      </c>
      <c r="AD188" s="26">
        <v>272</v>
      </c>
      <c r="AE188" s="26">
        <v>1563955</v>
      </c>
      <c r="AF188" s="26">
        <v>105214</v>
      </c>
      <c r="AG188" s="26">
        <v>8770</v>
      </c>
      <c r="AH188" s="26">
        <v>274</v>
      </c>
    </row>
    <row r="189" spans="1:34" x14ac:dyDescent="0.2">
      <c r="A189" s="10">
        <f t="shared" si="10"/>
        <v>2025</v>
      </c>
      <c r="B189" s="10">
        <f t="shared" si="11"/>
        <v>7</v>
      </c>
      <c r="D189" s="10" t="s">
        <v>56</v>
      </c>
      <c r="E189" s="25" t="d">
        <v>2025-07-01</v>
      </c>
      <c r="F189" s="26">
        <v>1118540</v>
      </c>
      <c r="G189" s="26">
        <v>55855</v>
      </c>
      <c r="H189" s="26">
        <v>143459484</v>
      </c>
      <c r="I189" s="26">
        <v>7839907</v>
      </c>
      <c r="J189" s="26">
        <v>1984837</v>
      </c>
      <c r="K189" s="26">
        <v>117196</v>
      </c>
      <c r="L189" s="26">
        <v>3180000</v>
      </c>
      <c r="M189" s="26">
        <v>450000</v>
      </c>
      <c r="N189" s="26">
        <v>76880000</v>
      </c>
      <c r="O189" s="26">
        <v>17330000</v>
      </c>
      <c r="P189" s="26">
        <v>426000</v>
      </c>
      <c r="Q189" s="26">
        <v>29000</v>
      </c>
      <c r="R189" s="26">
        <v>96755905</v>
      </c>
      <c r="S189" s="26">
        <v>3783223</v>
      </c>
      <c r="T189" s="26">
        <v>3121568</v>
      </c>
      <c r="U189" s="26">
        <v>72734</v>
      </c>
      <c r="V189" s="26">
        <v>827337</v>
      </c>
      <c r="W189" s="26">
        <v>4704</v>
      </c>
      <c r="X189" s="26">
        <v>797</v>
      </c>
      <c r="Y189" s="26" t="s">
        <v>31</v>
      </c>
      <c r="Z189" s="26" t="s">
        <v>31</v>
      </c>
      <c r="AA189" s="26">
        <v>36156</v>
      </c>
      <c r="AB189" s="26">
        <v>0</v>
      </c>
      <c r="AC189" s="26">
        <v>8609</v>
      </c>
      <c r="AD189" s="26">
        <v>268</v>
      </c>
      <c r="AE189" s="26">
        <v>1664349</v>
      </c>
      <c r="AF189" s="26">
        <v>100394</v>
      </c>
      <c r="AG189" s="26">
        <v>9078</v>
      </c>
      <c r="AH189" s="26">
        <v>308</v>
      </c>
    </row>
    <row r="190" spans="1:34" x14ac:dyDescent="0.2">
      <c r="A190" s="10">
        <f t="shared" si="10"/>
        <v>2025</v>
      </c>
      <c r="B190" s="10">
        <f t="shared" si="11"/>
        <v>8</v>
      </c>
      <c r="D190" s="10" t="s">
        <v>56</v>
      </c>
      <c r="E190" s="25" t="d">
        <v>2025-08-01</v>
      </c>
      <c r="F190" s="26">
        <v>1177078</v>
      </c>
      <c r="G190" s="26">
        <v>58538</v>
      </c>
      <c r="H190" s="26">
        <v>151157275</v>
      </c>
      <c r="I190" s="26">
        <v>7697791</v>
      </c>
      <c r="J190" s="26">
        <v>2027194</v>
      </c>
      <c r="K190" s="26">
        <v>42357</v>
      </c>
      <c r="L190" s="26">
        <v>3300000</v>
      </c>
      <c r="M190" s="26">
        <v>120000</v>
      </c>
      <c r="N190" s="26">
        <v>82800000</v>
      </c>
      <c r="O190" s="26">
        <v>5920000</v>
      </c>
      <c r="P190" s="26">
        <v>454000</v>
      </c>
      <c r="Q190" s="26">
        <v>28000</v>
      </c>
      <c r="R190" s="26">
        <v>104885410</v>
      </c>
      <c r="S190" s="26">
        <v>8129505</v>
      </c>
      <c r="T190" s="26">
        <v>3188908</v>
      </c>
      <c r="U190" s="26">
        <v>67340</v>
      </c>
      <c r="V190" s="26">
        <v>413242</v>
      </c>
      <c r="W190" s="26">
        <v>5488</v>
      </c>
      <c r="X190" s="26">
        <v>784</v>
      </c>
      <c r="Y190" s="26" t="s">
        <v>31</v>
      </c>
      <c r="Z190" s="26" t="s">
        <v>31</v>
      </c>
      <c r="AA190" s="26">
        <v>36156</v>
      </c>
      <c r="AB190" s="26">
        <v>0</v>
      </c>
      <c r="AC190" s="26">
        <v>8891</v>
      </c>
      <c r="AD190" s="26">
        <v>282</v>
      </c>
      <c r="AE190" s="26">
        <v>1763904</v>
      </c>
      <c r="AF190" s="26">
        <v>99555</v>
      </c>
      <c r="AG190" s="26">
        <v>9527</v>
      </c>
      <c r="AH190" s="26">
        <v>449</v>
      </c>
    </row>
    <row r="191" spans="1:34" x14ac:dyDescent="0.2">
      <c r="A191" s="10">
        <f t="shared" si="10"/>
        <v>2025</v>
      </c>
      <c r="B191" s="10">
        <f t="shared" si="11"/>
        <v>9</v>
      </c>
      <c r="D191" s="10" t="s">
        <v>56</v>
      </c>
      <c r="E191" s="25" t="d">
        <v>2025-09-01</v>
      </c>
      <c r="F191" s="26">
        <v>1237012</v>
      </c>
      <c r="G191" s="26">
        <v>59934</v>
      </c>
      <c r="H191" s="26">
        <v>157924056</v>
      </c>
      <c r="I191" s="26">
        <v>6739754</v>
      </c>
      <c r="J191" s="26">
        <v>1856960</v>
      </c>
      <c r="K191" s="26">
        <v>-170234</v>
      </c>
      <c r="L191" s="26">
        <v>3300000</v>
      </c>
      <c r="M191" s="26">
        <v>0</v>
      </c>
      <c r="N191" s="26">
        <v>84000000</v>
      </c>
      <c r="O191" s="26">
        <v>1200000</v>
      </c>
      <c r="P191" s="26">
        <v>475000</v>
      </c>
      <c r="Q191" s="26">
        <v>21000</v>
      </c>
      <c r="R191" s="26">
        <v>111037889</v>
      </c>
      <c r="S191" s="26">
        <v>6152479</v>
      </c>
      <c r="T191" s="26">
        <v>3227569</v>
      </c>
      <c r="U191" s="26">
        <v>38661</v>
      </c>
      <c r="V191" s="26">
        <v>516999</v>
      </c>
      <c r="W191" s="26">
        <v>6400</v>
      </c>
      <c r="X191" s="26">
        <v>912</v>
      </c>
      <c r="Y191" s="26" t="s">
        <v>31</v>
      </c>
      <c r="Z191" s="26" t="s">
        <v>31</v>
      </c>
      <c r="AA191" s="26">
        <v>36156</v>
      </c>
      <c r="AB191" s="26">
        <v>0</v>
      </c>
      <c r="AC191" s="26">
        <v>9103</v>
      </c>
      <c r="AD191" s="26">
        <v>212</v>
      </c>
      <c r="AE191" s="26">
        <v>1849736</v>
      </c>
      <c r="AF191" s="26">
        <v>85832</v>
      </c>
      <c r="AG191" s="26">
        <v>9887</v>
      </c>
      <c r="AH191" s="26">
        <v>360</v>
      </c>
    </row>
    <row r="192" spans="1:34" x14ac:dyDescent="0.2">
      <c r="A192" s="10">
        <f t="shared" si="10"/>
        <v>2025</v>
      </c>
      <c r="B192" s="10">
        <f t="shared" si="11"/>
        <v>10</v>
      </c>
      <c r="D192" s="10" t="s">
        <v>56</v>
      </c>
      <c r="E192" s="25" t="d">
        <v>2025-10-01</v>
      </c>
      <c r="F192" s="26">
        <v>1308152</v>
      </c>
      <c r="G192" s="26">
        <v>71140</v>
      </c>
      <c r="H192" s="26">
        <v>163816344</v>
      </c>
      <c r="I192" s="26">
        <v>5862691</v>
      </c>
      <c r="J192" s="26">
        <v>1677873</v>
      </c>
      <c r="K192" s="26">
        <v>-179087</v>
      </c>
      <c r="L192" s="26">
        <v>3400000</v>
      </c>
      <c r="M192" s="26">
        <v>100000</v>
      </c>
      <c r="N192" s="26">
        <v>89400000</v>
      </c>
      <c r="O192" s="26">
        <v>5400000</v>
      </c>
      <c r="P192" s="26">
        <v>488000</v>
      </c>
      <c r="Q192" s="26">
        <v>13000</v>
      </c>
      <c r="R192" s="26">
        <v>115495161</v>
      </c>
      <c r="S192" s="26">
        <v>4407553</v>
      </c>
      <c r="T192" s="26">
        <v>3272367</v>
      </c>
      <c r="U192" s="26">
        <v>44798</v>
      </c>
      <c r="V192" s="26">
        <v>737298</v>
      </c>
      <c r="W192" s="26">
        <v>7260</v>
      </c>
      <c r="X192" s="26">
        <v>860</v>
      </c>
      <c r="Y192" s="26" t="s">
        <v>31</v>
      </c>
      <c r="Z192" s="26" t="s">
        <v>31</v>
      </c>
      <c r="AA192" s="26">
        <v>36156</v>
      </c>
      <c r="AB192" s="26">
        <v>0</v>
      </c>
      <c r="AC192" s="26">
        <v>9333</v>
      </c>
      <c r="AD192" s="26">
        <v>230</v>
      </c>
      <c r="AE192" s="26">
        <v>1926580</v>
      </c>
      <c r="AF192" s="26">
        <v>76844</v>
      </c>
      <c r="AG192" s="26">
        <v>10158</v>
      </c>
      <c r="AH192" s="26">
        <v>271</v>
      </c>
    </row>
    <row r="193" spans="1:34" x14ac:dyDescent="0.2">
      <c r="A193" s="10">
        <f t="shared" si="10"/>
        <v>2025</v>
      </c>
      <c r="B193" s="10">
        <f t="shared" si="11"/>
        <v>11</v>
      </c>
      <c r="D193" s="10" t="s">
        <v>56</v>
      </c>
      <c r="E193" s="25" t="d">
        <v>2025-11-01</v>
      </c>
      <c r="F193" s="26">
        <v>1374537</v>
      </c>
      <c r="G193" s="26">
        <v>66385</v>
      </c>
      <c r="H193" s="26">
        <v>169530371</v>
      </c>
      <c r="I193" s="26">
        <v>5572981</v>
      </c>
      <c r="J193" s="26">
        <v>1566160</v>
      </c>
      <c r="K193" s="26">
        <v>-111713</v>
      </c>
      <c r="L193" s="26">
        <v>3500000</v>
      </c>
      <c r="M193" s="26">
        <v>100000</v>
      </c>
      <c r="N193" s="26">
        <v>91600000</v>
      </c>
      <c r="O193" s="26">
        <v>2200000</v>
      </c>
      <c r="P193" s="26">
        <v>500000</v>
      </c>
      <c r="Q193" s="26">
        <v>12000</v>
      </c>
      <c r="R193" s="26">
        <v>119607350</v>
      </c>
      <c r="S193" s="26">
        <v>4158457</v>
      </c>
      <c r="T193" s="26">
        <v>3293036</v>
      </c>
      <c r="U193" s="26">
        <v>20669</v>
      </c>
      <c r="V193" s="26">
        <v>298940</v>
      </c>
      <c r="W193" s="26">
        <v>7858</v>
      </c>
      <c r="X193" s="26">
        <v>619</v>
      </c>
      <c r="Y193" s="26" t="s">
        <v>31</v>
      </c>
      <c r="Z193" s="26" t="s">
        <v>31</v>
      </c>
      <c r="AA193" s="26">
        <v>36156</v>
      </c>
      <c r="AB193" s="26">
        <v>0</v>
      </c>
      <c r="AC193" s="26">
        <v>9544</v>
      </c>
      <c r="AD193" s="26">
        <v>211</v>
      </c>
      <c r="AE193" s="26">
        <v>1996578</v>
      </c>
      <c r="AF193" s="26">
        <v>70001</v>
      </c>
      <c r="AG193" s="26">
        <v>10396</v>
      </c>
      <c r="AH193" s="26">
        <v>238</v>
      </c>
    </row>
    <row r="194" spans="1:34" x14ac:dyDescent="0.2">
      <c r="A194" s="10">
        <f t="shared" si="10"/>
        <v>2025</v>
      </c>
      <c r="B194" s="10">
        <f t="shared" si="11"/>
        <v>12</v>
      </c>
      <c r="D194" s="10" t="s">
        <v>56</v>
      </c>
      <c r="E194" s="25" t="d">
        <v>2025-12-01</v>
      </c>
      <c r="F194" s="26">
        <v>1426814</v>
      </c>
      <c r="G194" s="26">
        <v>52277</v>
      </c>
      <c r="H194" s="26">
        <v>174457241</v>
      </c>
      <c r="I194" s="26">
        <v>4926870</v>
      </c>
      <c r="J194" s="26">
        <v>1466995</v>
      </c>
      <c r="K194" s="26">
        <v>-99165</v>
      </c>
      <c r="L194" s="26">
        <v>3500000</v>
      </c>
      <c r="M194" s="26">
        <v>0</v>
      </c>
      <c r="N194" s="26">
        <v>93700000</v>
      </c>
      <c r="O194" s="26">
        <v>2100000</v>
      </c>
      <c r="P194" s="26">
        <v>509000</v>
      </c>
      <c r="Q194" s="26">
        <v>9000</v>
      </c>
      <c r="R194" s="26">
        <v>123782788</v>
      </c>
      <c r="S194" s="26">
        <v>4175438</v>
      </c>
      <c r="T194" s="26">
        <v>3338790</v>
      </c>
      <c r="U194" s="26">
        <v>45754</v>
      </c>
      <c r="V194" s="26">
        <v>751653</v>
      </c>
      <c r="W194" s="26">
        <v>8400</v>
      </c>
      <c r="X194" s="26">
        <v>542</v>
      </c>
      <c r="Y194" s="26" t="s">
        <v>31</v>
      </c>
      <c r="Z194" s="26" t="s">
        <v>31</v>
      </c>
      <c r="AA194" s="26">
        <v>36156</v>
      </c>
      <c r="AB194" s="26">
        <v>0</v>
      </c>
      <c r="AC194" s="26">
        <v>9684</v>
      </c>
      <c r="AD194" s="26">
        <v>140</v>
      </c>
      <c r="AE194" s="26">
        <v>2055692</v>
      </c>
      <c r="AF194" s="26">
        <v>59114</v>
      </c>
      <c r="AG194" s="26">
        <v>10614</v>
      </c>
      <c r="AH194" s="26">
        <v>218</v>
      </c>
    </row>
    <row r="195" spans="1:34" x14ac:dyDescent="0.2">
      <c r="A195" s="10">
        <f t="shared" si="10"/>
        <v>2026</v>
      </c>
      <c r="B195" s="10">
        <f t="shared" si="11"/>
        <v>1</v>
      </c>
      <c r="D195" s="10" t="s">
        <v>56</v>
      </c>
      <c r="E195" s="25" t="d">
        <v>2026-01-01</v>
      </c>
      <c r="F195" s="26">
        <v>1513944</v>
      </c>
      <c r="G195" s="26">
        <v>87130</v>
      </c>
      <c r="H195" s="26">
        <v>179982282</v>
      </c>
      <c r="I195" s="26">
        <v>5525041</v>
      </c>
      <c r="J195" s="26">
        <v>1668397</v>
      </c>
      <c r="K195" s="26">
        <v>201402</v>
      </c>
      <c r="L195" s="26">
        <v>3550000</v>
      </c>
      <c r="M195" s="26">
        <v>50000</v>
      </c>
      <c r="N195" s="26">
        <v>96200000</v>
      </c>
      <c r="O195" s="26">
        <v>2500000</v>
      </c>
      <c r="P195" s="26">
        <v>520000</v>
      </c>
      <c r="Q195" s="26">
        <v>11000</v>
      </c>
      <c r="R195" s="26">
        <v>129046202</v>
      </c>
      <c r="S195" s="26">
        <v>5243494</v>
      </c>
      <c r="T195" s="26">
        <v>3380400</v>
      </c>
      <c r="U195" s="26">
        <v>41610</v>
      </c>
      <c r="V195" s="26">
        <v>633814</v>
      </c>
      <c r="W195" s="26">
        <v>8895</v>
      </c>
      <c r="X195" s="26">
        <v>495</v>
      </c>
      <c r="Y195" s="26" t="s">
        <v>31</v>
      </c>
      <c r="Z195" s="26" t="s">
        <v>31</v>
      </c>
      <c r="AA195" s="26">
        <v>36156</v>
      </c>
      <c r="AB195" s="26">
        <v>0</v>
      </c>
      <c r="AC195" s="26">
        <v>9856</v>
      </c>
      <c r="AD195" s="26">
        <v>172</v>
      </c>
      <c r="AE195" s="26">
        <v>2111676</v>
      </c>
      <c r="AF195" s="26">
        <v>55984</v>
      </c>
      <c r="AG195" s="26">
        <v>10895</v>
      </c>
      <c r="AH195" s="26">
        <v>281</v>
      </c>
    </row>
    <row r="196" spans="1:34" x14ac:dyDescent="0.2">
      <c r="A196" s="10">
        <f t="shared" si="10"/>
        <v>2026</v>
      </c>
      <c r="B196" s="10">
        <f t="shared" si="11"/>
        <v>2</v>
      </c>
      <c r="D196" s="10" t="s">
        <v>56</v>
      </c>
      <c r="E196" s="25" t="d">
        <v>2026-02-01</v>
      </c>
      <c r="F196" s="26">
        <v>1530185</v>
      </c>
      <c r="G196" s="26">
        <v>16241</v>
      </c>
      <c r="H196" s="26">
        <v>184502541</v>
      </c>
      <c r="I196" s="26">
        <v>4520259</v>
      </c>
      <c r="J196" s="26">
        <v>1358691</v>
      </c>
      <c r="K196" s="26">
        <v>-309706</v>
      </c>
      <c r="L196" s="26">
        <v>3660000</v>
      </c>
      <c r="M196" s="26">
        <v>110000</v>
      </c>
      <c r="N196" s="26">
        <v>101600000</v>
      </c>
      <c r="O196" s="26">
        <v>5400000</v>
      </c>
      <c r="P196" s="26">
        <v>528000</v>
      </c>
      <c r="Q196" s="26">
        <v>8000</v>
      </c>
      <c r="R196" s="26">
        <v>133111849</v>
      </c>
      <c r="S196" s="26">
        <v>4065647</v>
      </c>
      <c r="T196" s="26">
        <v>3425098</v>
      </c>
      <c r="U196" s="26">
        <v>44698</v>
      </c>
      <c r="V196" s="26">
        <v>796298</v>
      </c>
      <c r="W196" s="26">
        <v>9380</v>
      </c>
      <c r="X196" s="26">
        <v>485</v>
      </c>
      <c r="Y196" s="26" t="s">
        <v>31</v>
      </c>
      <c r="Z196" s="26" t="s">
        <v>31</v>
      </c>
      <c r="AA196" s="26">
        <v>36156</v>
      </c>
      <c r="AB196" s="26">
        <v>0</v>
      </c>
      <c r="AC196" s="26">
        <v>10020</v>
      </c>
      <c r="AD196" s="26">
        <v>164</v>
      </c>
      <c r="AE196" s="26">
        <v>2156544</v>
      </c>
      <c r="AF196" s="26">
        <v>44868</v>
      </c>
      <c r="AG196" s="26">
        <v>11113</v>
      </c>
      <c r="AH196" s="26">
        <v>218</v>
      </c>
    </row>
    <row r="197" spans="1:34" x14ac:dyDescent="0.2">
      <c r="A197" s="10">
        <f t="shared" si="10"/>
        <v>2026</v>
      </c>
      <c r="B197" s="10">
        <f t="shared" si="11"/>
        <v>3</v>
      </c>
      <c r="D197" s="10" t="s">
        <v>56</v>
      </c>
      <c r="E197" s="25" t="d">
        <v>2026-03-01</v>
      </c>
      <c r="F197" s="26">
        <v>1545126</v>
      </c>
      <c r="G197" s="26">
        <v>14941</v>
      </c>
      <c r="H197" s="26">
        <v>188405845</v>
      </c>
      <c r="I197" s="26">
        <v>3903304</v>
      </c>
      <c r="J197" s="26">
        <v>1382195</v>
      </c>
      <c r="K197" s="26">
        <v>23504</v>
      </c>
      <c r="L197" s="26">
        <v>3690000</v>
      </c>
      <c r="M197" s="26">
        <v>30000</v>
      </c>
      <c r="N197" s="26">
        <v>101600000</v>
      </c>
      <c r="O197" s="26">
        <v>0</v>
      </c>
      <c r="P197" s="26">
        <v>533000</v>
      </c>
      <c r="Q197" s="26">
        <v>5000</v>
      </c>
      <c r="R197" s="26">
        <v>136148157</v>
      </c>
      <c r="S197" s="26">
        <v>3036308</v>
      </c>
      <c r="T197" s="26">
        <v>3439002</v>
      </c>
      <c r="U197" s="26">
        <v>13904</v>
      </c>
      <c r="V197" s="26">
        <v>424904</v>
      </c>
      <c r="W197" s="26">
        <v>9877</v>
      </c>
      <c r="X197" s="26">
        <v>497</v>
      </c>
      <c r="Y197" s="26" t="s">
        <v>31</v>
      </c>
      <c r="Z197" s="26" t="s">
        <v>31</v>
      </c>
      <c r="AA197" s="26">
        <v>36156</v>
      </c>
      <c r="AB197" s="26">
        <v>0</v>
      </c>
      <c r="AC197" s="26">
        <v>10200</v>
      </c>
      <c r="AD197" s="26">
        <v>180</v>
      </c>
      <c r="AE197" s="26">
        <v>2212906</v>
      </c>
      <c r="AF197" s="26">
        <v>56362</v>
      </c>
      <c r="AG197" s="26">
        <v>11286</v>
      </c>
      <c r="AH197" s="26">
        <v>173</v>
      </c>
    </row>
    <row r="198" spans="1:34" x14ac:dyDescent="0.2">
      <c r="A198" s="10">
        <f t="shared" si="10"/>
        <v>2026</v>
      </c>
      <c r="B198" s="10">
        <f t="shared" si="11"/>
        <v>4</v>
      </c>
      <c r="D198" s="10" t="s">
        <v>56</v>
      </c>
      <c r="E198" s="25" t="d">
        <v>2026-04-01</v>
      </c>
      <c r="F198" s="26">
        <v>1554430</v>
      </c>
      <c r="G198" s="26">
        <v>9304</v>
      </c>
      <c r="H198" s="26">
        <v>192116200</v>
      </c>
      <c r="I198" s="26">
        <v>3733707</v>
      </c>
      <c r="J198" s="26">
        <v>1241635</v>
      </c>
      <c r="K198" s="26">
        <v>-140560</v>
      </c>
      <c r="L198" s="26">
        <v>3733188</v>
      </c>
      <c r="M198" s="26">
        <v>28134</v>
      </c>
      <c r="N198" s="26">
        <v>105025363</v>
      </c>
      <c r="O198" s="26">
        <v>353660</v>
      </c>
      <c r="P198" s="26">
        <v>542000</v>
      </c>
      <c r="Q198" s="26">
        <v>9000</v>
      </c>
      <c r="R198" s="26">
        <v>140751843</v>
      </c>
      <c r="S198" s="26">
        <v>4600135</v>
      </c>
      <c r="T198" s="26">
        <v>3446974</v>
      </c>
      <c r="U198" s="26">
        <v>7972</v>
      </c>
      <c r="V198" s="26">
        <v>386436</v>
      </c>
      <c r="W198" s="26">
        <v>10351</v>
      </c>
      <c r="X198" s="26">
        <v>474</v>
      </c>
      <c r="Y198" s="26">
        <v>9132097</v>
      </c>
      <c r="Z198" s="26">
        <v>37569</v>
      </c>
      <c r="AA198" s="26">
        <v>36156</v>
      </c>
      <c r="AB198" s="26">
        <v>0</v>
      </c>
      <c r="AC198" s="26">
        <v>10353</v>
      </c>
      <c r="AD198" s="26">
        <v>153</v>
      </c>
      <c r="AE198" s="26">
        <v>2262124</v>
      </c>
      <c r="AF198" s="26">
        <v>49218</v>
      </c>
      <c r="AG198" s="26">
        <v>11502</v>
      </c>
      <c r="AH198" s="26">
        <v>216</v>
      </c>
    </row>
    <row r="199" spans="1:34" x14ac:dyDescent="0.2">
      <c r="A199" s="10">
        <f t="shared" si="10"/>
        <v>2026</v>
      </c>
      <c r="B199" s="10">
        <f t="shared" si="11"/>
        <v>5</v>
      </c>
      <c r="D199" s="10" t="s">
        <v>56</v>
      </c>
      <c r="E199" s="25" t="d">
        <v>2026-05-01</v>
      </c>
      <c r="F199" s="26">
        <v>1568406</v>
      </c>
      <c r="G199" s="26">
        <v>13976</v>
      </c>
      <c r="H199" s="26">
        <v>196883759</v>
      </c>
      <c r="I199" s="26">
        <v>4609687</v>
      </c>
      <c r="J199" s="26">
        <v>1326877</v>
      </c>
      <c r="K199" s="26">
        <v>85242</v>
      </c>
      <c r="L199" s="26">
        <v>3745459</v>
      </c>
      <c r="M199" s="26">
        <v>12271</v>
      </c>
      <c r="N199" s="26">
        <v>106359615</v>
      </c>
      <c r="O199" s="26">
        <v>1334252</v>
      </c>
      <c r="P199" s="26">
        <v>559000</v>
      </c>
      <c r="Q199" s="26">
        <v>17000</v>
      </c>
      <c r="R199" s="26">
        <v>147453601</v>
      </c>
      <c r="S199" s="26">
        <v>6695193</v>
      </c>
      <c r="T199" s="26">
        <v>3477376</v>
      </c>
      <c r="U199" s="26">
        <v>30402</v>
      </c>
      <c r="V199" s="26">
        <v>836126</v>
      </c>
      <c r="W199" s="26">
        <v>10842</v>
      </c>
      <c r="X199" s="26">
        <v>491</v>
      </c>
      <c r="Y199" s="26">
        <v>9134972</v>
      </c>
      <c r="Z199" s="26">
        <v>2875</v>
      </c>
      <c r="AA199" s="26">
        <v>36156</v>
      </c>
      <c r="AB199" s="26">
        <v>0</v>
      </c>
      <c r="AC199" s="26">
        <v>10537</v>
      </c>
      <c r="AD199" s="26">
        <v>184</v>
      </c>
      <c r="AE199" s="26">
        <v>2313197</v>
      </c>
      <c r="AF199" s="26">
        <v>51042</v>
      </c>
      <c r="AG199" s="26">
        <v>11739</v>
      </c>
      <c r="AH199" s="26">
        <v>237</v>
      </c>
    </row>
    <row r="200" spans="1:34" x14ac:dyDescent="0.2">
      <c r="A200" s="10">
        <f t="shared" si="10"/>
        <v>2026</v>
      </c>
      <c r="B200" s="10">
        <f t="shared" si="11"/>
        <v>6</v>
      </c>
      <c r="D200" s="10" t="s">
        <v>56</v>
      </c>
      <c r="E200" s="25" t="d">
        <v>2026-06-01</v>
      </c>
      <c r="F200" s="26">
        <v>1581619</v>
      </c>
      <c r="G200" s="26">
        <v>13213</v>
      </c>
      <c r="H200" s="26">
        <v>202380404</v>
      </c>
      <c r="I200" s="26">
        <v>5088633</v>
      </c>
      <c r="J200" s="26">
        <v>1453953</v>
      </c>
      <c r="K200" s="26">
        <v>127076</v>
      </c>
      <c r="L200" s="26">
        <v>3779529</v>
      </c>
      <c r="M200" s="26">
        <v>34070</v>
      </c>
      <c r="N200" s="26">
        <v>109291971</v>
      </c>
      <c r="O200" s="26">
        <v>2932356</v>
      </c>
      <c r="P200" s="26">
        <v>570000</v>
      </c>
      <c r="Q200" s="26">
        <v>11000</v>
      </c>
      <c r="R200" s="26">
        <v>152328421</v>
      </c>
      <c r="S200" s="26">
        <v>4904320</v>
      </c>
      <c r="T200" s="26">
        <v>3494151</v>
      </c>
      <c r="U200" s="26">
        <v>16775</v>
      </c>
      <c r="V200" s="26">
        <v>567522</v>
      </c>
      <c r="W200" s="26">
        <v>11558</v>
      </c>
      <c r="X200" s="26">
        <v>716</v>
      </c>
      <c r="Y200" s="26">
        <v>9334354</v>
      </c>
      <c r="Z200" s="26">
        <v>199382</v>
      </c>
      <c r="AA200" s="26">
        <v>36156</v>
      </c>
      <c r="AB200" s="26">
        <v>0</v>
      </c>
      <c r="AC200" s="26">
        <v>10702</v>
      </c>
      <c r="AD200" s="26">
        <v>165</v>
      </c>
      <c r="AE200" s="26">
        <v>2369353</v>
      </c>
      <c r="AF200" s="26">
        <v>56069</v>
      </c>
      <c r="AG200" s="26">
        <v>11974</v>
      </c>
      <c r="AH200" s="26">
        <v>235</v>
      </c>
    </row>
    <row r="201" spans="1:34" x14ac:dyDescent="0.2">
      <c r="A201" s="10">
        <f t="shared" si="10"/>
        <v>2026</v>
      </c>
      <c r="B201" s="10">
        <f t="shared" si="11"/>
        <v>7</v>
      </c>
      <c r="D201" s="10" t="s">
        <v>56</v>
      </c>
      <c r="E201" s="25" t="d">
        <v>2026-07-01</v>
      </c>
      <c r="F201" s="26">
        <v>1600525</v>
      </c>
      <c r="G201" s="26">
        <v>18906</v>
      </c>
      <c r="H201" s="26">
        <v>207928923</v>
      </c>
      <c r="I201" s="26">
        <v>5548519</v>
      </c>
      <c r="J201" s="26">
        <v>1540449</v>
      </c>
      <c r="K201" s="26">
        <v>86496</v>
      </c>
      <c r="L201" s="26">
        <v>3815185</v>
      </c>
      <c r="M201" s="26">
        <v>35656</v>
      </c>
      <c r="N201" s="26">
        <v>112369875</v>
      </c>
      <c r="O201" s="26">
        <v>3077904</v>
      </c>
      <c r="P201" s="26">
        <v>581000</v>
      </c>
      <c r="Q201" s="26">
        <v>11000</v>
      </c>
      <c r="R201" s="26">
        <v>156780280</v>
      </c>
      <c r="S201" s="26">
        <v>4451859</v>
      </c>
      <c r="T201" s="26">
        <v>3524781</v>
      </c>
      <c r="U201" s="26">
        <v>30630</v>
      </c>
      <c r="V201" s="26">
        <v>1380338</v>
      </c>
      <c r="W201" s="26">
        <v>12248</v>
      </c>
      <c r="X201" s="26">
        <v>690</v>
      </c>
      <c r="Y201" s="26">
        <v>9451725</v>
      </c>
      <c r="Z201" s="26">
        <v>117371</v>
      </c>
      <c r="AA201" s="26">
        <v>36156</v>
      </c>
      <c r="AB201" s="26">
        <v>0</v>
      </c>
      <c r="AC201" s="26">
        <v>10987</v>
      </c>
      <c r="AD201" s="26">
        <v>285</v>
      </c>
      <c r="AE201" s="26">
        <v>2430023</v>
      </c>
      <c r="AF201" s="26">
        <v>60670</v>
      </c>
      <c r="AG201" s="26">
        <v>12259</v>
      </c>
      <c r="AH201" s="26">
        <v>285</v>
      </c>
    </row>
    <row r="202" spans="1:34" x14ac:dyDescent="0.2">
      <c r="A202" s="10">
        <f t="shared" ref="A202:A225" si="12">YEAR(E202)</f>
        <v>2024</v>
      </c>
      <c r="B202" s="10">
        <f t="shared" ref="B202:B225" si="13">MONTH(E202)</f>
        <v>7</v>
      </c>
      <c r="D202" s="10" t="s">
        <v>58</v>
      </c>
      <c r="E202" s="25" t="d">
        <v>2024-07-01</v>
      </c>
      <c r="F202" s="26">
        <v>1004278</v>
      </c>
      <c r="G202" s="26">
        <v>25567</v>
      </c>
      <c r="H202" s="26">
        <v>165284012</v>
      </c>
      <c r="I202" s="26">
        <v>4966089</v>
      </c>
      <c r="J202" s="26">
        <v>1055926</v>
      </c>
      <c r="K202" s="26">
        <v>-77316</v>
      </c>
      <c r="L202" s="26">
        <v>851000</v>
      </c>
      <c r="M202" s="26">
        <v>28340</v>
      </c>
      <c r="N202" s="26">
        <v>7200000</v>
      </c>
      <c r="O202" s="26">
        <v>300000</v>
      </c>
      <c r="P202" s="26">
        <v>359000</v>
      </c>
      <c r="Q202" s="26">
        <v>5000</v>
      </c>
      <c r="R202" s="26">
        <v>195262545</v>
      </c>
      <c r="S202" s="26">
        <v>3216200</v>
      </c>
      <c r="T202" s="26">
        <v>2527632</v>
      </c>
      <c r="U202" s="26">
        <v>27761</v>
      </c>
      <c r="V202" s="26">
        <v>569000</v>
      </c>
      <c r="W202" s="26">
        <v>11836</v>
      </c>
      <c r="X202" s="26">
        <v>588</v>
      </c>
      <c r="Y202" s="26" t="s">
        <v>31</v>
      </c>
      <c r="Z202" s="26" t="s">
        <v>31</v>
      </c>
      <c r="AA202" s="26">
        <v>3364275</v>
      </c>
      <c r="AB202" s="26">
        <v>-4467</v>
      </c>
      <c r="AC202" s="26">
        <v>8098</v>
      </c>
      <c r="AD202" s="26">
        <v>31</v>
      </c>
      <c r="AE202" s="26" t="s">
        <v>31</v>
      </c>
      <c r="AF202" s="26" t="s">
        <v>31</v>
      </c>
      <c r="AG202" s="26">
        <v>70385</v>
      </c>
      <c r="AH202" s="26">
        <v>151</v>
      </c>
    </row>
    <row r="203" spans="1:34" x14ac:dyDescent="0.2">
      <c r="A203" s="10">
        <f t="shared" si="12"/>
        <v>2024</v>
      </c>
      <c r="B203" s="10">
        <f t="shared" si="13"/>
        <v>8</v>
      </c>
      <c r="D203" s="10" t="s">
        <v>58</v>
      </c>
      <c r="E203" s="25" t="d">
        <v>2024-08-01</v>
      </c>
      <c r="F203" s="26">
        <v>1028659</v>
      </c>
      <c r="G203" s="26">
        <v>24381</v>
      </c>
      <c r="H203" s="26">
        <v>169141575</v>
      </c>
      <c r="I203" s="26">
        <v>3840740</v>
      </c>
      <c r="J203" s="26">
        <v>947788</v>
      </c>
      <c r="K203" s="26">
        <v>-108138</v>
      </c>
      <c r="L203" s="26">
        <v>857800</v>
      </c>
      <c r="M203" s="26">
        <v>6800</v>
      </c>
      <c r="N203" s="26">
        <v>7300000</v>
      </c>
      <c r="O203" s="26">
        <v>100000</v>
      </c>
      <c r="P203" s="26">
        <v>363000</v>
      </c>
      <c r="Q203" s="26">
        <v>4000</v>
      </c>
      <c r="R203" s="26">
        <v>198045378</v>
      </c>
      <c r="S203" s="26">
        <v>2746192</v>
      </c>
      <c r="T203" s="26">
        <v>2533552</v>
      </c>
      <c r="U203" s="26">
        <v>5920</v>
      </c>
      <c r="V203" s="26">
        <v>320000</v>
      </c>
      <c r="W203" s="26">
        <v>12424</v>
      </c>
      <c r="X203" s="26">
        <v>588</v>
      </c>
      <c r="Y203" s="26" t="s">
        <v>31</v>
      </c>
      <c r="Z203" s="26" t="s">
        <v>31</v>
      </c>
      <c r="AA203" s="26">
        <v>3359952</v>
      </c>
      <c r="AB203" s="26">
        <v>-4323</v>
      </c>
      <c r="AC203" s="26">
        <v>8124</v>
      </c>
      <c r="AD203" s="26">
        <v>26</v>
      </c>
      <c r="AE203" s="26" t="s">
        <v>31</v>
      </c>
      <c r="AF203" s="26" t="s">
        <v>31</v>
      </c>
      <c r="AG203" s="26">
        <v>70561</v>
      </c>
      <c r="AH203" s="26">
        <v>176</v>
      </c>
    </row>
    <row r="204" spans="1:34" x14ac:dyDescent="0.2">
      <c r="A204" s="10">
        <f t="shared" si="12"/>
        <v>2024</v>
      </c>
      <c r="B204" s="10">
        <f t="shared" si="13"/>
        <v>9</v>
      </c>
      <c r="D204" s="10" t="s">
        <v>58</v>
      </c>
      <c r="E204" s="25" t="d">
        <v>2024-09-01</v>
      </c>
      <c r="F204" s="26">
        <v>1043463</v>
      </c>
      <c r="G204" s="26">
        <v>14804</v>
      </c>
      <c r="H204" s="26">
        <v>172543638</v>
      </c>
      <c r="I204" s="26">
        <v>3402063</v>
      </c>
      <c r="J204" s="26">
        <v>902133</v>
      </c>
      <c r="K204" s="26">
        <v>-45655</v>
      </c>
      <c r="L204" s="26">
        <v>862100</v>
      </c>
      <c r="M204" s="26">
        <v>4300</v>
      </c>
      <c r="N204" s="26">
        <v>7400000</v>
      </c>
      <c r="O204" s="26">
        <v>100000</v>
      </c>
      <c r="P204" s="26">
        <v>366000</v>
      </c>
      <c r="Q204" s="26">
        <v>3000</v>
      </c>
      <c r="R204" s="26">
        <v>200453297</v>
      </c>
      <c r="S204" s="26">
        <v>2407919</v>
      </c>
      <c r="T204" s="26">
        <v>2530780</v>
      </c>
      <c r="U204" s="26">
        <v>-2772</v>
      </c>
      <c r="V204" s="26">
        <v>322000</v>
      </c>
      <c r="W204" s="26">
        <v>13085</v>
      </c>
      <c r="X204" s="26">
        <v>661</v>
      </c>
      <c r="Y204" s="26" t="s">
        <v>31</v>
      </c>
      <c r="Z204" s="26" t="s">
        <v>31</v>
      </c>
      <c r="AA204" s="26">
        <v>3352713</v>
      </c>
      <c r="AB204" s="26">
        <v>-7239</v>
      </c>
      <c r="AC204" s="26">
        <v>8143</v>
      </c>
      <c r="AD204" s="26">
        <v>19</v>
      </c>
      <c r="AE204" s="26" t="s">
        <v>31</v>
      </c>
      <c r="AF204" s="26" t="s">
        <v>31</v>
      </c>
      <c r="AG204" s="26">
        <v>70720</v>
      </c>
      <c r="AH204" s="26">
        <v>159</v>
      </c>
    </row>
    <row r="205" spans="1:34" x14ac:dyDescent="0.2">
      <c r="A205" s="10">
        <f t="shared" si="12"/>
        <v>2024</v>
      </c>
      <c r="B205" s="10">
        <f t="shared" si="13"/>
        <v>10</v>
      </c>
      <c r="D205" s="10" t="s">
        <v>58</v>
      </c>
      <c r="E205" s="25" t="d">
        <v>2024-10-01</v>
      </c>
      <c r="F205" s="26">
        <v>1073183</v>
      </c>
      <c r="G205" s="26">
        <v>29720</v>
      </c>
      <c r="H205" s="26">
        <v>175813563</v>
      </c>
      <c r="I205" s="26">
        <v>3191831</v>
      </c>
      <c r="J205" s="26">
        <v>916371</v>
      </c>
      <c r="K205" s="26">
        <v>14238</v>
      </c>
      <c r="L205" s="26">
        <v>862100</v>
      </c>
      <c r="M205" s="26">
        <v>0</v>
      </c>
      <c r="N205" s="26">
        <v>7400000</v>
      </c>
      <c r="O205" s="26">
        <v>0</v>
      </c>
      <c r="P205" s="26">
        <v>369000</v>
      </c>
      <c r="Q205" s="26">
        <v>3000</v>
      </c>
      <c r="R205" s="26">
        <v>202724554</v>
      </c>
      <c r="S205" s="26">
        <v>2203419</v>
      </c>
      <c r="T205" s="26">
        <v>2520216</v>
      </c>
      <c r="U205" s="26">
        <v>-10564</v>
      </c>
      <c r="V205" s="26">
        <v>152724</v>
      </c>
      <c r="W205" s="26">
        <v>13666</v>
      </c>
      <c r="X205" s="26">
        <v>581</v>
      </c>
      <c r="Y205" s="26" t="s">
        <v>31</v>
      </c>
      <c r="Z205" s="26" t="s">
        <v>31</v>
      </c>
      <c r="AA205" s="26">
        <v>3362047</v>
      </c>
      <c r="AB205" s="26">
        <v>9334</v>
      </c>
      <c r="AC205" s="26">
        <v>8151</v>
      </c>
      <c r="AD205" s="26">
        <v>8</v>
      </c>
      <c r="AE205" s="26" t="s">
        <v>31</v>
      </c>
      <c r="AF205" s="26" t="s">
        <v>31</v>
      </c>
      <c r="AG205" s="26">
        <v>70862</v>
      </c>
      <c r="AH205" s="26">
        <v>142</v>
      </c>
    </row>
    <row r="206" spans="1:34" x14ac:dyDescent="0.2">
      <c r="A206" s="10">
        <f t="shared" si="12"/>
        <v>2024</v>
      </c>
      <c r="B206" s="10">
        <f t="shared" si="13"/>
        <v>11</v>
      </c>
      <c r="D206" s="10" t="s">
        <v>58</v>
      </c>
      <c r="E206" s="25" t="d">
        <v>2024-11-01</v>
      </c>
      <c r="F206" s="26">
        <v>1088384</v>
      </c>
      <c r="G206" s="26">
        <v>15201</v>
      </c>
      <c r="H206" s="26">
        <v>179597880</v>
      </c>
      <c r="I206" s="26">
        <v>3653775</v>
      </c>
      <c r="J206" s="26">
        <v>1042503</v>
      </c>
      <c r="K206" s="26">
        <v>126132</v>
      </c>
      <c r="L206" s="26">
        <v>862100</v>
      </c>
      <c r="M206" s="26">
        <v>0</v>
      </c>
      <c r="N206" s="26">
        <v>7400000</v>
      </c>
      <c r="O206" s="26">
        <v>0</v>
      </c>
      <c r="P206" s="26">
        <v>371000</v>
      </c>
      <c r="Q206" s="26">
        <v>2000</v>
      </c>
      <c r="R206" s="26">
        <v>205163500</v>
      </c>
      <c r="S206" s="26">
        <v>2438946</v>
      </c>
      <c r="T206" s="26">
        <v>2516148</v>
      </c>
      <c r="U206" s="26">
        <v>-4068</v>
      </c>
      <c r="V206" s="26">
        <v>96586</v>
      </c>
      <c r="W206" s="26">
        <v>14052</v>
      </c>
      <c r="X206" s="26">
        <v>386</v>
      </c>
      <c r="Y206" s="26" t="s">
        <v>31</v>
      </c>
      <c r="Z206" s="26" t="s">
        <v>31</v>
      </c>
      <c r="AA206" s="26">
        <v>3370328</v>
      </c>
      <c r="AB206" s="26">
        <v>8281</v>
      </c>
      <c r="AC206" s="26">
        <v>8177</v>
      </c>
      <c r="AD206" s="26">
        <v>26</v>
      </c>
      <c r="AE206" s="26">
        <v>328920</v>
      </c>
      <c r="AF206" s="26">
        <v>60</v>
      </c>
      <c r="AG206" s="26">
        <v>70994</v>
      </c>
      <c r="AH206" s="26">
        <v>132</v>
      </c>
    </row>
    <row r="207" spans="1:34" x14ac:dyDescent="0.2">
      <c r="A207" s="10">
        <f t="shared" si="12"/>
        <v>2024</v>
      </c>
      <c r="B207" s="10">
        <f t="shared" si="13"/>
        <v>12</v>
      </c>
      <c r="D207" s="10" t="s">
        <v>58</v>
      </c>
      <c r="E207" s="25" t="d">
        <v>2024-12-01</v>
      </c>
      <c r="F207" s="26">
        <v>1123401</v>
      </c>
      <c r="G207" s="26">
        <v>35017</v>
      </c>
      <c r="H207" s="26">
        <v>188731864</v>
      </c>
      <c r="I207" s="26">
        <v>8774769</v>
      </c>
      <c r="J207" s="26">
        <v>1255349</v>
      </c>
      <c r="K207" s="26">
        <v>212846</v>
      </c>
      <c r="L207" s="26">
        <v>1000000</v>
      </c>
      <c r="M207" s="26">
        <v>137900</v>
      </c>
      <c r="N207" s="26">
        <v>10100000</v>
      </c>
      <c r="O207" s="26">
        <v>2700000</v>
      </c>
      <c r="P207" s="26">
        <v>379000</v>
      </c>
      <c r="Q207" s="26">
        <v>8000</v>
      </c>
      <c r="R207" s="26">
        <v>207735806</v>
      </c>
      <c r="S207" s="26">
        <v>2545802</v>
      </c>
      <c r="T207" s="26">
        <v>2522158</v>
      </c>
      <c r="U207" s="26">
        <v>6010</v>
      </c>
      <c r="V207" s="26">
        <v>77796</v>
      </c>
      <c r="W207" s="26">
        <v>14452</v>
      </c>
      <c r="X207" s="26">
        <v>400</v>
      </c>
      <c r="Y207" s="26" t="s">
        <v>31</v>
      </c>
      <c r="Z207" s="26" t="s">
        <v>31</v>
      </c>
      <c r="AA207" s="26">
        <v>3461171</v>
      </c>
      <c r="AB207" s="26">
        <v>90843</v>
      </c>
      <c r="AC207" s="26">
        <v>8252</v>
      </c>
      <c r="AD207" s="26">
        <v>75</v>
      </c>
      <c r="AE207" s="26">
        <v>330778</v>
      </c>
      <c r="AF207" s="26">
        <v>1858</v>
      </c>
      <c r="AG207" s="26">
        <v>71200</v>
      </c>
      <c r="AH207" s="26">
        <v>206</v>
      </c>
    </row>
    <row r="208" spans="1:34" x14ac:dyDescent="0.2">
      <c r="A208" s="10">
        <f t="shared" si="12"/>
        <v>2025</v>
      </c>
      <c r="B208" s="10">
        <f t="shared" si="13"/>
        <v>1</v>
      </c>
      <c r="D208" s="10" t="s">
        <v>58</v>
      </c>
      <c r="E208" s="25" t="d">
        <v>2025-01-01</v>
      </c>
      <c r="F208" s="26">
        <v>1168375</v>
      </c>
      <c r="G208" s="26">
        <v>44974</v>
      </c>
      <c r="H208" s="26">
        <v>204670370</v>
      </c>
      <c r="I208" s="26">
        <v>15582994</v>
      </c>
      <c r="J208" s="26">
        <v>1539841</v>
      </c>
      <c r="K208" s="26">
        <v>284492</v>
      </c>
      <c r="L208" s="26">
        <v>1100000</v>
      </c>
      <c r="M208" s="26">
        <v>100000</v>
      </c>
      <c r="N208" s="26">
        <v>11200000</v>
      </c>
      <c r="O208" s="26">
        <v>1100000</v>
      </c>
      <c r="P208" s="26">
        <v>390000</v>
      </c>
      <c r="Q208" s="26">
        <v>11000</v>
      </c>
      <c r="R208" s="26">
        <v>210963437</v>
      </c>
      <c r="S208" s="26">
        <v>3046375</v>
      </c>
      <c r="T208" s="26">
        <v>2580044</v>
      </c>
      <c r="U208" s="26">
        <v>57886</v>
      </c>
      <c r="V208" s="26">
        <v>557810</v>
      </c>
      <c r="W208" s="26">
        <v>14856</v>
      </c>
      <c r="X208" s="26">
        <v>404</v>
      </c>
      <c r="Y208" s="26" t="s">
        <v>31</v>
      </c>
      <c r="Z208" s="26" t="s">
        <v>31</v>
      </c>
      <c r="AA208" s="26">
        <v>3576379</v>
      </c>
      <c r="AB208" s="26">
        <v>115208</v>
      </c>
      <c r="AC208" s="26">
        <v>8300</v>
      </c>
      <c r="AD208" s="26">
        <v>48</v>
      </c>
      <c r="AE208" s="26">
        <v>332897</v>
      </c>
      <c r="AF208" s="26">
        <v>2119</v>
      </c>
      <c r="AG208" s="26">
        <v>71474</v>
      </c>
      <c r="AH208" s="26">
        <v>274</v>
      </c>
    </row>
    <row r="209" spans="1:34" x14ac:dyDescent="0.2">
      <c r="A209" s="10">
        <f t="shared" si="12"/>
        <v>2025</v>
      </c>
      <c r="B209" s="10">
        <f t="shared" si="13"/>
        <v>2</v>
      </c>
      <c r="D209" s="10" t="s">
        <v>58</v>
      </c>
      <c r="E209" s="25" t="d">
        <v>2025-02-01</v>
      </c>
      <c r="F209" s="26">
        <v>1192156</v>
      </c>
      <c r="G209" s="26">
        <v>23781</v>
      </c>
      <c r="H209" s="26">
        <v>216023754</v>
      </c>
      <c r="I209" s="26">
        <v>11345181</v>
      </c>
      <c r="J209" s="26">
        <v>1073354</v>
      </c>
      <c r="K209" s="26">
        <v>-466487</v>
      </c>
      <c r="L209" s="26">
        <v>1100000</v>
      </c>
      <c r="M209" s="26">
        <v>0</v>
      </c>
      <c r="N209" s="26">
        <v>11200000</v>
      </c>
      <c r="O209" s="26">
        <v>0</v>
      </c>
      <c r="P209" s="26">
        <v>396000</v>
      </c>
      <c r="Q209" s="26">
        <v>6000</v>
      </c>
      <c r="R209" s="26">
        <v>213367459</v>
      </c>
      <c r="S209" s="26">
        <v>2404022</v>
      </c>
      <c r="T209" s="26">
        <v>2587117</v>
      </c>
      <c r="U209" s="26">
        <v>7073</v>
      </c>
      <c r="V209" s="26">
        <v>159773</v>
      </c>
      <c r="W209" s="26">
        <v>15253</v>
      </c>
      <c r="X209" s="26">
        <v>397</v>
      </c>
      <c r="Y209" s="26" t="s">
        <v>31</v>
      </c>
      <c r="Z209" s="26" t="s">
        <v>31</v>
      </c>
      <c r="AA209" s="26">
        <v>3609209</v>
      </c>
      <c r="AB209" s="26">
        <v>32830</v>
      </c>
      <c r="AC209" s="26">
        <v>8334</v>
      </c>
      <c r="AD209" s="26">
        <v>34</v>
      </c>
      <c r="AE209" s="26">
        <v>334935</v>
      </c>
      <c r="AF209" s="26">
        <v>2038</v>
      </c>
      <c r="AG209" s="26">
        <v>71689</v>
      </c>
      <c r="AH209" s="26">
        <v>215</v>
      </c>
    </row>
    <row r="210" spans="1:34" x14ac:dyDescent="0.2">
      <c r="A210" s="10">
        <f t="shared" si="12"/>
        <v>2025</v>
      </c>
      <c r="B210" s="10">
        <f t="shared" si="13"/>
        <v>3</v>
      </c>
      <c r="D210" s="10" t="s">
        <v>58</v>
      </c>
      <c r="E210" s="25" t="d">
        <v>2025-03-01</v>
      </c>
      <c r="F210" s="26">
        <v>1206393</v>
      </c>
      <c r="G210" s="26">
        <v>14237</v>
      </c>
      <c r="H210" s="26">
        <v>223700967</v>
      </c>
      <c r="I210" s="26">
        <v>7670240</v>
      </c>
      <c r="J210" s="26">
        <v>964813</v>
      </c>
      <c r="K210" s="26">
        <v>-108541</v>
      </c>
      <c r="L210" s="26">
        <v>1100000</v>
      </c>
      <c r="M210" s="26">
        <v>0</v>
      </c>
      <c r="N210" s="26">
        <v>11200000</v>
      </c>
      <c r="O210" s="26">
        <v>0</v>
      </c>
      <c r="P210" s="26">
        <v>400000</v>
      </c>
      <c r="Q210" s="26">
        <v>4000</v>
      </c>
      <c r="R210" s="26">
        <v>215307726</v>
      </c>
      <c r="S210" s="26">
        <v>1940267</v>
      </c>
      <c r="T210" s="26">
        <v>2584285</v>
      </c>
      <c r="U210" s="26">
        <v>-2832</v>
      </c>
      <c r="V210" s="26">
        <v>154229</v>
      </c>
      <c r="W210" s="26">
        <v>15574</v>
      </c>
      <c r="X210" s="26">
        <v>321</v>
      </c>
      <c r="Y210" s="26" t="s">
        <v>31</v>
      </c>
      <c r="Z210" s="26" t="s">
        <v>31</v>
      </c>
      <c r="AA210" s="26">
        <v>3627913</v>
      </c>
      <c r="AB210" s="26">
        <v>18704</v>
      </c>
      <c r="AC210" s="26">
        <v>8353</v>
      </c>
      <c r="AD210" s="26">
        <v>19</v>
      </c>
      <c r="AE210" s="26">
        <v>336100</v>
      </c>
      <c r="AF210" s="26">
        <v>1165</v>
      </c>
      <c r="AG210" s="26">
        <v>71818</v>
      </c>
      <c r="AH210" s="26">
        <v>129</v>
      </c>
    </row>
    <row r="211" spans="1:34" x14ac:dyDescent="0.2">
      <c r="A211" s="10">
        <f t="shared" si="12"/>
        <v>2025</v>
      </c>
      <c r="B211" s="10">
        <f t="shared" si="13"/>
        <v>4</v>
      </c>
      <c r="D211" s="10" t="s">
        <v>58</v>
      </c>
      <c r="E211" s="25" t="d">
        <v>2025-04-01</v>
      </c>
      <c r="F211" s="26">
        <v>1222114</v>
      </c>
      <c r="G211" s="26">
        <v>15721</v>
      </c>
      <c r="H211" s="26">
        <v>231032122</v>
      </c>
      <c r="I211" s="26">
        <v>7237254</v>
      </c>
      <c r="J211" s="26">
        <v>908666</v>
      </c>
      <c r="K211" s="26">
        <v>-56147</v>
      </c>
      <c r="L211" s="26">
        <v>1100000</v>
      </c>
      <c r="M211" s="26">
        <v>0</v>
      </c>
      <c r="N211" s="26">
        <v>11200000</v>
      </c>
      <c r="O211" s="26">
        <v>0</v>
      </c>
      <c r="P211" s="26">
        <v>403000</v>
      </c>
      <c r="Q211" s="26">
        <v>3000</v>
      </c>
      <c r="R211" s="26">
        <v>217369659</v>
      </c>
      <c r="S211" s="26">
        <v>2061933</v>
      </c>
      <c r="T211" s="26">
        <v>2587911</v>
      </c>
      <c r="U211" s="26">
        <v>3626</v>
      </c>
      <c r="V211" s="26">
        <v>125654</v>
      </c>
      <c r="W211" s="26">
        <v>15929</v>
      </c>
      <c r="X211" s="26">
        <v>355</v>
      </c>
      <c r="Y211" s="26" t="s">
        <v>31</v>
      </c>
      <c r="Z211" s="26" t="s">
        <v>31</v>
      </c>
      <c r="AA211" s="26">
        <v>3630015</v>
      </c>
      <c r="AB211" s="26">
        <v>2102</v>
      </c>
      <c r="AC211" s="26">
        <v>8371</v>
      </c>
      <c r="AD211" s="26">
        <v>18</v>
      </c>
      <c r="AE211" s="26">
        <v>337343</v>
      </c>
      <c r="AF211" s="26">
        <v>1243</v>
      </c>
      <c r="AG211" s="26">
        <v>72060</v>
      </c>
      <c r="AH211" s="26">
        <v>242</v>
      </c>
    </row>
    <row r="212" spans="1:34" x14ac:dyDescent="0.2">
      <c r="A212" s="10">
        <f t="shared" si="12"/>
        <v>2025</v>
      </c>
      <c r="B212" s="10">
        <f t="shared" si="13"/>
        <v>5</v>
      </c>
      <c r="D212" s="10" t="s">
        <v>58</v>
      </c>
      <c r="E212" s="25" t="d">
        <v>2025-05-01</v>
      </c>
      <c r="F212" s="26">
        <v>1238755</v>
      </c>
      <c r="G212" s="26">
        <v>16641</v>
      </c>
      <c r="H212" s="26">
        <v>238769134</v>
      </c>
      <c r="I212" s="26">
        <v>7579263</v>
      </c>
      <c r="J212" s="26">
        <v>951722</v>
      </c>
      <c r="K212" s="26">
        <v>43056</v>
      </c>
      <c r="L212" s="26">
        <v>1100000</v>
      </c>
      <c r="M212" s="26">
        <v>0</v>
      </c>
      <c r="N212" s="26">
        <v>11200000</v>
      </c>
      <c r="O212" s="26">
        <v>0</v>
      </c>
      <c r="P212" s="26">
        <v>408000</v>
      </c>
      <c r="Q212" s="26">
        <v>5000</v>
      </c>
      <c r="R212" s="26">
        <v>219309721</v>
      </c>
      <c r="S212" s="26">
        <v>1930773</v>
      </c>
      <c r="T212" s="26">
        <v>2591363</v>
      </c>
      <c r="U212" s="26">
        <v>3452</v>
      </c>
      <c r="V212" s="26">
        <v>31980</v>
      </c>
      <c r="W212" s="26">
        <v>16250</v>
      </c>
      <c r="X212" s="26">
        <v>321</v>
      </c>
      <c r="Y212" s="26" t="s">
        <v>31</v>
      </c>
      <c r="Z212" s="26" t="s">
        <v>31</v>
      </c>
      <c r="AA212" s="26">
        <v>3641871</v>
      </c>
      <c r="AB212" s="26">
        <v>11856</v>
      </c>
      <c r="AC212" s="26">
        <v>8396</v>
      </c>
      <c r="AD212" s="26">
        <v>25</v>
      </c>
      <c r="AE212" s="26">
        <v>339461</v>
      </c>
      <c r="AF212" s="26">
        <v>2118</v>
      </c>
      <c r="AG212" s="26">
        <v>72199</v>
      </c>
      <c r="AH212" s="26">
        <v>139</v>
      </c>
    </row>
    <row r="213" spans="1:34" x14ac:dyDescent="0.2">
      <c r="A213" s="10">
        <f t="shared" si="12"/>
        <v>2025</v>
      </c>
      <c r="B213" s="10">
        <f t="shared" si="13"/>
        <v>6</v>
      </c>
      <c r="D213" s="10" t="s">
        <v>58</v>
      </c>
      <c r="E213" s="25" t="d">
        <v>2025-06-01</v>
      </c>
      <c r="F213" s="26">
        <v>1252727</v>
      </c>
      <c r="G213" s="26">
        <v>13972</v>
      </c>
      <c r="H213" s="26">
        <v>246037571</v>
      </c>
      <c r="I213" s="26">
        <v>7252171</v>
      </c>
      <c r="J213" s="26">
        <v>913450</v>
      </c>
      <c r="K213" s="26">
        <v>-38272</v>
      </c>
      <c r="L213" s="26">
        <v>1100000</v>
      </c>
      <c r="M213" s="26">
        <v>0</v>
      </c>
      <c r="N213" s="26">
        <v>11200000</v>
      </c>
      <c r="O213" s="26">
        <v>0</v>
      </c>
      <c r="P213" s="26">
        <v>413000</v>
      </c>
      <c r="Q213" s="26">
        <v>5000</v>
      </c>
      <c r="R213" s="26">
        <v>221458907</v>
      </c>
      <c r="S213" s="26">
        <v>2149186</v>
      </c>
      <c r="T213" s="26">
        <v>2595562</v>
      </c>
      <c r="U213" s="26">
        <v>4199</v>
      </c>
      <c r="V213" s="26">
        <v>33099</v>
      </c>
      <c r="W213" s="26">
        <v>17245</v>
      </c>
      <c r="X213" s="26">
        <v>995</v>
      </c>
      <c r="Y213" s="26" t="s">
        <v>31</v>
      </c>
      <c r="Z213" s="26" t="s">
        <v>31</v>
      </c>
      <c r="AA213" s="26">
        <v>3645360</v>
      </c>
      <c r="AB213" s="26">
        <v>3489</v>
      </c>
      <c r="AC213" s="26">
        <v>8420</v>
      </c>
      <c r="AD213" s="26">
        <v>24</v>
      </c>
      <c r="AE213" s="26">
        <v>341104</v>
      </c>
      <c r="AF213" s="26">
        <v>1643</v>
      </c>
      <c r="AG213" s="26">
        <v>72333</v>
      </c>
      <c r="AH213" s="26">
        <v>134</v>
      </c>
    </row>
    <row r="214" spans="1:34" x14ac:dyDescent="0.2">
      <c r="A214" s="10">
        <f t="shared" si="12"/>
        <v>2025</v>
      </c>
      <c r="B214" s="10">
        <f t="shared" si="13"/>
        <v>7</v>
      </c>
      <c r="D214" s="10" t="s">
        <v>58</v>
      </c>
      <c r="E214" s="25" t="d">
        <v>2025-07-01</v>
      </c>
      <c r="F214" s="26">
        <v>1268281</v>
      </c>
      <c r="G214" s="26">
        <v>15554</v>
      </c>
      <c r="H214" s="26">
        <v>252446380</v>
      </c>
      <c r="I214" s="26">
        <v>6367758</v>
      </c>
      <c r="J214" s="26">
        <v>947220</v>
      </c>
      <c r="K214" s="26">
        <v>33770</v>
      </c>
      <c r="L214" s="26">
        <v>1290000</v>
      </c>
      <c r="M214" s="26">
        <v>190000</v>
      </c>
      <c r="N214" s="26">
        <v>13960000</v>
      </c>
      <c r="O214" s="26">
        <v>2760000</v>
      </c>
      <c r="P214" s="26">
        <v>419000</v>
      </c>
      <c r="Q214" s="26">
        <v>6000</v>
      </c>
      <c r="R214" s="26">
        <v>223739883</v>
      </c>
      <c r="S214" s="26">
        <v>2268699</v>
      </c>
      <c r="T214" s="26">
        <v>2601718</v>
      </c>
      <c r="U214" s="26">
        <v>6156</v>
      </c>
      <c r="V214" s="26">
        <v>16145</v>
      </c>
      <c r="W214" s="26">
        <v>18417</v>
      </c>
      <c r="X214" s="26">
        <v>1172</v>
      </c>
      <c r="Y214" s="26" t="s">
        <v>31</v>
      </c>
      <c r="Z214" s="26" t="s">
        <v>31</v>
      </c>
      <c r="AA214" s="26">
        <v>3654734</v>
      </c>
      <c r="AB214" s="26">
        <v>9374</v>
      </c>
      <c r="AC214" s="26">
        <v>8446</v>
      </c>
      <c r="AD214" s="26">
        <v>26</v>
      </c>
      <c r="AE214" s="26">
        <v>342503</v>
      </c>
      <c r="AF214" s="26">
        <v>1399</v>
      </c>
      <c r="AG214" s="26">
        <v>72530</v>
      </c>
      <c r="AH214" s="26">
        <v>197</v>
      </c>
    </row>
    <row r="215" spans="1:34" x14ac:dyDescent="0.2">
      <c r="A215" s="10">
        <f t="shared" si="12"/>
        <v>2025</v>
      </c>
      <c r="B215" s="10">
        <f t="shared" si="13"/>
        <v>8</v>
      </c>
      <c r="D215" s="10" t="s">
        <v>58</v>
      </c>
      <c r="E215" s="25" t="d">
        <v>2025-08-01</v>
      </c>
      <c r="F215" s="26">
        <v>1281854</v>
      </c>
      <c r="G215" s="26">
        <v>13573</v>
      </c>
      <c r="H215" s="26">
        <v>260903234</v>
      </c>
      <c r="I215" s="26">
        <v>8445893</v>
      </c>
      <c r="J215" s="26">
        <v>885771</v>
      </c>
      <c r="K215" s="26">
        <v>-61449</v>
      </c>
      <c r="L215" s="26">
        <v>1300000</v>
      </c>
      <c r="M215" s="26">
        <v>10000</v>
      </c>
      <c r="N215" s="26">
        <v>15200000</v>
      </c>
      <c r="O215" s="26">
        <v>1240000</v>
      </c>
      <c r="P215" s="26">
        <v>425000</v>
      </c>
      <c r="Q215" s="26">
        <v>6000</v>
      </c>
      <c r="R215" s="26">
        <v>225781317</v>
      </c>
      <c r="S215" s="26">
        <v>1933803</v>
      </c>
      <c r="T215" s="26">
        <v>2606218</v>
      </c>
      <c r="U215" s="26">
        <v>4500</v>
      </c>
      <c r="V215" s="26">
        <v>55350</v>
      </c>
      <c r="W215" s="26">
        <v>19791</v>
      </c>
      <c r="X215" s="26">
        <v>1374</v>
      </c>
      <c r="Y215" s="26" t="s">
        <v>31</v>
      </c>
      <c r="Z215" s="26" t="s">
        <v>31</v>
      </c>
      <c r="AA215" s="26">
        <v>3651718</v>
      </c>
      <c r="AB215" s="26">
        <v>-3016</v>
      </c>
      <c r="AC215" s="26">
        <v>8469</v>
      </c>
      <c r="AD215" s="26">
        <v>23</v>
      </c>
      <c r="AE215" s="26">
        <v>344114</v>
      </c>
      <c r="AF215" s="26">
        <v>1611</v>
      </c>
      <c r="AG215" s="26">
        <v>72747</v>
      </c>
      <c r="AH215" s="26">
        <v>217</v>
      </c>
    </row>
    <row r="216" spans="1:34" x14ac:dyDescent="0.2">
      <c r="A216" s="10">
        <f t="shared" si="12"/>
        <v>2025</v>
      </c>
      <c r="B216" s="10">
        <f t="shared" si="13"/>
        <v>9</v>
      </c>
      <c r="D216" s="10" t="s">
        <v>58</v>
      </c>
      <c r="E216" s="25" t="d">
        <v>2025-09-01</v>
      </c>
      <c r="F216" s="26">
        <v>1293307</v>
      </c>
      <c r="G216" s="26">
        <v>11453</v>
      </c>
      <c r="H216" s="26">
        <v>266524446</v>
      </c>
      <c r="I216" s="26">
        <v>5483047</v>
      </c>
      <c r="J216" s="26">
        <v>937362</v>
      </c>
      <c r="K216" s="26">
        <v>51591</v>
      </c>
      <c r="L216" s="26">
        <v>1300000</v>
      </c>
      <c r="M216" s="26">
        <v>0</v>
      </c>
      <c r="N216" s="26">
        <v>16600000</v>
      </c>
      <c r="O216" s="26">
        <v>1400000</v>
      </c>
      <c r="P216" s="26">
        <v>434000</v>
      </c>
      <c r="Q216" s="26">
        <v>9000</v>
      </c>
      <c r="R216" s="26">
        <v>228253849</v>
      </c>
      <c r="S216" s="26">
        <v>2170486</v>
      </c>
      <c r="T216" s="26">
        <v>2608430</v>
      </c>
      <c r="U216" s="26">
        <v>2212</v>
      </c>
      <c r="V216" s="26">
        <v>45476</v>
      </c>
      <c r="W216" s="26">
        <v>21591</v>
      </c>
      <c r="X216" s="26">
        <v>1800</v>
      </c>
      <c r="Y216" s="26" t="s">
        <v>31</v>
      </c>
      <c r="Z216" s="26" t="s">
        <v>31</v>
      </c>
      <c r="AA216" s="26">
        <v>3655514</v>
      </c>
      <c r="AB216" s="26">
        <v>3796</v>
      </c>
      <c r="AC216" s="26">
        <v>8490</v>
      </c>
      <c r="AD216" s="26">
        <v>21</v>
      </c>
      <c r="AE216" s="26">
        <v>344879</v>
      </c>
      <c r="AF216" s="26">
        <v>765</v>
      </c>
      <c r="AG216" s="26">
        <v>72911</v>
      </c>
      <c r="AH216" s="26">
        <v>164</v>
      </c>
    </row>
    <row r="217" spans="1:34" x14ac:dyDescent="0.2">
      <c r="A217" s="10">
        <f t="shared" si="12"/>
        <v>2025</v>
      </c>
      <c r="B217" s="10">
        <f t="shared" si="13"/>
        <v>10</v>
      </c>
      <c r="D217" s="10" t="s">
        <v>58</v>
      </c>
      <c r="E217" s="25" t="d">
        <v>2025-10-01</v>
      </c>
      <c r="F217" s="26">
        <v>1306107</v>
      </c>
      <c r="G217" s="26">
        <v>12800</v>
      </c>
      <c r="H217" s="26">
        <v>278143597</v>
      </c>
      <c r="I217" s="26">
        <v>11184912</v>
      </c>
      <c r="J217" s="26">
        <v>1120513</v>
      </c>
      <c r="K217" s="26">
        <v>183151</v>
      </c>
      <c r="L217" s="26">
        <v>1300000</v>
      </c>
      <c r="M217" s="26">
        <v>0</v>
      </c>
      <c r="N217" s="26">
        <v>16900000</v>
      </c>
      <c r="O217" s="26">
        <v>300000</v>
      </c>
      <c r="P217" s="26">
        <v>451000</v>
      </c>
      <c r="Q217" s="26">
        <v>17000</v>
      </c>
      <c r="R217" s="26">
        <v>232247686</v>
      </c>
      <c r="S217" s="26">
        <v>3256643</v>
      </c>
      <c r="T217" s="26">
        <v>2613812</v>
      </c>
      <c r="U217" s="26">
        <v>5382</v>
      </c>
      <c r="V217" s="26">
        <v>72401</v>
      </c>
      <c r="W217" s="26">
        <v>23384</v>
      </c>
      <c r="X217" s="26">
        <v>1793</v>
      </c>
      <c r="Y217" s="26" t="s">
        <v>31</v>
      </c>
      <c r="Z217" s="26" t="s">
        <v>31</v>
      </c>
      <c r="AA217" s="26">
        <v>3658558</v>
      </c>
      <c r="AB217" s="26">
        <v>3044</v>
      </c>
      <c r="AC217" s="26">
        <v>8515</v>
      </c>
      <c r="AD217" s="26">
        <v>25</v>
      </c>
      <c r="AE217" s="26">
        <v>345638</v>
      </c>
      <c r="AF217" s="26">
        <v>759</v>
      </c>
      <c r="AG217" s="26">
        <v>73051</v>
      </c>
      <c r="AH217" s="26">
        <v>140</v>
      </c>
    </row>
    <row r="218" spans="1:34" x14ac:dyDescent="0.2">
      <c r="A218" s="10">
        <f t="shared" si="12"/>
        <v>2025</v>
      </c>
      <c r="B218" s="10">
        <f t="shared" si="13"/>
        <v>11</v>
      </c>
      <c r="D218" s="10" t="s">
        <v>58</v>
      </c>
      <c r="E218" s="25" t="d">
        <v>2025-11-01</v>
      </c>
      <c r="F218" s="26">
        <v>1320608</v>
      </c>
      <c r="G218" s="26">
        <v>14501</v>
      </c>
      <c r="H218" s="26">
        <v>284183257</v>
      </c>
      <c r="I218" s="26">
        <v>6714905</v>
      </c>
      <c r="J218" s="26">
        <v>1128807</v>
      </c>
      <c r="K218" s="26">
        <v>8294</v>
      </c>
      <c r="L218" s="26">
        <v>1400000</v>
      </c>
      <c r="M218" s="26">
        <v>100000</v>
      </c>
      <c r="N218" s="26">
        <v>18900000</v>
      </c>
      <c r="O218" s="26">
        <v>2000000</v>
      </c>
      <c r="P218" s="26">
        <v>456000</v>
      </c>
      <c r="Q218" s="26">
        <v>5000</v>
      </c>
      <c r="R218" s="26">
        <v>235175800</v>
      </c>
      <c r="S218" s="26">
        <v>3038515</v>
      </c>
      <c r="T218" s="26">
        <v>2613812</v>
      </c>
      <c r="U218" s="26">
        <v>0</v>
      </c>
      <c r="V218" s="26">
        <v>0</v>
      </c>
      <c r="W218" s="26">
        <v>25093</v>
      </c>
      <c r="X218" s="26">
        <v>1774</v>
      </c>
      <c r="Y218" s="26" t="s">
        <v>31</v>
      </c>
      <c r="Z218" s="26" t="s">
        <v>31</v>
      </c>
      <c r="AA218" s="26">
        <v>3657398</v>
      </c>
      <c r="AB218" s="26">
        <v>-1160</v>
      </c>
      <c r="AC218" s="26">
        <v>8538</v>
      </c>
      <c r="AD218" s="26">
        <v>23</v>
      </c>
      <c r="AE218" s="26">
        <v>346242</v>
      </c>
      <c r="AF218" s="26">
        <v>712</v>
      </c>
      <c r="AG218" s="26">
        <v>73186</v>
      </c>
      <c r="AH218" s="26">
        <v>135</v>
      </c>
    </row>
    <row r="219" spans="1:34" x14ac:dyDescent="0.2">
      <c r="A219" s="10">
        <f t="shared" si="12"/>
        <v>2025</v>
      </c>
      <c r="B219" s="10">
        <f t="shared" si="13"/>
        <v>12</v>
      </c>
      <c r="D219" s="10" t="s">
        <v>58</v>
      </c>
      <c r="E219" s="25" t="d">
        <v>2025-12-01</v>
      </c>
      <c r="F219" s="26">
        <v>1352478</v>
      </c>
      <c r="G219" s="26">
        <v>31870</v>
      </c>
      <c r="H219" s="26">
        <v>295395891</v>
      </c>
      <c r="I219" s="26">
        <v>10870486</v>
      </c>
      <c r="J219" s="26">
        <v>1548604</v>
      </c>
      <c r="K219" s="26">
        <v>419797</v>
      </c>
      <c r="L219" s="26">
        <v>1400000</v>
      </c>
      <c r="M219" s="26">
        <v>0</v>
      </c>
      <c r="N219" s="26">
        <v>19800000</v>
      </c>
      <c r="O219" s="26">
        <v>900000</v>
      </c>
      <c r="P219" s="26">
        <v>462000</v>
      </c>
      <c r="Q219" s="26">
        <v>6000</v>
      </c>
      <c r="R219" s="26">
        <v>237787528</v>
      </c>
      <c r="S219" s="26">
        <v>2609717</v>
      </c>
      <c r="T219" s="26">
        <v>2613812</v>
      </c>
      <c r="U219" s="26">
        <v>0</v>
      </c>
      <c r="V219" s="26">
        <v>0</v>
      </c>
      <c r="W219" s="26">
        <v>26793</v>
      </c>
      <c r="X219" s="26">
        <v>1700</v>
      </c>
      <c r="Y219" s="26" t="s">
        <v>31</v>
      </c>
      <c r="Z219" s="26" t="s">
        <v>31</v>
      </c>
      <c r="AA219" s="26">
        <v>3660804</v>
      </c>
      <c r="AB219" s="26">
        <v>3406</v>
      </c>
      <c r="AC219" s="26">
        <v>8559</v>
      </c>
      <c r="AD219" s="26">
        <v>21</v>
      </c>
      <c r="AE219" s="26">
        <v>346918</v>
      </c>
      <c r="AF219" s="26">
        <v>676</v>
      </c>
      <c r="AG219" s="26">
        <v>73322</v>
      </c>
      <c r="AH219" s="26">
        <v>136</v>
      </c>
    </row>
    <row r="220" spans="1:34" x14ac:dyDescent="0.2">
      <c r="A220" s="10">
        <f t="shared" si="12"/>
        <v>2026</v>
      </c>
      <c r="B220" s="10">
        <f t="shared" si="13"/>
        <v>1</v>
      </c>
      <c r="D220" s="10" t="s">
        <v>58</v>
      </c>
      <c r="E220" s="25" t="d">
        <v>2026-01-01</v>
      </c>
      <c r="F220" s="26">
        <v>1400205</v>
      </c>
      <c r="G220" s="26">
        <v>47727</v>
      </c>
      <c r="H220" s="26">
        <v>314763685</v>
      </c>
      <c r="I220" s="26">
        <v>18312680</v>
      </c>
      <c r="J220" s="26">
        <v>3021739</v>
      </c>
      <c r="K220" s="26">
        <v>1473135</v>
      </c>
      <c r="L220" s="26">
        <v>1400000</v>
      </c>
      <c r="M220" s="26">
        <v>0</v>
      </c>
      <c r="N220" s="26">
        <v>20000000</v>
      </c>
      <c r="O220" s="26">
        <v>200000</v>
      </c>
      <c r="P220" s="26">
        <v>474000</v>
      </c>
      <c r="Q220" s="26">
        <v>12000</v>
      </c>
      <c r="R220" s="26">
        <v>240337212</v>
      </c>
      <c r="S220" s="26">
        <v>2549712</v>
      </c>
      <c r="T220" s="26">
        <v>2637561</v>
      </c>
      <c r="U220" s="26">
        <v>23749</v>
      </c>
      <c r="V220" s="26">
        <v>0</v>
      </c>
      <c r="W220" s="26">
        <v>28529</v>
      </c>
      <c r="X220" s="26">
        <v>1736</v>
      </c>
      <c r="Y220" s="26" t="s">
        <v>31</v>
      </c>
      <c r="Z220" s="26" t="s">
        <v>31</v>
      </c>
      <c r="AA220" s="26">
        <v>3661655</v>
      </c>
      <c r="AB220" s="26">
        <v>851</v>
      </c>
      <c r="AC220" s="26">
        <v>8570</v>
      </c>
      <c r="AD220" s="26">
        <v>11</v>
      </c>
      <c r="AE220" s="26">
        <v>347594</v>
      </c>
      <c r="AF220" s="26">
        <v>676</v>
      </c>
      <c r="AG220" s="26">
        <v>73478</v>
      </c>
      <c r="AH220" s="26">
        <v>156</v>
      </c>
    </row>
    <row r="221" spans="1:34" x14ac:dyDescent="0.2">
      <c r="A221" s="10">
        <f t="shared" si="12"/>
        <v>2026</v>
      </c>
      <c r="B221" s="10">
        <f t="shared" si="13"/>
        <v>2</v>
      </c>
      <c r="D221" s="10" t="s">
        <v>58</v>
      </c>
      <c r="E221" s="25" t="d">
        <v>2026-02-01</v>
      </c>
      <c r="F221" s="26">
        <v>1434595</v>
      </c>
      <c r="G221" s="26">
        <v>34390</v>
      </c>
      <c r="H221" s="26">
        <v>330235886</v>
      </c>
      <c r="I221" s="26">
        <v>15465323</v>
      </c>
      <c r="J221" s="26">
        <v>2999632</v>
      </c>
      <c r="K221" s="26">
        <v>-22107</v>
      </c>
      <c r="L221" s="26">
        <v>1450000</v>
      </c>
      <c r="M221" s="26">
        <v>50000</v>
      </c>
      <c r="N221" s="26">
        <v>20100000</v>
      </c>
      <c r="O221" s="26">
        <v>100000</v>
      </c>
      <c r="P221" s="26">
        <v>480000</v>
      </c>
      <c r="Q221" s="26">
        <v>6000</v>
      </c>
      <c r="R221" s="26">
        <v>242354064</v>
      </c>
      <c r="S221" s="26">
        <v>2016855</v>
      </c>
      <c r="T221" s="26">
        <v>2637561</v>
      </c>
      <c r="U221" s="26">
        <v>0</v>
      </c>
      <c r="V221" s="26">
        <v>0</v>
      </c>
      <c r="W221" s="26">
        <v>30179</v>
      </c>
      <c r="X221" s="26">
        <v>1650</v>
      </c>
      <c r="Y221" s="26" t="s">
        <v>31</v>
      </c>
      <c r="Z221" s="26" t="s">
        <v>31</v>
      </c>
      <c r="AA221" s="26">
        <v>3661927</v>
      </c>
      <c r="AB221" s="26">
        <v>272</v>
      </c>
      <c r="AC221" s="26">
        <v>8584</v>
      </c>
      <c r="AD221" s="26">
        <v>14</v>
      </c>
      <c r="AE221" s="26">
        <v>347926</v>
      </c>
      <c r="AF221" s="26">
        <v>332</v>
      </c>
      <c r="AG221" s="26">
        <v>73591</v>
      </c>
      <c r="AH221" s="26">
        <v>113</v>
      </c>
    </row>
    <row r="222" spans="1:34" x14ac:dyDescent="0.2">
      <c r="A222" s="10">
        <f t="shared" si="12"/>
        <v>2026</v>
      </c>
      <c r="B222" s="10">
        <f t="shared" si="13"/>
        <v>3</v>
      </c>
      <c r="D222" s="10" t="s">
        <v>58</v>
      </c>
      <c r="E222" s="25" t="d">
        <v>2026-03-01</v>
      </c>
      <c r="F222" s="26">
        <v>1458170</v>
      </c>
      <c r="G222" s="26">
        <v>23575</v>
      </c>
      <c r="H222" s="26">
        <v>341950983</v>
      </c>
      <c r="I222" s="26">
        <v>11679170</v>
      </c>
      <c r="J222" s="26">
        <v>2893941</v>
      </c>
      <c r="K222" s="26">
        <v>-105691</v>
      </c>
      <c r="L222" s="26">
        <v>1450000</v>
      </c>
      <c r="M222" s="26">
        <v>0</v>
      </c>
      <c r="N222" s="26">
        <v>20100000</v>
      </c>
      <c r="O222" s="26">
        <v>0</v>
      </c>
      <c r="P222" s="26">
        <v>483000</v>
      </c>
      <c r="Q222" s="26">
        <v>3000</v>
      </c>
      <c r="R222" s="26">
        <v>244010647</v>
      </c>
      <c r="S222" s="26">
        <v>1656593</v>
      </c>
      <c r="T222" s="26">
        <v>2637561</v>
      </c>
      <c r="U222" s="26">
        <v>0</v>
      </c>
      <c r="V222" s="26">
        <v>0</v>
      </c>
      <c r="W222" s="26">
        <v>31645</v>
      </c>
      <c r="X222" s="26">
        <v>1466</v>
      </c>
      <c r="Y222" s="26" t="s">
        <v>31</v>
      </c>
      <c r="Z222" s="26" t="s">
        <v>31</v>
      </c>
      <c r="AA222" s="26">
        <v>3661484</v>
      </c>
      <c r="AB222" s="26">
        <v>-443</v>
      </c>
      <c r="AC222" s="26">
        <v>8598</v>
      </c>
      <c r="AD222" s="26">
        <v>14</v>
      </c>
      <c r="AE222" s="26">
        <v>348561</v>
      </c>
      <c r="AF222" s="26">
        <v>635</v>
      </c>
      <c r="AG222" s="26">
        <v>73692</v>
      </c>
      <c r="AH222" s="26">
        <v>101</v>
      </c>
    </row>
    <row r="223" spans="1:34" x14ac:dyDescent="0.2">
      <c r="A223" s="10">
        <f t="shared" si="12"/>
        <v>2026</v>
      </c>
      <c r="B223" s="10">
        <f t="shared" si="13"/>
        <v>4</v>
      </c>
      <c r="D223" s="10" t="s">
        <v>58</v>
      </c>
      <c r="E223" s="25" t="d">
        <v>2026-04-01</v>
      </c>
      <c r="F223" s="26">
        <v>1496051</v>
      </c>
      <c r="G223" s="26">
        <v>37881</v>
      </c>
      <c r="H223" s="26">
        <v>354162524</v>
      </c>
      <c r="I223" s="26">
        <v>12219293</v>
      </c>
      <c r="J223" s="26">
        <v>2751291</v>
      </c>
      <c r="K223" s="26">
        <v>-142650</v>
      </c>
      <c r="L223" s="26">
        <v>1479580</v>
      </c>
      <c r="M223" s="26">
        <v>-1937</v>
      </c>
      <c r="N223" s="26">
        <v>21330646</v>
      </c>
      <c r="O223" s="26">
        <v>56263</v>
      </c>
      <c r="P223" s="26">
        <v>492000</v>
      </c>
      <c r="Q223" s="26">
        <v>9000</v>
      </c>
      <c r="R223" s="26">
        <v>245852285</v>
      </c>
      <c r="S223" s="26">
        <v>1836996</v>
      </c>
      <c r="T223" s="26">
        <v>2675836</v>
      </c>
      <c r="U223" s="26">
        <v>38275</v>
      </c>
      <c r="V223" s="26">
        <v>108637</v>
      </c>
      <c r="W223" s="26">
        <v>33301</v>
      </c>
      <c r="X223" s="26">
        <v>1656</v>
      </c>
      <c r="Y223" s="26">
        <v>21133269</v>
      </c>
      <c r="Z223" s="26">
        <v>154826</v>
      </c>
      <c r="AA223" s="26">
        <v>3668259</v>
      </c>
      <c r="AB223" s="26">
        <v>6775</v>
      </c>
      <c r="AC223" s="26">
        <v>8609</v>
      </c>
      <c r="AD223" s="26">
        <v>11</v>
      </c>
      <c r="AE223" s="26">
        <v>349581</v>
      </c>
      <c r="AF223" s="26">
        <v>1020</v>
      </c>
      <c r="AG223" s="26">
        <v>73820</v>
      </c>
      <c r="AH223" s="26">
        <v>128</v>
      </c>
    </row>
    <row r="224" spans="1:34" x14ac:dyDescent="0.2">
      <c r="A224" s="10">
        <f t="shared" si="12"/>
        <v>2026</v>
      </c>
      <c r="B224" s="10">
        <f t="shared" si="13"/>
        <v>5</v>
      </c>
      <c r="D224" s="10" t="s">
        <v>58</v>
      </c>
      <c r="E224" s="25" t="d">
        <v>2026-05-01</v>
      </c>
      <c r="F224" s="26">
        <v>1522286</v>
      </c>
      <c r="G224" s="26">
        <v>26235</v>
      </c>
      <c r="H224" s="26">
        <v>365417834</v>
      </c>
      <c r="I224" s="26">
        <v>11149977</v>
      </c>
      <c r="J224" s="26">
        <v>2646694</v>
      </c>
      <c r="K224" s="26">
        <v>-104597</v>
      </c>
      <c r="L224" s="26">
        <v>1515932</v>
      </c>
      <c r="M224" s="26">
        <v>36352</v>
      </c>
      <c r="N224" s="26">
        <v>21826809</v>
      </c>
      <c r="O224" s="26">
        <v>496163</v>
      </c>
      <c r="P224" s="26">
        <v>495000</v>
      </c>
      <c r="Q224" s="26">
        <v>3000</v>
      </c>
      <c r="R224" s="26">
        <v>247576607</v>
      </c>
      <c r="S224" s="26">
        <v>1724319</v>
      </c>
      <c r="T224" s="26">
        <v>2691649</v>
      </c>
      <c r="U224" s="26">
        <v>15813</v>
      </c>
      <c r="V224" s="26">
        <v>151726</v>
      </c>
      <c r="W224" s="26">
        <v>35047</v>
      </c>
      <c r="X224" s="26">
        <v>1746</v>
      </c>
      <c r="Y224" s="26">
        <v>21165405</v>
      </c>
      <c r="Z224" s="26">
        <v>32136</v>
      </c>
      <c r="AA224" s="26">
        <v>3687598</v>
      </c>
      <c r="AB224" s="26">
        <v>19339</v>
      </c>
      <c r="AC224" s="26">
        <v>8626</v>
      </c>
      <c r="AD224" s="26">
        <v>17</v>
      </c>
      <c r="AE224" s="26">
        <v>350097</v>
      </c>
      <c r="AF224" s="26">
        <v>516</v>
      </c>
      <c r="AG224" s="26">
        <v>73947</v>
      </c>
      <c r="AH224" s="26">
        <v>127</v>
      </c>
    </row>
    <row r="225" spans="1:34" x14ac:dyDescent="0.2">
      <c r="A225" s="10">
        <f t="shared" si="12"/>
        <v>2026</v>
      </c>
      <c r="B225" s="10">
        <f t="shared" si="13"/>
        <v>6</v>
      </c>
      <c r="D225" s="10" t="s">
        <v>58</v>
      </c>
      <c r="E225" s="25" t="d">
        <v>2026-06-01</v>
      </c>
      <c r="F225" s="26">
        <v>1549038</v>
      </c>
      <c r="G225" s="26">
        <v>26752</v>
      </c>
      <c r="H225" s="26">
        <v>376549174</v>
      </c>
      <c r="I225" s="26">
        <v>11131340</v>
      </c>
      <c r="J225" s="26">
        <v>2702464</v>
      </c>
      <c r="K225" s="26">
        <v>55770</v>
      </c>
      <c r="L225" s="26">
        <v>1544453</v>
      </c>
      <c r="M225" s="26">
        <v>28521</v>
      </c>
      <c r="N225" s="26">
        <v>22720041</v>
      </c>
      <c r="O225" s="26">
        <v>893232</v>
      </c>
      <c r="P225" s="26">
        <v>495000</v>
      </c>
      <c r="Q225" s="26">
        <v>0</v>
      </c>
      <c r="R225" s="26">
        <v>249379134</v>
      </c>
      <c r="S225" s="26">
        <v>1802527</v>
      </c>
      <c r="T225" s="26">
        <v>2678148</v>
      </c>
      <c r="U225" s="26">
        <v>-13501</v>
      </c>
      <c r="V225" s="26">
        <v>168280</v>
      </c>
      <c r="W225" s="26">
        <v>36560</v>
      </c>
      <c r="X225" s="26">
        <v>1513</v>
      </c>
      <c r="Y225" s="26">
        <v>21613361</v>
      </c>
      <c r="Z225" s="26">
        <v>447956</v>
      </c>
      <c r="AA225" s="26">
        <v>3694432</v>
      </c>
      <c r="AB225" s="26">
        <v>6834</v>
      </c>
      <c r="AC225" s="26">
        <v>8648</v>
      </c>
      <c r="AD225" s="26">
        <v>22</v>
      </c>
      <c r="AE225" s="26">
        <v>350688</v>
      </c>
      <c r="AF225" s="26">
        <v>591</v>
      </c>
      <c r="AG225" s="26">
        <v>74075</v>
      </c>
      <c r="AH225" s="26">
        <v>128</v>
      </c>
    </row>
    <row r="226" spans="1:34" x14ac:dyDescent="0.2">
      <c r="A226" s="10">
        <f>YEAR(E226)</f>
        <v>2026</v>
      </c>
      <c r="B226" s="10">
        <f>MONTH(E226)</f>
        <v>7</v>
      </c>
      <c r="D226" s="10" t="s">
        <v>58</v>
      </c>
      <c r="E226" s="25" t="d">
        <v>2026-07-01</v>
      </c>
      <c r="F226" s="26">
        <v>1570243</v>
      </c>
      <c r="G226" s="26">
        <v>21205</v>
      </c>
      <c r="H226" s="26">
        <v>386216622</v>
      </c>
      <c r="I226" s="26">
        <v>9645361</v>
      </c>
      <c r="J226" s="26">
        <v>2454330</v>
      </c>
      <c r="K226" s="26">
        <v>-248134</v>
      </c>
      <c r="L226" s="26">
        <v>1589188</v>
      </c>
      <c r="M226" s="26">
        <v>44735</v>
      </c>
      <c r="N226" s="26">
        <v>23535866</v>
      </c>
      <c r="O226" s="26">
        <v>815825</v>
      </c>
      <c r="P226" s="26">
        <v>495000</v>
      </c>
      <c r="Q226" s="26">
        <v>0</v>
      </c>
      <c r="R226" s="26">
        <v>251096810</v>
      </c>
      <c r="S226" s="26">
        <v>1717676</v>
      </c>
      <c r="T226" s="26">
        <v>2679458</v>
      </c>
      <c r="U226" s="26">
        <v>1310</v>
      </c>
      <c r="V226" s="26">
        <v>209874</v>
      </c>
      <c r="W226" s="26">
        <v>37628</v>
      </c>
      <c r="X226" s="26">
        <v>1068</v>
      </c>
      <c r="Y226" s="26">
        <v>21786549</v>
      </c>
      <c r="Z226" s="26">
        <v>173188</v>
      </c>
      <c r="AA226" s="26">
        <v>3714647</v>
      </c>
      <c r="AB226" s="26">
        <v>20215</v>
      </c>
      <c r="AC226" s="26">
        <v>8659</v>
      </c>
      <c r="AD226" s="26">
        <v>11</v>
      </c>
      <c r="AE226" s="26">
        <v>351286</v>
      </c>
      <c r="AF226" s="26">
        <v>598</v>
      </c>
      <c r="AG226" s="26">
        <v>74195</v>
      </c>
      <c r="AH226" s="26">
        <v>120</v>
      </c>
    </row>
    <row r="227" spans="1:34" x14ac:dyDescent="0.2">
      <c r="A227" s="10">
        <f t="shared" ref="A227:A251" si="14">YEAR(E227)</f>
        <v>2024</v>
      </c>
      <c r="B227" s="10">
        <f t="shared" ref="B227:B251" si="15">MONTH(E227)</f>
        <v>7</v>
      </c>
      <c r="D227" s="10" t="s">
        <v>60</v>
      </c>
      <c r="E227" s="25" t="d">
        <v>2024-07-01</v>
      </c>
      <c r="F227" s="26">
        <v>882610</v>
      </c>
      <c r="G227" s="26">
        <v>34494</v>
      </c>
      <c r="H227" s="26">
        <v>183685668</v>
      </c>
      <c r="I227" s="26">
        <v>11273632</v>
      </c>
      <c r="J227" s="26">
        <v>2358889</v>
      </c>
      <c r="K227" s="26">
        <v>204447</v>
      </c>
      <c r="L227" s="26">
        <v>422200</v>
      </c>
      <c r="M227" s="26">
        <v>6400</v>
      </c>
      <c r="N227" s="26">
        <v>3400000</v>
      </c>
      <c r="O227" s="26">
        <v>100000</v>
      </c>
      <c r="P227" s="26">
        <v>266000</v>
      </c>
      <c r="Q227" s="26">
        <v>21000</v>
      </c>
      <c r="R227" s="26">
        <v>160536408</v>
      </c>
      <c r="S227" s="26">
        <v>8975394</v>
      </c>
      <c r="T227" s="26">
        <v>716876</v>
      </c>
      <c r="U227" s="26">
        <v>7289</v>
      </c>
      <c r="V227" s="26">
        <v>287417</v>
      </c>
      <c r="W227" s="26">
        <v>5971</v>
      </c>
      <c r="X227" s="26">
        <v>208</v>
      </c>
      <c r="Y227" s="26" t="s">
        <v>31</v>
      </c>
      <c r="Z227" s="26" t="s">
        <v>31</v>
      </c>
      <c r="AA227" s="26">
        <v>1445587</v>
      </c>
      <c r="AB227" s="26">
        <v>4378</v>
      </c>
      <c r="AC227" s="26">
        <v>994</v>
      </c>
      <c r="AD227" s="26">
        <v>28</v>
      </c>
      <c r="AE227" s="26" t="s">
        <v>31</v>
      </c>
      <c r="AF227" s="26" t="s">
        <v>31</v>
      </c>
      <c r="AG227" s="26">
        <v>39477</v>
      </c>
      <c r="AH227" s="26">
        <v>231</v>
      </c>
    </row>
    <row r="228" spans="1:34" x14ac:dyDescent="0.2">
      <c r="A228" s="10">
        <f t="shared" si="14"/>
        <v>2024</v>
      </c>
      <c r="B228" s="10">
        <f t="shared" si="15"/>
        <v>8</v>
      </c>
      <c r="D228" s="10" t="s">
        <v>60</v>
      </c>
      <c r="E228" s="25" t="d">
        <v>2024-08-01</v>
      </c>
      <c r="F228" s="26">
        <v>920920</v>
      </c>
      <c r="G228" s="26">
        <v>38310</v>
      </c>
      <c r="H228" s="26">
        <v>197027516</v>
      </c>
      <c r="I228" s="26">
        <v>13028873</v>
      </c>
      <c r="J228" s="26">
        <v>2609224</v>
      </c>
      <c r="K228" s="26">
        <v>250335</v>
      </c>
      <c r="L228" s="26">
        <v>437300</v>
      </c>
      <c r="M228" s="26">
        <v>15100</v>
      </c>
      <c r="N228" s="26">
        <v>3500000</v>
      </c>
      <c r="O228" s="26">
        <v>100000</v>
      </c>
      <c r="P228" s="26">
        <v>283000</v>
      </c>
      <c r="Q228" s="26">
        <v>17000</v>
      </c>
      <c r="R228" s="26">
        <v>170252604</v>
      </c>
      <c r="S228" s="26">
        <v>9650940</v>
      </c>
      <c r="T228" s="26">
        <v>728503</v>
      </c>
      <c r="U228" s="26">
        <v>11627</v>
      </c>
      <c r="V228" s="26">
        <v>516119</v>
      </c>
      <c r="W228" s="26">
        <v>6150</v>
      </c>
      <c r="X228" s="26">
        <v>179</v>
      </c>
      <c r="Y228" s="26" t="s">
        <v>31</v>
      </c>
      <c r="Z228" s="26" t="s">
        <v>31</v>
      </c>
      <c r="AA228" s="26">
        <v>1463256</v>
      </c>
      <c r="AB228" s="26">
        <v>17669</v>
      </c>
      <c r="AC228" s="26">
        <v>1039</v>
      </c>
      <c r="AD228" s="26">
        <v>45</v>
      </c>
      <c r="AE228" s="26" t="s">
        <v>31</v>
      </c>
      <c r="AF228" s="26" t="s">
        <v>31</v>
      </c>
      <c r="AG228" s="26">
        <v>39756</v>
      </c>
      <c r="AH228" s="26">
        <v>279</v>
      </c>
    </row>
    <row r="229" spans="1:34" x14ac:dyDescent="0.2">
      <c r="A229" s="10">
        <f t="shared" si="14"/>
        <v>2024</v>
      </c>
      <c r="B229" s="10">
        <f t="shared" si="15"/>
        <v>9</v>
      </c>
      <c r="D229" s="10" t="s">
        <v>60</v>
      </c>
      <c r="E229" s="25" t="d">
        <v>2024-09-01</v>
      </c>
      <c r="F229" s="26">
        <v>998975</v>
      </c>
      <c r="G229" s="26">
        <v>78055</v>
      </c>
      <c r="H229" s="26">
        <v>209117470</v>
      </c>
      <c r="I229" s="26">
        <v>12083726</v>
      </c>
      <c r="J229" s="26">
        <v>2485036</v>
      </c>
      <c r="K229" s="26">
        <v>-124188</v>
      </c>
      <c r="L229" s="26">
        <v>455900</v>
      </c>
      <c r="M229" s="26">
        <v>18600</v>
      </c>
      <c r="N229" s="26">
        <v>3800000</v>
      </c>
      <c r="O229" s="26">
        <v>300000</v>
      </c>
      <c r="P229" s="26">
        <v>301000</v>
      </c>
      <c r="Q229" s="26">
        <v>18000</v>
      </c>
      <c r="R229" s="26">
        <v>180992827</v>
      </c>
      <c r="S229" s="26">
        <v>10702615</v>
      </c>
      <c r="T229" s="26">
        <v>741631</v>
      </c>
      <c r="U229" s="26">
        <v>13128</v>
      </c>
      <c r="V229" s="26">
        <v>275107</v>
      </c>
      <c r="W229" s="26">
        <v>6332</v>
      </c>
      <c r="X229" s="26">
        <v>182</v>
      </c>
      <c r="Y229" s="26" t="s">
        <v>31</v>
      </c>
      <c r="Z229" s="26" t="s">
        <v>31</v>
      </c>
      <c r="AA229" s="26">
        <v>1467411</v>
      </c>
      <c r="AB229" s="26">
        <v>4155</v>
      </c>
      <c r="AC229" s="26">
        <v>1064</v>
      </c>
      <c r="AD229" s="26">
        <v>25</v>
      </c>
      <c r="AE229" s="26" t="s">
        <v>31</v>
      </c>
      <c r="AF229" s="26" t="s">
        <v>31</v>
      </c>
      <c r="AG229" s="26">
        <v>40053</v>
      </c>
      <c r="AH229" s="26">
        <v>297</v>
      </c>
    </row>
    <row r="230" spans="1:34" x14ac:dyDescent="0.2">
      <c r="A230" s="10">
        <f t="shared" si="14"/>
        <v>2024</v>
      </c>
      <c r="B230" s="10">
        <f t="shared" si="15"/>
        <v>10</v>
      </c>
      <c r="D230" s="10" t="s">
        <v>60</v>
      </c>
      <c r="E230" s="25" t="d">
        <v>2024-10-01</v>
      </c>
      <c r="F230" s="26">
        <v>1067610</v>
      </c>
      <c r="G230" s="26">
        <v>68635</v>
      </c>
      <c r="H230" s="26">
        <v>220714723</v>
      </c>
      <c r="I230" s="26">
        <v>11394243</v>
      </c>
      <c r="J230" s="26">
        <v>2437861</v>
      </c>
      <c r="K230" s="26">
        <v>-47175</v>
      </c>
      <c r="L230" s="26">
        <v>458600</v>
      </c>
      <c r="M230" s="26">
        <v>2700</v>
      </c>
      <c r="N230" s="26">
        <v>3800000</v>
      </c>
      <c r="O230" s="26">
        <v>0</v>
      </c>
      <c r="P230" s="26">
        <v>318000</v>
      </c>
      <c r="Q230" s="26">
        <v>17000</v>
      </c>
      <c r="R230" s="26">
        <v>190765154</v>
      </c>
      <c r="S230" s="26">
        <v>9673592</v>
      </c>
      <c r="T230" s="26">
        <v>749322</v>
      </c>
      <c r="U230" s="26">
        <v>7691</v>
      </c>
      <c r="V230" s="26">
        <v>67758</v>
      </c>
      <c r="W230" s="26">
        <v>6567</v>
      </c>
      <c r="X230" s="26">
        <v>235</v>
      </c>
      <c r="Y230" s="26" t="s">
        <v>31</v>
      </c>
      <c r="Z230" s="26" t="s">
        <v>31</v>
      </c>
      <c r="AA230" s="26">
        <v>1471969</v>
      </c>
      <c r="AB230" s="26">
        <v>4558</v>
      </c>
      <c r="AC230" s="26">
        <v>1087</v>
      </c>
      <c r="AD230" s="26">
        <v>23</v>
      </c>
      <c r="AE230" s="26" t="s">
        <v>31</v>
      </c>
      <c r="AF230" s="26" t="s">
        <v>31</v>
      </c>
      <c r="AG230" s="26">
        <v>40304</v>
      </c>
      <c r="AH230" s="26">
        <v>251</v>
      </c>
    </row>
    <row r="231" spans="1:34" x14ac:dyDescent="0.2">
      <c r="A231" s="10">
        <f t="shared" si="14"/>
        <v>2024</v>
      </c>
      <c r="B231" s="10">
        <f t="shared" si="15"/>
        <v>11</v>
      </c>
      <c r="D231" s="10" t="s">
        <v>60</v>
      </c>
      <c r="E231" s="25" t="d">
        <v>2024-11-01</v>
      </c>
      <c r="F231" s="26">
        <v>1114616</v>
      </c>
      <c r="G231" s="26">
        <v>47006</v>
      </c>
      <c r="H231" s="26">
        <v>231730072</v>
      </c>
      <c r="I231" s="26">
        <v>10923573</v>
      </c>
      <c r="J231" s="26">
        <v>2291717</v>
      </c>
      <c r="K231" s="26">
        <v>-146144</v>
      </c>
      <c r="L231" s="26">
        <v>458600</v>
      </c>
      <c r="M231" s="26">
        <v>0</v>
      </c>
      <c r="N231" s="26">
        <v>3800000</v>
      </c>
      <c r="O231" s="26">
        <v>0</v>
      </c>
      <c r="P231" s="26">
        <v>335000</v>
      </c>
      <c r="Q231" s="26">
        <v>17000</v>
      </c>
      <c r="R231" s="26">
        <v>200552631</v>
      </c>
      <c r="S231" s="26">
        <v>9649911</v>
      </c>
      <c r="T231" s="26">
        <v>750007</v>
      </c>
      <c r="U231" s="26">
        <v>685</v>
      </c>
      <c r="V231" s="26">
        <v>120163</v>
      </c>
      <c r="W231" s="26">
        <v>6891</v>
      </c>
      <c r="X231" s="26">
        <v>324</v>
      </c>
      <c r="Y231" s="26" t="s">
        <v>31</v>
      </c>
      <c r="Z231" s="26" t="s">
        <v>31</v>
      </c>
      <c r="AA231" s="26">
        <v>1476116</v>
      </c>
      <c r="AB231" s="26">
        <v>4147</v>
      </c>
      <c r="AC231" s="26">
        <v>1111</v>
      </c>
      <c r="AD231" s="26">
        <v>24</v>
      </c>
      <c r="AE231" s="26">
        <v>11625</v>
      </c>
      <c r="AF231" s="26">
        <v>7</v>
      </c>
      <c r="AG231" s="26">
        <v>40661</v>
      </c>
      <c r="AH231" s="26">
        <v>357</v>
      </c>
    </row>
    <row r="232" spans="1:34" x14ac:dyDescent="0.2">
      <c r="A232" s="10">
        <f t="shared" si="14"/>
        <v>2024</v>
      </c>
      <c r="B232" s="10">
        <f t="shared" si="15"/>
        <v>12</v>
      </c>
      <c r="D232" s="10" t="s">
        <v>60</v>
      </c>
      <c r="E232" s="25" t="d">
        <v>2024-12-01</v>
      </c>
      <c r="F232" s="26">
        <v>1176033</v>
      </c>
      <c r="G232" s="26">
        <v>61417</v>
      </c>
      <c r="H232" s="26">
        <v>242715174</v>
      </c>
      <c r="I232" s="26">
        <v>10760368</v>
      </c>
      <c r="J232" s="26">
        <v>2325141</v>
      </c>
      <c r="K232" s="26">
        <v>33424</v>
      </c>
      <c r="L232" s="26">
        <v>519100</v>
      </c>
      <c r="M232" s="26">
        <v>60500</v>
      </c>
      <c r="N232" s="26">
        <v>4800000</v>
      </c>
      <c r="O232" s="26">
        <v>1000000</v>
      </c>
      <c r="P232" s="26">
        <v>354000</v>
      </c>
      <c r="Q232" s="26">
        <v>19000</v>
      </c>
      <c r="R232" s="26">
        <v>210310887</v>
      </c>
      <c r="S232" s="26">
        <v>9552167</v>
      </c>
      <c r="T232" s="26">
        <v>753469</v>
      </c>
      <c r="U232" s="26">
        <v>3462</v>
      </c>
      <c r="V232" s="26">
        <v>81248</v>
      </c>
      <c r="W232" s="26">
        <v>7181</v>
      </c>
      <c r="X232" s="26">
        <v>290</v>
      </c>
      <c r="Y232" s="26" t="s">
        <v>31</v>
      </c>
      <c r="Z232" s="26" t="s">
        <v>31</v>
      </c>
      <c r="AA232" s="26">
        <v>1497277</v>
      </c>
      <c r="AB232" s="26">
        <v>21161</v>
      </c>
      <c r="AC232" s="26">
        <v>1143</v>
      </c>
      <c r="AD232" s="26">
        <v>32</v>
      </c>
      <c r="AE232" s="26">
        <v>11799</v>
      </c>
      <c r="AF232" s="26">
        <v>174</v>
      </c>
      <c r="AG232" s="26">
        <v>40953</v>
      </c>
      <c r="AH232" s="26">
        <v>292</v>
      </c>
    </row>
    <row r="233" spans="1:34" x14ac:dyDescent="0.2">
      <c r="A233" s="10">
        <f t="shared" si="14"/>
        <v>2025</v>
      </c>
      <c r="B233" s="10">
        <f t="shared" si="15"/>
        <v>1</v>
      </c>
      <c r="D233" s="10" t="s">
        <v>60</v>
      </c>
      <c r="E233" s="25" t="d">
        <v>2025-01-01</v>
      </c>
      <c r="F233" s="26">
        <v>1235688</v>
      </c>
      <c r="G233" s="26">
        <v>59655</v>
      </c>
      <c r="H233" s="26">
        <v>255528924</v>
      </c>
      <c r="I233" s="26">
        <v>12573726</v>
      </c>
      <c r="J233" s="26">
        <v>2611070</v>
      </c>
      <c r="K233" s="26">
        <v>285929</v>
      </c>
      <c r="L233" s="26">
        <v>529200</v>
      </c>
      <c r="M233" s="26">
        <v>10100</v>
      </c>
      <c r="N233" s="26">
        <v>5100000</v>
      </c>
      <c r="O233" s="26">
        <v>300000</v>
      </c>
      <c r="P233" s="26">
        <v>377000</v>
      </c>
      <c r="Q233" s="26">
        <v>23000</v>
      </c>
      <c r="R233" s="26">
        <v>223108962</v>
      </c>
      <c r="S233" s="26">
        <v>12586214</v>
      </c>
      <c r="T233" s="26">
        <v>757767</v>
      </c>
      <c r="U233" s="26">
        <v>4298</v>
      </c>
      <c r="V233" s="26">
        <v>229032</v>
      </c>
      <c r="W233" s="26">
        <v>7507</v>
      </c>
      <c r="X233" s="26">
        <v>326</v>
      </c>
      <c r="Y233" s="26" t="s">
        <v>31</v>
      </c>
      <c r="Z233" s="26" t="s">
        <v>31</v>
      </c>
      <c r="AA233" s="26">
        <v>1512880</v>
      </c>
      <c r="AB233" s="26">
        <v>15603</v>
      </c>
      <c r="AC233" s="26">
        <v>1167</v>
      </c>
      <c r="AD233" s="26">
        <v>24</v>
      </c>
      <c r="AE233" s="26">
        <v>11994</v>
      </c>
      <c r="AF233" s="26">
        <v>195</v>
      </c>
      <c r="AG233" s="26">
        <v>41289</v>
      </c>
      <c r="AH233" s="26">
        <v>336</v>
      </c>
    </row>
    <row r="234" spans="1:34" x14ac:dyDescent="0.2">
      <c r="A234" s="10">
        <f t="shared" si="14"/>
        <v>2025</v>
      </c>
      <c r="B234" s="10">
        <f t="shared" si="15"/>
        <v>2</v>
      </c>
      <c r="D234" s="10" t="s">
        <v>60</v>
      </c>
      <c r="E234" s="25" t="d">
        <v>2025-02-01</v>
      </c>
      <c r="F234" s="26">
        <v>1277381</v>
      </c>
      <c r="G234" s="26">
        <v>41693</v>
      </c>
      <c r="H234" s="26">
        <v>266048889</v>
      </c>
      <c r="I234" s="26">
        <v>10512733</v>
      </c>
      <c r="J234" s="26">
        <v>2123238</v>
      </c>
      <c r="K234" s="26">
        <v>-487832</v>
      </c>
      <c r="L234" s="26">
        <v>529200</v>
      </c>
      <c r="M234" s="26">
        <v>0</v>
      </c>
      <c r="N234" s="26">
        <v>5100000</v>
      </c>
      <c r="O234" s="26">
        <v>0</v>
      </c>
      <c r="P234" s="26">
        <v>392000</v>
      </c>
      <c r="Q234" s="26">
        <v>15000</v>
      </c>
      <c r="R234" s="26">
        <v>231147712</v>
      </c>
      <c r="S234" s="26">
        <v>8038750</v>
      </c>
      <c r="T234" s="26">
        <v>765599</v>
      </c>
      <c r="U234" s="26">
        <v>7832</v>
      </c>
      <c r="V234" s="26">
        <v>158726</v>
      </c>
      <c r="W234" s="26">
        <v>7870</v>
      </c>
      <c r="X234" s="26">
        <v>363</v>
      </c>
      <c r="Y234" s="26" t="s">
        <v>31</v>
      </c>
      <c r="Z234" s="26" t="s">
        <v>31</v>
      </c>
      <c r="AA234" s="26">
        <v>1536483</v>
      </c>
      <c r="AB234" s="26">
        <v>23603</v>
      </c>
      <c r="AC234" s="26">
        <v>1195</v>
      </c>
      <c r="AD234" s="26">
        <v>28</v>
      </c>
      <c r="AE234" s="26">
        <v>12157</v>
      </c>
      <c r="AF234" s="26">
        <v>163</v>
      </c>
      <c r="AG234" s="26">
        <v>41619</v>
      </c>
      <c r="AH234" s="26">
        <v>330</v>
      </c>
    </row>
    <row r="235" spans="1:34" x14ac:dyDescent="0.2">
      <c r="A235" s="10">
        <f t="shared" si="14"/>
        <v>2025</v>
      </c>
      <c r="B235" s="10">
        <f t="shared" si="15"/>
        <v>3</v>
      </c>
      <c r="D235" s="10" t="s">
        <v>60</v>
      </c>
      <c r="E235" s="25" t="d">
        <v>2025-03-01</v>
      </c>
      <c r="F235" s="26">
        <v>1310923</v>
      </c>
      <c r="G235" s="26">
        <v>33542</v>
      </c>
      <c r="H235" s="26">
        <v>274824552</v>
      </c>
      <c r="I235" s="26">
        <v>8704783</v>
      </c>
      <c r="J235" s="26">
        <v>2100656</v>
      </c>
      <c r="K235" s="26">
        <v>-22582</v>
      </c>
      <c r="L235" s="26">
        <v>529200</v>
      </c>
      <c r="M235" s="26">
        <v>0</v>
      </c>
      <c r="N235" s="26">
        <v>5100000</v>
      </c>
      <c r="O235" s="26">
        <v>0</v>
      </c>
      <c r="P235" s="26">
        <v>405000</v>
      </c>
      <c r="Q235" s="26">
        <v>13000</v>
      </c>
      <c r="R235" s="26">
        <v>238211229</v>
      </c>
      <c r="S235" s="26">
        <v>7063517</v>
      </c>
      <c r="T235" s="26">
        <v>768566</v>
      </c>
      <c r="U235" s="26">
        <v>2967</v>
      </c>
      <c r="V235" s="26">
        <v>98112</v>
      </c>
      <c r="W235" s="26">
        <v>8220</v>
      </c>
      <c r="X235" s="26">
        <v>350</v>
      </c>
      <c r="Y235" s="26" t="s">
        <v>31</v>
      </c>
      <c r="Z235" s="26" t="s">
        <v>31</v>
      </c>
      <c r="AA235" s="26">
        <v>1555660</v>
      </c>
      <c r="AB235" s="26">
        <v>19177</v>
      </c>
      <c r="AC235" s="26">
        <v>1208</v>
      </c>
      <c r="AD235" s="26">
        <v>13</v>
      </c>
      <c r="AE235" s="26">
        <v>12266</v>
      </c>
      <c r="AF235" s="26">
        <v>109</v>
      </c>
      <c r="AG235" s="26">
        <v>41840</v>
      </c>
      <c r="AH235" s="26">
        <v>221</v>
      </c>
    </row>
    <row r="236" spans="1:34" x14ac:dyDescent="0.2">
      <c r="A236" s="10">
        <f t="shared" si="14"/>
        <v>2025</v>
      </c>
      <c r="B236" s="10">
        <f t="shared" si="15"/>
        <v>4</v>
      </c>
      <c r="D236" s="10" t="s">
        <v>60</v>
      </c>
      <c r="E236" s="25" t="d">
        <v>2025-04-01</v>
      </c>
      <c r="F236" s="26">
        <v>1341008</v>
      </c>
      <c r="G236" s="26">
        <v>30085</v>
      </c>
      <c r="H236" s="26">
        <v>284582960</v>
      </c>
      <c r="I236" s="26">
        <v>9672767</v>
      </c>
      <c r="J236" s="26">
        <v>2062867</v>
      </c>
      <c r="K236" s="26">
        <v>-37789</v>
      </c>
      <c r="L236" s="26">
        <v>529200</v>
      </c>
      <c r="M236" s="26">
        <v>0</v>
      </c>
      <c r="N236" s="26">
        <v>5100000</v>
      </c>
      <c r="O236" s="26">
        <v>0</v>
      </c>
      <c r="P236" s="26">
        <v>419000</v>
      </c>
      <c r="Q236" s="26">
        <v>14000</v>
      </c>
      <c r="R236" s="26">
        <v>245751241</v>
      </c>
      <c r="S236" s="26">
        <v>7533940</v>
      </c>
      <c r="T236" s="26">
        <v>777181</v>
      </c>
      <c r="U236" s="26">
        <v>8615</v>
      </c>
      <c r="V236" s="26">
        <v>127625</v>
      </c>
      <c r="W236" s="26">
        <v>8604</v>
      </c>
      <c r="X236" s="26">
        <v>384</v>
      </c>
      <c r="Y236" s="26" t="s">
        <v>31</v>
      </c>
      <c r="Z236" s="26" t="s">
        <v>31</v>
      </c>
      <c r="AA236" s="26">
        <v>1574292</v>
      </c>
      <c r="AB236" s="26">
        <v>18632</v>
      </c>
      <c r="AC236" s="26">
        <v>1219</v>
      </c>
      <c r="AD236" s="26">
        <v>11</v>
      </c>
      <c r="AE236" s="26">
        <v>12375</v>
      </c>
      <c r="AF236" s="26">
        <v>109</v>
      </c>
      <c r="AG236" s="26">
        <v>42216</v>
      </c>
      <c r="AH236" s="26">
        <v>376</v>
      </c>
    </row>
    <row r="237" spans="1:34" x14ac:dyDescent="0.2">
      <c r="A237" s="10">
        <f t="shared" si="14"/>
        <v>2025</v>
      </c>
      <c r="B237" s="10">
        <f t="shared" si="15"/>
        <v>5</v>
      </c>
      <c r="D237" s="10" t="s">
        <v>60</v>
      </c>
      <c r="E237" s="25" t="d">
        <v>2025-05-01</v>
      </c>
      <c r="F237" s="26">
        <v>1370533</v>
      </c>
      <c r="G237" s="26">
        <v>29525</v>
      </c>
      <c r="H237" s="26">
        <v>294522294</v>
      </c>
      <c r="I237" s="26">
        <v>9890286</v>
      </c>
      <c r="J237" s="26">
        <v>2309340</v>
      </c>
      <c r="K237" s="26">
        <v>246473</v>
      </c>
      <c r="L237" s="26">
        <v>529200</v>
      </c>
      <c r="M237" s="26">
        <v>0</v>
      </c>
      <c r="N237" s="26">
        <v>5100000</v>
      </c>
      <c r="O237" s="26">
        <v>0</v>
      </c>
      <c r="P237" s="26">
        <v>434000</v>
      </c>
      <c r="Q237" s="26">
        <v>15000</v>
      </c>
      <c r="R237" s="26">
        <v>253922415</v>
      </c>
      <c r="S237" s="26">
        <v>8171174</v>
      </c>
      <c r="T237" s="26">
        <v>782234</v>
      </c>
      <c r="U237" s="26">
        <v>5053</v>
      </c>
      <c r="V237" s="26">
        <v>72336</v>
      </c>
      <c r="W237" s="26">
        <v>8828</v>
      </c>
      <c r="X237" s="26">
        <v>224</v>
      </c>
      <c r="Y237" s="26" t="s">
        <v>31</v>
      </c>
      <c r="Z237" s="26" t="s">
        <v>31</v>
      </c>
      <c r="AA237" s="26">
        <v>1574944</v>
      </c>
      <c r="AB237" s="26">
        <v>652</v>
      </c>
      <c r="AC237" s="26">
        <v>1224</v>
      </c>
      <c r="AD237" s="26">
        <v>5</v>
      </c>
      <c r="AE237" s="26">
        <v>12472</v>
      </c>
      <c r="AF237" s="26">
        <v>97</v>
      </c>
      <c r="AG237" s="26">
        <v>42529</v>
      </c>
      <c r="AH237" s="26">
        <v>313</v>
      </c>
    </row>
    <row r="238" spans="1:34" x14ac:dyDescent="0.2">
      <c r="A238" s="10">
        <f t="shared" si="14"/>
        <v>2025</v>
      </c>
      <c r="B238" s="10">
        <f t="shared" si="15"/>
        <v>6</v>
      </c>
      <c r="D238" s="10" t="s">
        <v>60</v>
      </c>
      <c r="E238" s="25" t="d">
        <v>2025-06-01</v>
      </c>
      <c r="F238" s="26">
        <v>1394227</v>
      </c>
      <c r="G238" s="26">
        <v>23694</v>
      </c>
      <c r="H238" s="26">
        <v>305349915</v>
      </c>
      <c r="I238" s="26">
        <v>10701144</v>
      </c>
      <c r="J238" s="26">
        <v>2292903</v>
      </c>
      <c r="K238" s="26">
        <v>-16437</v>
      </c>
      <c r="L238" s="26">
        <v>529200</v>
      </c>
      <c r="M238" s="26">
        <v>0</v>
      </c>
      <c r="N238" s="26">
        <v>5100000</v>
      </c>
      <c r="O238" s="26">
        <v>0</v>
      </c>
      <c r="P238" s="26">
        <v>451000</v>
      </c>
      <c r="Q238" s="26">
        <v>17000</v>
      </c>
      <c r="R238" s="26">
        <v>262800363</v>
      </c>
      <c r="S238" s="26">
        <v>8803260</v>
      </c>
      <c r="T238" s="26">
        <v>785855</v>
      </c>
      <c r="U238" s="26">
        <v>3621</v>
      </c>
      <c r="V238" s="26">
        <v>105102</v>
      </c>
      <c r="W238" s="26">
        <v>9814</v>
      </c>
      <c r="X238" s="26">
        <v>986</v>
      </c>
      <c r="Y238" s="26" t="s">
        <v>31</v>
      </c>
      <c r="Z238" s="26" t="s">
        <v>31</v>
      </c>
      <c r="AA238" s="26">
        <v>1578906</v>
      </c>
      <c r="AB238" s="26">
        <v>3962</v>
      </c>
      <c r="AC238" s="26">
        <v>1236</v>
      </c>
      <c r="AD238" s="26">
        <v>12</v>
      </c>
      <c r="AE238" s="26">
        <v>12542</v>
      </c>
      <c r="AF238" s="26">
        <v>70</v>
      </c>
      <c r="AG238" s="26">
        <v>42873</v>
      </c>
      <c r="AH238" s="26">
        <v>344</v>
      </c>
    </row>
    <row r="239" spans="1:34" x14ac:dyDescent="0.2">
      <c r="A239" s="10">
        <f t="shared" si="14"/>
        <v>2025</v>
      </c>
      <c r="B239" s="10">
        <f t="shared" si="15"/>
        <v>7</v>
      </c>
      <c r="D239" s="10" t="s">
        <v>60</v>
      </c>
      <c r="E239" s="25" t="d">
        <v>2025-07-01</v>
      </c>
      <c r="F239" s="26">
        <v>1417457</v>
      </c>
      <c r="G239" s="26">
        <v>23230</v>
      </c>
      <c r="H239" s="26">
        <v>315127094</v>
      </c>
      <c r="I239" s="26">
        <v>9743452</v>
      </c>
      <c r="J239" s="26">
        <v>2271437</v>
      </c>
      <c r="K239" s="26">
        <v>-21466</v>
      </c>
      <c r="L239" s="26">
        <v>562050</v>
      </c>
      <c r="M239" s="26">
        <v>32850</v>
      </c>
      <c r="N239" s="26">
        <v>6220000</v>
      </c>
      <c r="O239" s="26">
        <v>1120000</v>
      </c>
      <c r="P239" s="26">
        <v>466000</v>
      </c>
      <c r="Q239" s="26">
        <v>15000</v>
      </c>
      <c r="R239" s="26">
        <v>271102267</v>
      </c>
      <c r="S239" s="26">
        <v>8255686</v>
      </c>
      <c r="T239" s="26">
        <v>788561</v>
      </c>
      <c r="U239" s="26">
        <v>2706</v>
      </c>
      <c r="V239" s="26">
        <v>112893</v>
      </c>
      <c r="W239" s="26">
        <v>11275</v>
      </c>
      <c r="X239" s="26">
        <v>1461</v>
      </c>
      <c r="Y239" s="26" t="s">
        <v>31</v>
      </c>
      <c r="Z239" s="26" t="s">
        <v>31</v>
      </c>
      <c r="AA239" s="26">
        <v>1586925</v>
      </c>
      <c r="AB239" s="26">
        <v>8019</v>
      </c>
      <c r="AC239" s="26">
        <v>1239</v>
      </c>
      <c r="AD239" s="26">
        <v>3</v>
      </c>
      <c r="AE239" s="26">
        <v>12656</v>
      </c>
      <c r="AF239" s="26">
        <v>114</v>
      </c>
      <c r="AG239" s="26">
        <v>43285</v>
      </c>
      <c r="AH239" s="26">
        <v>412</v>
      </c>
    </row>
    <row r="240" spans="1:34" x14ac:dyDescent="0.2">
      <c r="A240" s="10">
        <f t="shared" si="14"/>
        <v>2025</v>
      </c>
      <c r="B240" s="10">
        <f t="shared" si="15"/>
        <v>8</v>
      </c>
      <c r="D240" s="10" t="s">
        <v>60</v>
      </c>
      <c r="E240" s="25" t="d">
        <v>2025-08-01</v>
      </c>
      <c r="F240" s="26">
        <v>1433319</v>
      </c>
      <c r="G240" s="26">
        <v>15862</v>
      </c>
      <c r="H240" s="26">
        <v>325272236</v>
      </c>
      <c r="I240" s="26">
        <v>10145581</v>
      </c>
      <c r="J240" s="26">
        <v>2325456</v>
      </c>
      <c r="K240" s="26">
        <v>54019</v>
      </c>
      <c r="L240" s="26">
        <v>565400</v>
      </c>
      <c r="M240" s="26">
        <v>3350</v>
      </c>
      <c r="N240" s="26">
        <v>6500000</v>
      </c>
      <c r="O240" s="26">
        <v>280000</v>
      </c>
      <c r="P240" s="26">
        <v>481000</v>
      </c>
      <c r="Q240" s="26">
        <v>15000</v>
      </c>
      <c r="R240" s="26">
        <v>279926467</v>
      </c>
      <c r="S240" s="26">
        <v>8824201</v>
      </c>
      <c r="T240" s="26">
        <v>791713</v>
      </c>
      <c r="U240" s="26">
        <v>3152</v>
      </c>
      <c r="V240" s="26">
        <v>148621</v>
      </c>
      <c r="W240" s="26">
        <v>13015</v>
      </c>
      <c r="X240" s="26">
        <v>1740</v>
      </c>
      <c r="Y240" s="26" t="s">
        <v>31</v>
      </c>
      <c r="Z240" s="26" t="s">
        <v>31</v>
      </c>
      <c r="AA240" s="26">
        <v>1585492</v>
      </c>
      <c r="AB240" s="26">
        <v>-1433</v>
      </c>
      <c r="AC240" s="26">
        <v>1250</v>
      </c>
      <c r="AD240" s="26">
        <v>11</v>
      </c>
      <c r="AE240" s="26">
        <v>12765</v>
      </c>
      <c r="AF240" s="26">
        <v>109</v>
      </c>
      <c r="AG240" s="26">
        <v>43763</v>
      </c>
      <c r="AH240" s="26">
        <v>478</v>
      </c>
    </row>
    <row r="241" spans="1:34" x14ac:dyDescent="0.2">
      <c r="A241" s="10">
        <f t="shared" si="14"/>
        <v>2025</v>
      </c>
      <c r="B241" s="10">
        <f t="shared" si="15"/>
        <v>9</v>
      </c>
      <c r="D241" s="10" t="s">
        <v>60</v>
      </c>
      <c r="E241" s="25" t="d">
        <v>2025-09-01</v>
      </c>
      <c r="F241" s="26">
        <v>1452015</v>
      </c>
      <c r="G241" s="26">
        <v>18696</v>
      </c>
      <c r="H241" s="26">
        <v>335552897</v>
      </c>
      <c r="I241" s="26">
        <v>9936274</v>
      </c>
      <c r="J241" s="26">
        <v>2609208</v>
      </c>
      <c r="K241" s="26">
        <v>283752</v>
      </c>
      <c r="L241" s="26">
        <v>565400</v>
      </c>
      <c r="M241" s="26">
        <v>0</v>
      </c>
      <c r="N241" s="26">
        <v>6500000</v>
      </c>
      <c r="O241" s="26">
        <v>0</v>
      </c>
      <c r="P241" s="26">
        <v>496000</v>
      </c>
      <c r="Q241" s="26">
        <v>15000</v>
      </c>
      <c r="R241" s="26">
        <v>288943810</v>
      </c>
      <c r="S241" s="26">
        <v>9017343</v>
      </c>
      <c r="T241" s="26">
        <v>801152</v>
      </c>
      <c r="U241" s="26">
        <v>9439</v>
      </c>
      <c r="V241" s="26">
        <v>612455</v>
      </c>
      <c r="W241" s="26">
        <v>14726</v>
      </c>
      <c r="X241" s="26">
        <v>1711</v>
      </c>
      <c r="Y241" s="26" t="s">
        <v>31</v>
      </c>
      <c r="Z241" s="26" t="s">
        <v>31</v>
      </c>
      <c r="AA241" s="26">
        <v>1591717</v>
      </c>
      <c r="AB241" s="26">
        <v>6225</v>
      </c>
      <c r="AC241" s="26">
        <v>1255</v>
      </c>
      <c r="AD241" s="26">
        <v>5</v>
      </c>
      <c r="AE241" s="26">
        <v>12846</v>
      </c>
      <c r="AF241" s="26">
        <v>81</v>
      </c>
      <c r="AG241" s="26">
        <v>44151</v>
      </c>
      <c r="AH241" s="26">
        <v>388</v>
      </c>
    </row>
    <row r="242" spans="1:34" x14ac:dyDescent="0.2">
      <c r="A242" s="10">
        <f t="shared" si="14"/>
        <v>2025</v>
      </c>
      <c r="B242" s="10">
        <f t="shared" si="15"/>
        <v>10</v>
      </c>
      <c r="D242" s="10" t="s">
        <v>60</v>
      </c>
      <c r="E242" s="25" t="d">
        <v>2025-10-01</v>
      </c>
      <c r="F242" s="26">
        <v>1471967</v>
      </c>
      <c r="G242" s="26">
        <v>19952</v>
      </c>
      <c r="H242" s="26">
        <v>344302806</v>
      </c>
      <c r="I242" s="26">
        <v>8721443</v>
      </c>
      <c r="J242" s="26">
        <v>2294270</v>
      </c>
      <c r="K242" s="26">
        <v>-314938</v>
      </c>
      <c r="L242" s="26">
        <v>577200</v>
      </c>
      <c r="M242" s="26">
        <v>11800</v>
      </c>
      <c r="N242" s="26">
        <v>6900000</v>
      </c>
      <c r="O242" s="26">
        <v>400000</v>
      </c>
      <c r="P242" s="26">
        <v>508000</v>
      </c>
      <c r="Q242" s="26">
        <v>12000</v>
      </c>
      <c r="R242" s="26">
        <v>296887570</v>
      </c>
      <c r="S242" s="26">
        <v>7917424</v>
      </c>
      <c r="T242" s="26">
        <v>804531</v>
      </c>
      <c r="U242" s="26">
        <v>3379</v>
      </c>
      <c r="V242" s="26">
        <v>281226</v>
      </c>
      <c r="W242" s="26">
        <v>16372</v>
      </c>
      <c r="X242" s="26">
        <v>1646</v>
      </c>
      <c r="Y242" s="26" t="s">
        <v>31</v>
      </c>
      <c r="Z242" s="26" t="s">
        <v>31</v>
      </c>
      <c r="AA242" s="26">
        <v>1598526</v>
      </c>
      <c r="AB242" s="26">
        <v>6809</v>
      </c>
      <c r="AC242" s="26">
        <v>1262</v>
      </c>
      <c r="AD242" s="26">
        <v>7</v>
      </c>
      <c r="AE242" s="26">
        <v>12936</v>
      </c>
      <c r="AF242" s="26">
        <v>90</v>
      </c>
      <c r="AG242" s="26">
        <v>44450</v>
      </c>
      <c r="AH242" s="26">
        <v>299</v>
      </c>
    </row>
    <row r="243" spans="1:34" x14ac:dyDescent="0.2">
      <c r="A243" s="10">
        <f t="shared" si="14"/>
        <v>2025</v>
      </c>
      <c r="B243" s="10">
        <f t="shared" si="15"/>
        <v>11</v>
      </c>
      <c r="D243" s="10" t="s">
        <v>60</v>
      </c>
      <c r="E243" s="25" t="d">
        <v>2025-11-01</v>
      </c>
      <c r="F243" s="26">
        <v>1487279</v>
      </c>
      <c r="G243" s="26">
        <v>15312</v>
      </c>
      <c r="H243" s="26">
        <v>352868336</v>
      </c>
      <c r="I243" s="26">
        <v>8535145</v>
      </c>
      <c r="J243" s="26">
        <v>2159797</v>
      </c>
      <c r="K243" s="26">
        <v>-134473</v>
      </c>
      <c r="L243" s="26">
        <v>580000</v>
      </c>
      <c r="M243" s="26">
        <v>2800</v>
      </c>
      <c r="N243" s="26">
        <v>7000000</v>
      </c>
      <c r="O243" s="26">
        <v>100000</v>
      </c>
      <c r="P243" s="26">
        <v>519000</v>
      </c>
      <c r="Q243" s="26">
        <v>11000</v>
      </c>
      <c r="R243" s="26">
        <v>304370550</v>
      </c>
      <c r="S243" s="26">
        <v>7531807</v>
      </c>
      <c r="T243" s="26">
        <v>811247</v>
      </c>
      <c r="U243" s="26">
        <v>6716</v>
      </c>
      <c r="V243" s="26">
        <v>176226</v>
      </c>
      <c r="W243" s="26">
        <v>17594</v>
      </c>
      <c r="X243" s="26">
        <v>1271</v>
      </c>
      <c r="Y243" s="26" t="s">
        <v>31</v>
      </c>
      <c r="Z243" s="26" t="s">
        <v>31</v>
      </c>
      <c r="AA243" s="26">
        <v>1599005</v>
      </c>
      <c r="AB243" s="26">
        <v>479</v>
      </c>
      <c r="AC243" s="26">
        <v>1265</v>
      </c>
      <c r="AD243" s="26">
        <v>3</v>
      </c>
      <c r="AE243" s="26">
        <v>13036</v>
      </c>
      <c r="AF243" s="26">
        <v>107</v>
      </c>
      <c r="AG243" s="26">
        <v>44722</v>
      </c>
      <c r="AH243" s="26">
        <v>272</v>
      </c>
    </row>
    <row r="244" spans="1:34" x14ac:dyDescent="0.2">
      <c r="A244" s="10">
        <f t="shared" si="14"/>
        <v>2025</v>
      </c>
      <c r="B244" s="10">
        <f t="shared" si="15"/>
        <v>12</v>
      </c>
      <c r="D244" s="10" t="s">
        <v>60</v>
      </c>
      <c r="E244" s="25" t="d">
        <v>2025-12-01</v>
      </c>
      <c r="F244" s="26">
        <v>1499507</v>
      </c>
      <c r="G244" s="26">
        <v>12228</v>
      </c>
      <c r="H244" s="26">
        <v>361754038</v>
      </c>
      <c r="I244" s="26">
        <v>8543406</v>
      </c>
      <c r="J244" s="26">
        <v>2173757</v>
      </c>
      <c r="K244" s="26">
        <v>13960</v>
      </c>
      <c r="L244" s="26">
        <v>581100</v>
      </c>
      <c r="M244" s="26">
        <v>1100</v>
      </c>
      <c r="N244" s="26">
        <v>7100000</v>
      </c>
      <c r="O244" s="26">
        <v>100000</v>
      </c>
      <c r="P244" s="26">
        <v>528000</v>
      </c>
      <c r="Q244" s="26">
        <v>9000</v>
      </c>
      <c r="R244" s="26">
        <v>311422847</v>
      </c>
      <c r="S244" s="26">
        <v>7052303</v>
      </c>
      <c r="T244" s="26">
        <v>815801</v>
      </c>
      <c r="U244" s="26">
        <v>4554</v>
      </c>
      <c r="V244" s="26">
        <v>69997</v>
      </c>
      <c r="W244" s="26">
        <v>19989</v>
      </c>
      <c r="X244" s="26">
        <v>2395</v>
      </c>
      <c r="Y244" s="26" t="s">
        <v>31</v>
      </c>
      <c r="Z244" s="26" t="s">
        <v>31</v>
      </c>
      <c r="AA244" s="26">
        <v>1606820</v>
      </c>
      <c r="AB244" s="26">
        <v>7815</v>
      </c>
      <c r="AC244" s="26">
        <v>1270</v>
      </c>
      <c r="AD244" s="26">
        <v>5</v>
      </c>
      <c r="AE244" s="26">
        <v>13098</v>
      </c>
      <c r="AF244" s="26">
        <v>62</v>
      </c>
      <c r="AG244" s="26">
        <v>44938</v>
      </c>
      <c r="AH244" s="26">
        <v>216</v>
      </c>
    </row>
    <row r="245" spans="1:34" x14ac:dyDescent="0.2">
      <c r="A245" s="10">
        <f t="shared" si="14"/>
        <v>2026</v>
      </c>
      <c r="B245" s="10">
        <f t="shared" si="15"/>
        <v>1</v>
      </c>
      <c r="D245" s="10" t="s">
        <v>60</v>
      </c>
      <c r="E245" s="25" t="d">
        <v>2026-01-01</v>
      </c>
      <c r="F245" s="26">
        <v>1516676</v>
      </c>
      <c r="G245" s="26">
        <v>17169</v>
      </c>
      <c r="H245" s="26">
        <v>371088526</v>
      </c>
      <c r="I245" s="26">
        <v>9235223</v>
      </c>
      <c r="J245" s="26">
        <v>2301784</v>
      </c>
      <c r="K245" s="26">
        <v>128027</v>
      </c>
      <c r="L245" s="26">
        <v>582400</v>
      </c>
      <c r="M245" s="26">
        <v>1300</v>
      </c>
      <c r="N245" s="26">
        <v>7300000</v>
      </c>
      <c r="O245" s="26">
        <v>200000</v>
      </c>
      <c r="P245" s="26">
        <v>539000</v>
      </c>
      <c r="Q245" s="26">
        <v>11000</v>
      </c>
      <c r="R245" s="26">
        <v>320411794</v>
      </c>
      <c r="S245" s="26">
        <v>8972791</v>
      </c>
      <c r="T245" s="26">
        <v>820018</v>
      </c>
      <c r="U245" s="26">
        <v>4217</v>
      </c>
      <c r="V245" s="26">
        <v>76602</v>
      </c>
      <c r="W245" s="26">
        <v>21719</v>
      </c>
      <c r="X245" s="26">
        <v>1730</v>
      </c>
      <c r="Y245" s="26" t="s">
        <v>31</v>
      </c>
      <c r="Z245" s="26" t="s">
        <v>31</v>
      </c>
      <c r="AA245" s="26">
        <v>1610452</v>
      </c>
      <c r="AB245" s="26">
        <v>3632</v>
      </c>
      <c r="AC245" s="26">
        <v>1273</v>
      </c>
      <c r="AD245" s="26">
        <v>3</v>
      </c>
      <c r="AE245" s="26">
        <v>13147</v>
      </c>
      <c r="AF245" s="26">
        <v>49</v>
      </c>
      <c r="AG245" s="26">
        <v>45197</v>
      </c>
      <c r="AH245" s="26">
        <v>259</v>
      </c>
    </row>
    <row r="246" spans="1:34" x14ac:dyDescent="0.2">
      <c r="A246" s="10">
        <f t="shared" si="14"/>
        <v>2026</v>
      </c>
      <c r="B246" s="10">
        <f t="shared" si="15"/>
        <v>2</v>
      </c>
      <c r="D246" s="10" t="s">
        <v>60</v>
      </c>
      <c r="E246" s="25" t="d">
        <v>2026-02-01</v>
      </c>
      <c r="F246" s="26">
        <v>1523261</v>
      </c>
      <c r="G246" s="26">
        <v>6585</v>
      </c>
      <c r="H246" s="26">
        <v>379886271</v>
      </c>
      <c r="I246" s="26">
        <v>8764623</v>
      </c>
      <c r="J246" s="26">
        <v>2345951</v>
      </c>
      <c r="K246" s="26">
        <v>44167</v>
      </c>
      <c r="L246" s="26">
        <v>582400</v>
      </c>
      <c r="M246" s="26">
        <v>0</v>
      </c>
      <c r="N246" s="26">
        <v>7300000</v>
      </c>
      <c r="O246" s="26">
        <v>0</v>
      </c>
      <c r="P246" s="26">
        <v>548000</v>
      </c>
      <c r="Q246" s="26">
        <v>9000</v>
      </c>
      <c r="R246" s="26">
        <v>328828903</v>
      </c>
      <c r="S246" s="26">
        <v>8417112</v>
      </c>
      <c r="T246" s="26">
        <v>821605</v>
      </c>
      <c r="U246" s="26">
        <v>1587</v>
      </c>
      <c r="V246" s="26">
        <v>54880</v>
      </c>
      <c r="W246" s="26">
        <v>22797</v>
      </c>
      <c r="X246" s="26">
        <v>1078</v>
      </c>
      <c r="Y246" s="26" t="s">
        <v>31</v>
      </c>
      <c r="Z246" s="26" t="s">
        <v>31</v>
      </c>
      <c r="AA246" s="26">
        <v>1616933</v>
      </c>
      <c r="AB246" s="26">
        <v>6481</v>
      </c>
      <c r="AC246" s="26">
        <v>1275</v>
      </c>
      <c r="AD246" s="26">
        <v>2</v>
      </c>
      <c r="AE246" s="26">
        <v>13173</v>
      </c>
      <c r="AF246" s="26">
        <v>26</v>
      </c>
      <c r="AG246" s="26">
        <v>45388</v>
      </c>
      <c r="AH246" s="26">
        <v>191</v>
      </c>
    </row>
    <row r="247" spans="1:34" x14ac:dyDescent="0.2">
      <c r="A247" s="10">
        <f t="shared" si="14"/>
        <v>2026</v>
      </c>
      <c r="B247" s="10">
        <f t="shared" si="15"/>
        <v>3</v>
      </c>
      <c r="D247" s="10" t="s">
        <v>60</v>
      </c>
      <c r="E247" s="25" t="d">
        <v>2026-03-01</v>
      </c>
      <c r="F247" s="26">
        <v>1529394</v>
      </c>
      <c r="G247" s="26">
        <v>6133</v>
      </c>
      <c r="H247" s="26">
        <v>387853759</v>
      </c>
      <c r="I247" s="26">
        <v>7967488</v>
      </c>
      <c r="J247" s="26">
        <v>2411212</v>
      </c>
      <c r="K247" s="26">
        <v>65261</v>
      </c>
      <c r="L247" s="26">
        <v>582400</v>
      </c>
      <c r="M247" s="26">
        <v>0</v>
      </c>
      <c r="N247" s="26">
        <v>7300000</v>
      </c>
      <c r="O247" s="26">
        <v>0</v>
      </c>
      <c r="P247" s="26">
        <v>555000</v>
      </c>
      <c r="Q247" s="26">
        <v>7000</v>
      </c>
      <c r="R247" s="26">
        <v>335539751</v>
      </c>
      <c r="S247" s="26">
        <v>6710855</v>
      </c>
      <c r="T247" s="26">
        <v>821413</v>
      </c>
      <c r="U247" s="26">
        <v>-192</v>
      </c>
      <c r="V247" s="26">
        <v>25384</v>
      </c>
      <c r="W247" s="26">
        <v>24014</v>
      </c>
      <c r="X247" s="26">
        <v>1217</v>
      </c>
      <c r="Y247" s="26" t="s">
        <v>31</v>
      </c>
      <c r="Z247" s="26" t="s">
        <v>31</v>
      </c>
      <c r="AA247" s="26">
        <v>1620619</v>
      </c>
      <c r="AB247" s="26">
        <v>3686</v>
      </c>
      <c r="AC247" s="26">
        <v>1278</v>
      </c>
      <c r="AD247" s="26">
        <v>3</v>
      </c>
      <c r="AE247" s="26">
        <v>13231</v>
      </c>
      <c r="AF247" s="26">
        <v>58</v>
      </c>
      <c r="AG247" s="26">
        <v>45587</v>
      </c>
      <c r="AH247" s="26">
        <v>199</v>
      </c>
    </row>
    <row r="248" spans="1:34" x14ac:dyDescent="0.2">
      <c r="A248" s="10">
        <f t="shared" si="14"/>
        <v>2026</v>
      </c>
      <c r="B248" s="10">
        <f t="shared" si="15"/>
        <v>4</v>
      </c>
      <c r="D248" s="10" t="s">
        <v>60</v>
      </c>
      <c r="E248" s="25" t="d">
        <v>2026-04-01</v>
      </c>
      <c r="F248" s="26">
        <v>1534806</v>
      </c>
      <c r="G248" s="26">
        <v>5412</v>
      </c>
      <c r="H248" s="26">
        <v>396007863</v>
      </c>
      <c r="I248" s="26">
        <v>8189383</v>
      </c>
      <c r="J248" s="26">
        <v>2336458</v>
      </c>
      <c r="K248" s="26">
        <v>-74754</v>
      </c>
      <c r="L248" s="26">
        <v>585634</v>
      </c>
      <c r="M248" s="26">
        <v>-529</v>
      </c>
      <c r="N248" s="26">
        <v>7621424</v>
      </c>
      <c r="O248" s="26">
        <v>5275</v>
      </c>
      <c r="P248" s="26">
        <v>561000</v>
      </c>
      <c r="Q248" s="26">
        <v>6000</v>
      </c>
      <c r="R248" s="26">
        <v>342295448</v>
      </c>
      <c r="S248" s="26">
        <v>6755698</v>
      </c>
      <c r="T248" s="26">
        <v>822433</v>
      </c>
      <c r="U248" s="26">
        <v>1020</v>
      </c>
      <c r="V248" s="26">
        <v>24852</v>
      </c>
      <c r="W248" s="26">
        <v>25256</v>
      </c>
      <c r="X248" s="26">
        <v>1242</v>
      </c>
      <c r="Y248" s="26">
        <v>25024300</v>
      </c>
      <c r="Z248" s="26">
        <v>182283</v>
      </c>
      <c r="AA248" s="26">
        <v>1619939</v>
      </c>
      <c r="AB248" s="26">
        <v>-680</v>
      </c>
      <c r="AC248" s="26">
        <v>1284</v>
      </c>
      <c r="AD248" s="26">
        <v>6</v>
      </c>
      <c r="AE248" s="26">
        <v>13340</v>
      </c>
      <c r="AF248" s="26">
        <v>123</v>
      </c>
      <c r="AG248" s="26">
        <v>45854</v>
      </c>
      <c r="AH248" s="26">
        <v>267</v>
      </c>
    </row>
    <row r="249" spans="1:34" x14ac:dyDescent="0.2">
      <c r="A249" s="10">
        <f t="shared" si="14"/>
        <v>2026</v>
      </c>
      <c r="B249" s="10">
        <f t="shared" si="15"/>
        <v>5</v>
      </c>
      <c r="D249" s="10" t="s">
        <v>60</v>
      </c>
      <c r="E249" s="25" t="d">
        <v>2026-05-01</v>
      </c>
      <c r="F249" s="26">
        <v>1540959</v>
      </c>
      <c r="G249" s="26">
        <v>6153</v>
      </c>
      <c r="H249" s="26">
        <v>404220038</v>
      </c>
      <c r="I249" s="26">
        <v>8194305</v>
      </c>
      <c r="J249" s="26">
        <v>2338078</v>
      </c>
      <c r="K249" s="26">
        <v>1620</v>
      </c>
      <c r="L249" s="26">
        <v>588481</v>
      </c>
      <c r="M249" s="26">
        <v>2847</v>
      </c>
      <c r="N249" s="26">
        <v>7873626</v>
      </c>
      <c r="O249" s="26">
        <v>252202</v>
      </c>
      <c r="P249" s="26">
        <v>568000</v>
      </c>
      <c r="Q249" s="26">
        <v>7000</v>
      </c>
      <c r="R249" s="26">
        <v>349746029</v>
      </c>
      <c r="S249" s="26">
        <v>7443449</v>
      </c>
      <c r="T249" s="26">
        <v>823639</v>
      </c>
      <c r="U249" s="26">
        <v>1206</v>
      </c>
      <c r="V249" s="26">
        <v>51589</v>
      </c>
      <c r="W249" s="26">
        <v>26401</v>
      </c>
      <c r="X249" s="26">
        <v>1145</v>
      </c>
      <c r="Y249" s="26">
        <v>25064534</v>
      </c>
      <c r="Z249" s="26">
        <v>40234</v>
      </c>
      <c r="AA249" s="26">
        <v>1619581</v>
      </c>
      <c r="AB249" s="26">
        <v>-358</v>
      </c>
      <c r="AC249" s="26">
        <v>1284</v>
      </c>
      <c r="AD249" s="26">
        <v>0</v>
      </c>
      <c r="AE249" s="26">
        <v>13424</v>
      </c>
      <c r="AF249" s="26">
        <v>84</v>
      </c>
      <c r="AG249" s="26">
        <v>46103</v>
      </c>
      <c r="AH249" s="26">
        <v>249</v>
      </c>
    </row>
    <row r="250" spans="1:34" x14ac:dyDescent="0.2">
      <c r="A250" s="10">
        <f t="shared" si="14"/>
        <v>2026</v>
      </c>
      <c r="B250" s="10">
        <f t="shared" si="15"/>
        <v>6</v>
      </c>
      <c r="D250" s="10" t="s">
        <v>60</v>
      </c>
      <c r="E250" s="25" t="d">
        <v>2026-06-01</v>
      </c>
      <c r="F250" s="26">
        <v>1545812</v>
      </c>
      <c r="G250" s="26">
        <v>4853</v>
      </c>
      <c r="H250" s="26">
        <v>412057902</v>
      </c>
      <c r="I250" s="26">
        <v>7797958</v>
      </c>
      <c r="J250" s="26">
        <v>2261035</v>
      </c>
      <c r="K250" s="26">
        <v>-77043</v>
      </c>
      <c r="L250" s="26">
        <v>591283</v>
      </c>
      <c r="M250" s="26">
        <v>2802</v>
      </c>
      <c r="N250" s="26">
        <v>8136920</v>
      </c>
      <c r="O250" s="26">
        <v>263294</v>
      </c>
      <c r="P250" s="26">
        <v>573000</v>
      </c>
      <c r="Q250" s="26">
        <v>5000</v>
      </c>
      <c r="R250" s="26">
        <v>356274043</v>
      </c>
      <c r="S250" s="26">
        <v>6518238</v>
      </c>
      <c r="T250" s="26">
        <v>819001</v>
      </c>
      <c r="U250" s="26">
        <v>-4638</v>
      </c>
      <c r="V250" s="26">
        <v>20456</v>
      </c>
      <c r="W250" s="26">
        <v>27840</v>
      </c>
      <c r="X250" s="26">
        <v>1439</v>
      </c>
      <c r="Y250" s="26">
        <v>25600449</v>
      </c>
      <c r="Z250" s="26">
        <v>535915</v>
      </c>
      <c r="AA250" s="26">
        <v>1619048</v>
      </c>
      <c r="AB250" s="26">
        <v>-533</v>
      </c>
      <c r="AC250" s="26">
        <v>1283</v>
      </c>
      <c r="AD250" s="26">
        <v>-1</v>
      </c>
      <c r="AE250" s="26">
        <v>13514</v>
      </c>
      <c r="AF250" s="26">
        <v>90</v>
      </c>
      <c r="AG250" s="26">
        <v>46343</v>
      </c>
      <c r="AH250" s="26">
        <v>240</v>
      </c>
    </row>
    <row r="251" spans="1:34" x14ac:dyDescent="0.2">
      <c r="A251" s="10">
        <f t="shared" si="14"/>
        <v>2026</v>
      </c>
      <c r="B251" s="10">
        <f t="shared" si="15"/>
        <v>7</v>
      </c>
      <c r="D251" s="10" t="s">
        <v>60</v>
      </c>
      <c r="E251" s="25" t="d">
        <v>2026-07-01</v>
      </c>
      <c r="F251" s="26">
        <v>1550966</v>
      </c>
      <c r="G251" s="26">
        <v>5154</v>
      </c>
      <c r="H251" s="26">
        <v>419724273</v>
      </c>
      <c r="I251" s="26">
        <v>7518504</v>
      </c>
      <c r="J251" s="26">
        <v>2278505</v>
      </c>
      <c r="K251" s="26">
        <v>17470</v>
      </c>
      <c r="L251" s="26">
        <v>591043</v>
      </c>
      <c r="M251" s="26">
        <v>-240</v>
      </c>
      <c r="N251" s="26">
        <v>8232901</v>
      </c>
      <c r="O251" s="26">
        <v>95981</v>
      </c>
      <c r="P251" s="26">
        <v>579000</v>
      </c>
      <c r="Q251" s="26">
        <v>6000</v>
      </c>
      <c r="R251" s="26">
        <v>362826625</v>
      </c>
      <c r="S251" s="26">
        <v>6552584</v>
      </c>
      <c r="T251" s="26">
        <v>817068</v>
      </c>
      <c r="U251" s="26">
        <v>-1933</v>
      </c>
      <c r="V251" s="26">
        <v>15871</v>
      </c>
      <c r="W251" s="26">
        <v>29438</v>
      </c>
      <c r="X251" s="26">
        <v>1598</v>
      </c>
      <c r="Y251" s="26">
        <v>25832325</v>
      </c>
      <c r="Z251" s="26">
        <v>231876</v>
      </c>
      <c r="AA251" s="26">
        <v>1618568</v>
      </c>
      <c r="AB251" s="26">
        <v>-480</v>
      </c>
      <c r="AC251" s="26">
        <v>1287</v>
      </c>
      <c r="AD251" s="26">
        <v>4</v>
      </c>
      <c r="AE251" s="26">
        <v>13629</v>
      </c>
      <c r="AF251" s="26">
        <v>115</v>
      </c>
      <c r="AG251" s="26">
        <v>46565</v>
      </c>
      <c r="AH251" s="26">
        <v>222</v>
      </c>
    </row>
    <row r="252" spans="1:34" x14ac:dyDescent="0.2">
      <c r="A252" s="10">
        <f t="shared" ref="A252:A276" si="16">YEAR(E252)</f>
        <v>2024</v>
      </c>
      <c r="B252" s="10">
        <f t="shared" ref="B252:B276" si="17">MONTH(E252)</f>
        <v>7</v>
      </c>
      <c r="D252" s="10" t="s">
        <v>61</v>
      </c>
      <c r="E252" s="25" t="d">
        <v>2024-07-01</v>
      </c>
      <c r="F252" s="26">
        <v>1164307</v>
      </c>
      <c r="G252" s="26">
        <v>32531</v>
      </c>
      <c r="H252" s="26">
        <v>130360472</v>
      </c>
      <c r="I252" s="26">
        <v>3174543</v>
      </c>
      <c r="J252" s="26">
        <v>780740</v>
      </c>
      <c r="K252" s="26">
        <v>-14582</v>
      </c>
      <c r="L252" s="26">
        <v>25500</v>
      </c>
      <c r="M252" s="26">
        <v>-100</v>
      </c>
      <c r="N252" s="26">
        <v>24900</v>
      </c>
      <c r="O252" s="26">
        <v>0</v>
      </c>
      <c r="P252" s="26">
        <v>221000</v>
      </c>
      <c r="Q252" s="26">
        <v>1000</v>
      </c>
      <c r="R252" s="26">
        <v>113615801</v>
      </c>
      <c r="S252" s="26">
        <v>2001426</v>
      </c>
      <c r="T252" s="26">
        <v>962679</v>
      </c>
      <c r="U252" s="26">
        <v>3176</v>
      </c>
      <c r="V252" s="26">
        <v>21000</v>
      </c>
      <c r="W252" s="26">
        <v>1896</v>
      </c>
      <c r="X252" s="26">
        <v>93</v>
      </c>
      <c r="Y252" s="26" t="s">
        <v>31</v>
      </c>
      <c r="Z252" s="26" t="s">
        <v>31</v>
      </c>
      <c r="AA252" s="26">
        <v>2056576</v>
      </c>
      <c r="AB252" s="26">
        <v>-3241</v>
      </c>
      <c r="AC252" s="26" t="s">
        <v>31</v>
      </c>
      <c r="AD252" s="26" t="s">
        <v>31</v>
      </c>
      <c r="AE252" s="26" t="s">
        <v>31</v>
      </c>
      <c r="AF252" s="26" t="s">
        <v>31</v>
      </c>
      <c r="AG252" s="26">
        <v>32120</v>
      </c>
      <c r="AH252" s="26">
        <v>144</v>
      </c>
    </row>
    <row r="253" spans="1:34" x14ac:dyDescent="0.2">
      <c r="A253" s="10">
        <f t="shared" si="16"/>
        <v>2024</v>
      </c>
      <c r="B253" s="10">
        <f t="shared" si="17"/>
        <v>8</v>
      </c>
      <c r="D253" s="10" t="s">
        <v>61</v>
      </c>
      <c r="E253" s="25" t="d">
        <v>2024-08-01</v>
      </c>
      <c r="F253" s="26">
        <v>1199695</v>
      </c>
      <c r="G253" s="26">
        <v>35388</v>
      </c>
      <c r="H253" s="26">
        <v>133473899</v>
      </c>
      <c r="I253" s="26">
        <v>3113427</v>
      </c>
      <c r="J253" s="26">
        <v>750232</v>
      </c>
      <c r="K253" s="26">
        <v>-30508</v>
      </c>
      <c r="L253" s="26">
        <v>25500</v>
      </c>
      <c r="M253" s="26">
        <v>0</v>
      </c>
      <c r="N253" s="26">
        <v>24900</v>
      </c>
      <c r="O253" s="26">
        <v>0</v>
      </c>
      <c r="P253" s="26">
        <v>223000</v>
      </c>
      <c r="Q253" s="26">
        <v>2000</v>
      </c>
      <c r="R253" s="26">
        <v>115481250</v>
      </c>
      <c r="S253" s="26">
        <v>1865449</v>
      </c>
      <c r="T253" s="26">
        <v>961157</v>
      </c>
      <c r="U253" s="26">
        <v>-1522</v>
      </c>
      <c r="V253" s="26">
        <v>24000</v>
      </c>
      <c r="W253" s="26">
        <v>1974</v>
      </c>
      <c r="X253" s="26">
        <v>78</v>
      </c>
      <c r="Y253" s="26" t="s">
        <v>31</v>
      </c>
      <c r="Z253" s="26" t="s">
        <v>31</v>
      </c>
      <c r="AA253" s="26">
        <v>2048784</v>
      </c>
      <c r="AB253" s="26">
        <v>-7792</v>
      </c>
      <c r="AC253" s="26" t="s">
        <v>31</v>
      </c>
      <c r="AD253" s="26" t="s">
        <v>31</v>
      </c>
      <c r="AE253" s="26" t="s">
        <v>31</v>
      </c>
      <c r="AF253" s="26" t="s">
        <v>31</v>
      </c>
      <c r="AG253" s="26">
        <v>32267</v>
      </c>
      <c r="AH253" s="26">
        <v>147</v>
      </c>
    </row>
    <row r="254" spans="1:34" x14ac:dyDescent="0.2">
      <c r="A254" s="10">
        <f t="shared" si="16"/>
        <v>2024</v>
      </c>
      <c r="B254" s="10">
        <f t="shared" si="17"/>
        <v>9</v>
      </c>
      <c r="D254" s="10" t="s">
        <v>61</v>
      </c>
      <c r="E254" s="25" t="d">
        <v>2024-09-01</v>
      </c>
      <c r="F254" s="26">
        <v>1246957</v>
      </c>
      <c r="G254" s="26">
        <v>47262</v>
      </c>
      <c r="H254" s="26">
        <v>136547218</v>
      </c>
      <c r="I254" s="26">
        <v>3073319</v>
      </c>
      <c r="J254" s="26">
        <v>747076</v>
      </c>
      <c r="K254" s="26">
        <v>-3156</v>
      </c>
      <c r="L254" s="26">
        <v>25400</v>
      </c>
      <c r="M254" s="26">
        <v>-100</v>
      </c>
      <c r="N254" s="26">
        <v>25000</v>
      </c>
      <c r="O254" s="26">
        <v>100</v>
      </c>
      <c r="P254" s="26">
        <v>225000</v>
      </c>
      <c r="Q254" s="26">
        <v>2000</v>
      </c>
      <c r="R254" s="26">
        <v>117607392</v>
      </c>
      <c r="S254" s="26">
        <v>2126142</v>
      </c>
      <c r="T254" s="26">
        <v>958765</v>
      </c>
      <c r="U254" s="26">
        <v>-2392</v>
      </c>
      <c r="V254" s="26">
        <v>12000</v>
      </c>
      <c r="W254" s="26">
        <v>2070</v>
      </c>
      <c r="X254" s="26">
        <v>96</v>
      </c>
      <c r="Y254" s="26" t="s">
        <v>31</v>
      </c>
      <c r="Z254" s="26" t="s">
        <v>31</v>
      </c>
      <c r="AA254" s="26">
        <v>2042197</v>
      </c>
      <c r="AB254" s="26">
        <v>-6587</v>
      </c>
      <c r="AC254" s="26" t="s">
        <v>31</v>
      </c>
      <c r="AD254" s="26" t="s">
        <v>31</v>
      </c>
      <c r="AE254" s="26" t="s">
        <v>31</v>
      </c>
      <c r="AF254" s="26" t="s">
        <v>31</v>
      </c>
      <c r="AG254" s="26">
        <v>32403</v>
      </c>
      <c r="AH254" s="26">
        <v>136</v>
      </c>
    </row>
    <row r="255" spans="1:34" x14ac:dyDescent="0.2">
      <c r="A255" s="10">
        <f t="shared" si="16"/>
        <v>2024</v>
      </c>
      <c r="B255" s="10">
        <f t="shared" si="17"/>
        <v>10</v>
      </c>
      <c r="D255" s="10" t="s">
        <v>61</v>
      </c>
      <c r="E255" s="25" t="d">
        <v>2024-10-01</v>
      </c>
      <c r="F255" s="26">
        <v>1270528</v>
      </c>
      <c r="G255" s="26">
        <v>23571</v>
      </c>
      <c r="H255" s="26">
        <v>139624212</v>
      </c>
      <c r="I255" s="26">
        <v>3012206</v>
      </c>
      <c r="J255" s="26">
        <v>752226</v>
      </c>
      <c r="K255" s="26">
        <v>5150</v>
      </c>
      <c r="L255" s="26">
        <v>25400</v>
      </c>
      <c r="M255" s="26">
        <v>0</v>
      </c>
      <c r="N255" s="26">
        <v>25000</v>
      </c>
      <c r="O255" s="26">
        <v>0</v>
      </c>
      <c r="P255" s="26">
        <v>226000</v>
      </c>
      <c r="Q255" s="26">
        <v>1000</v>
      </c>
      <c r="R255" s="26">
        <v>119468089</v>
      </c>
      <c r="S255" s="26">
        <v>1860697</v>
      </c>
      <c r="T255" s="26">
        <v>958439</v>
      </c>
      <c r="U255" s="26">
        <v>-326</v>
      </c>
      <c r="V255" s="26">
        <v>16552</v>
      </c>
      <c r="W255" s="26">
        <v>2177</v>
      </c>
      <c r="X255" s="26">
        <v>107</v>
      </c>
      <c r="Y255" s="26" t="s">
        <v>31</v>
      </c>
      <c r="Z255" s="26" t="s">
        <v>31</v>
      </c>
      <c r="AA255" s="26">
        <v>2039810</v>
      </c>
      <c r="AB255" s="26">
        <v>-2387</v>
      </c>
      <c r="AC255" s="26" t="s">
        <v>31</v>
      </c>
      <c r="AD255" s="26" t="s">
        <v>31</v>
      </c>
      <c r="AE255" s="26" t="s">
        <v>31</v>
      </c>
      <c r="AF255" s="26" t="s">
        <v>31</v>
      </c>
      <c r="AG255" s="26">
        <v>32544</v>
      </c>
      <c r="AH255" s="26">
        <v>141</v>
      </c>
    </row>
    <row r="256" spans="1:34" x14ac:dyDescent="0.2">
      <c r="A256" s="10">
        <f t="shared" si="16"/>
        <v>2024</v>
      </c>
      <c r="B256" s="10">
        <f t="shared" si="17"/>
        <v>11</v>
      </c>
      <c r="D256" s="10" t="s">
        <v>61</v>
      </c>
      <c r="E256" s="25" t="d">
        <v>2024-11-01</v>
      </c>
      <c r="F256" s="26">
        <v>1291720</v>
      </c>
      <c r="G256" s="26">
        <v>21192</v>
      </c>
      <c r="H256" s="26">
        <v>142904095</v>
      </c>
      <c r="I256" s="26">
        <v>3172440</v>
      </c>
      <c r="J256" s="26">
        <v>876658</v>
      </c>
      <c r="K256" s="26">
        <v>124432</v>
      </c>
      <c r="L256" s="26">
        <v>25400</v>
      </c>
      <c r="M256" s="26">
        <v>0</v>
      </c>
      <c r="N256" s="26">
        <v>25000</v>
      </c>
      <c r="O256" s="26">
        <v>0</v>
      </c>
      <c r="P256" s="26">
        <v>228000</v>
      </c>
      <c r="Q256" s="26">
        <v>2000</v>
      </c>
      <c r="R256" s="26">
        <v>121516820</v>
      </c>
      <c r="S256" s="26">
        <v>2048731</v>
      </c>
      <c r="T256" s="26">
        <v>958878</v>
      </c>
      <c r="U256" s="26">
        <v>439</v>
      </c>
      <c r="V256" s="26">
        <v>67275</v>
      </c>
      <c r="W256" s="26">
        <v>2274</v>
      </c>
      <c r="X256" s="26">
        <v>97</v>
      </c>
      <c r="Y256" s="26" t="s">
        <v>31</v>
      </c>
      <c r="Z256" s="26" t="s">
        <v>31</v>
      </c>
      <c r="AA256" s="26">
        <v>2041730</v>
      </c>
      <c r="AB256" s="26">
        <v>1920</v>
      </c>
      <c r="AC256" s="26" t="s">
        <v>31</v>
      </c>
      <c r="AD256" s="26" t="s">
        <v>31</v>
      </c>
      <c r="AE256" s="26" t="s">
        <v>31</v>
      </c>
      <c r="AF256" s="26" t="s">
        <v>31</v>
      </c>
      <c r="AG256" s="26">
        <v>32668</v>
      </c>
      <c r="AH256" s="26">
        <v>124</v>
      </c>
    </row>
    <row r="257" spans="1:34" x14ac:dyDescent="0.2">
      <c r="A257" s="10">
        <f t="shared" si="16"/>
        <v>2024</v>
      </c>
      <c r="B257" s="10">
        <f t="shared" si="17"/>
        <v>12</v>
      </c>
      <c r="D257" s="10" t="s">
        <v>61</v>
      </c>
      <c r="E257" s="25" t="d">
        <v>2024-12-01</v>
      </c>
      <c r="F257" s="26">
        <v>1312197</v>
      </c>
      <c r="G257" s="26">
        <v>20477</v>
      </c>
      <c r="H257" s="26">
        <v>146060542</v>
      </c>
      <c r="I257" s="26">
        <v>3090804</v>
      </c>
      <c r="J257" s="26">
        <v>812217</v>
      </c>
      <c r="K257" s="26">
        <v>-64441</v>
      </c>
      <c r="L257" s="26">
        <v>25300</v>
      </c>
      <c r="M257" s="26">
        <v>-100</v>
      </c>
      <c r="N257" s="26">
        <v>25100</v>
      </c>
      <c r="O257" s="26">
        <v>100</v>
      </c>
      <c r="P257" s="26">
        <v>230000</v>
      </c>
      <c r="Q257" s="26">
        <v>2000</v>
      </c>
      <c r="R257" s="26">
        <v>123857920</v>
      </c>
      <c r="S257" s="26">
        <v>2341100</v>
      </c>
      <c r="T257" s="26">
        <v>957737</v>
      </c>
      <c r="U257" s="26">
        <v>-1141</v>
      </c>
      <c r="V257" s="26">
        <v>27716</v>
      </c>
      <c r="W257" s="26">
        <v>2357</v>
      </c>
      <c r="X257" s="26">
        <v>83</v>
      </c>
      <c r="Y257" s="26" t="s">
        <v>31</v>
      </c>
      <c r="Z257" s="26" t="s">
        <v>31</v>
      </c>
      <c r="AA257" s="26">
        <v>2041515</v>
      </c>
      <c r="AB257" s="26">
        <v>-215</v>
      </c>
      <c r="AC257" s="26" t="s">
        <v>31</v>
      </c>
      <c r="AD257" s="26" t="s">
        <v>31</v>
      </c>
      <c r="AE257" s="26" t="s">
        <v>31</v>
      </c>
      <c r="AF257" s="26" t="s">
        <v>31</v>
      </c>
      <c r="AG257" s="26">
        <v>32787</v>
      </c>
      <c r="AH257" s="26">
        <v>119</v>
      </c>
    </row>
    <row r="258" spans="1:34" x14ac:dyDescent="0.2">
      <c r="A258" s="10">
        <f t="shared" si="16"/>
        <v>2025</v>
      </c>
      <c r="B258" s="10">
        <f t="shared" si="17"/>
        <v>1</v>
      </c>
      <c r="D258" s="10" t="s">
        <v>61</v>
      </c>
      <c r="E258" s="25" t="d">
        <v>2025-01-01</v>
      </c>
      <c r="F258" s="26">
        <v>1337578</v>
      </c>
      <c r="G258" s="26">
        <v>25381</v>
      </c>
      <c r="H258" s="26">
        <v>149324375</v>
      </c>
      <c r="I258" s="26">
        <v>3260066</v>
      </c>
      <c r="J258" s="26">
        <v>858031</v>
      </c>
      <c r="K258" s="26">
        <v>45814</v>
      </c>
      <c r="L258" s="26">
        <v>25200</v>
      </c>
      <c r="M258" s="26">
        <v>-100</v>
      </c>
      <c r="N258" s="26">
        <v>25100</v>
      </c>
      <c r="O258" s="26">
        <v>0</v>
      </c>
      <c r="P258" s="26">
        <v>232000</v>
      </c>
      <c r="Q258" s="26">
        <v>2000</v>
      </c>
      <c r="R258" s="26">
        <v>126400197</v>
      </c>
      <c r="S258" s="26">
        <v>2542277</v>
      </c>
      <c r="T258" s="26">
        <v>959621</v>
      </c>
      <c r="U258" s="26">
        <v>1884</v>
      </c>
      <c r="V258" s="26">
        <v>0</v>
      </c>
      <c r="W258" s="26">
        <v>2471</v>
      </c>
      <c r="X258" s="26">
        <v>114</v>
      </c>
      <c r="Y258" s="26" t="s">
        <v>31</v>
      </c>
      <c r="Z258" s="26" t="s">
        <v>31</v>
      </c>
      <c r="AA258" s="26">
        <v>2041198</v>
      </c>
      <c r="AB258" s="26">
        <v>-317</v>
      </c>
      <c r="AC258" s="26" t="s">
        <v>31</v>
      </c>
      <c r="AD258" s="26" t="s">
        <v>31</v>
      </c>
      <c r="AE258" s="26" t="s">
        <v>31</v>
      </c>
      <c r="AF258" s="26" t="s">
        <v>31</v>
      </c>
      <c r="AG258" s="26">
        <v>32924</v>
      </c>
      <c r="AH258" s="26">
        <v>137</v>
      </c>
    </row>
    <row r="259" spans="1:34" x14ac:dyDescent="0.2">
      <c r="A259" s="10">
        <f t="shared" si="16"/>
        <v>2025</v>
      </c>
      <c r="B259" s="10">
        <f t="shared" si="17"/>
        <v>2</v>
      </c>
      <c r="D259" s="10" t="s">
        <v>61</v>
      </c>
      <c r="E259" s="25" t="d">
        <v>2025-02-01</v>
      </c>
      <c r="F259" s="26">
        <v>1351036</v>
      </c>
      <c r="G259" s="26">
        <v>13458</v>
      </c>
      <c r="H259" s="26">
        <v>151727421</v>
      </c>
      <c r="I259" s="26">
        <v>2403046</v>
      </c>
      <c r="J259" s="26">
        <v>615438</v>
      </c>
      <c r="K259" s="26">
        <v>-242593</v>
      </c>
      <c r="L259" s="26">
        <v>25200</v>
      </c>
      <c r="M259" s="26">
        <v>0</v>
      </c>
      <c r="N259" s="26">
        <v>25100</v>
      </c>
      <c r="O259" s="26">
        <v>0</v>
      </c>
      <c r="P259" s="26">
        <v>234000</v>
      </c>
      <c r="Q259" s="26">
        <v>2000</v>
      </c>
      <c r="R259" s="26">
        <v>128203259</v>
      </c>
      <c r="S259" s="26">
        <v>1803062</v>
      </c>
      <c r="T259" s="26">
        <v>957586</v>
      </c>
      <c r="U259" s="26">
        <v>-2035</v>
      </c>
      <c r="V259" s="26">
        <v>38184</v>
      </c>
      <c r="W259" s="26">
        <v>2581</v>
      </c>
      <c r="X259" s="26">
        <v>110</v>
      </c>
      <c r="Y259" s="26" t="s">
        <v>31</v>
      </c>
      <c r="Z259" s="26" t="s">
        <v>31</v>
      </c>
      <c r="AA259" s="26">
        <v>2039145</v>
      </c>
      <c r="AB259" s="26">
        <v>-2053</v>
      </c>
      <c r="AC259" s="26" t="s">
        <v>31</v>
      </c>
      <c r="AD259" s="26" t="s">
        <v>31</v>
      </c>
      <c r="AE259" s="26" t="s">
        <v>31</v>
      </c>
      <c r="AF259" s="26" t="s">
        <v>31</v>
      </c>
      <c r="AG259" s="26">
        <v>33002</v>
      </c>
      <c r="AH259" s="26">
        <v>78</v>
      </c>
    </row>
    <row r="260" spans="1:34" x14ac:dyDescent="0.2">
      <c r="A260" s="10">
        <f t="shared" si="16"/>
        <v>2025</v>
      </c>
      <c r="B260" s="10">
        <f t="shared" si="17"/>
        <v>3</v>
      </c>
      <c r="D260" s="10" t="s">
        <v>61</v>
      </c>
      <c r="E260" s="25" t="d">
        <v>2025-03-01</v>
      </c>
      <c r="F260" s="26">
        <v>1360080</v>
      </c>
      <c r="G260" s="26">
        <v>9044</v>
      </c>
      <c r="H260" s="26">
        <v>153957481</v>
      </c>
      <c r="I260" s="26">
        <v>2207658</v>
      </c>
      <c r="J260" s="26">
        <v>640426</v>
      </c>
      <c r="K260" s="26">
        <v>24988</v>
      </c>
      <c r="L260" s="26">
        <v>25200</v>
      </c>
      <c r="M260" s="26">
        <v>0</v>
      </c>
      <c r="N260" s="26">
        <v>25100</v>
      </c>
      <c r="O260" s="26">
        <v>0</v>
      </c>
      <c r="P260" s="26">
        <v>235000</v>
      </c>
      <c r="Q260" s="26">
        <v>1000</v>
      </c>
      <c r="R260" s="26">
        <v>129690406</v>
      </c>
      <c r="S260" s="26">
        <v>1487147</v>
      </c>
      <c r="T260" s="26">
        <v>958773</v>
      </c>
      <c r="U260" s="26">
        <v>1187</v>
      </c>
      <c r="V260" s="26">
        <v>7331</v>
      </c>
      <c r="W260" s="26">
        <v>2669</v>
      </c>
      <c r="X260" s="26">
        <v>88</v>
      </c>
      <c r="Y260" s="26" t="s">
        <v>31</v>
      </c>
      <c r="Z260" s="26" t="s">
        <v>31</v>
      </c>
      <c r="AA260" s="26">
        <v>2038761</v>
      </c>
      <c r="AB260" s="26">
        <v>-384</v>
      </c>
      <c r="AC260" s="26" t="s">
        <v>31</v>
      </c>
      <c r="AD260" s="26" t="s">
        <v>31</v>
      </c>
      <c r="AE260" s="26" t="s">
        <v>31</v>
      </c>
      <c r="AF260" s="26" t="s">
        <v>31</v>
      </c>
      <c r="AG260" s="26">
        <v>33071</v>
      </c>
      <c r="AH260" s="26">
        <v>69</v>
      </c>
    </row>
    <row r="261" spans="1:34" x14ac:dyDescent="0.2">
      <c r="A261" s="10">
        <f t="shared" si="16"/>
        <v>2025</v>
      </c>
      <c r="B261" s="10">
        <f t="shared" si="17"/>
        <v>4</v>
      </c>
      <c r="D261" s="10" t="s">
        <v>61</v>
      </c>
      <c r="E261" s="25" t="d">
        <v>2025-04-01</v>
      </c>
      <c r="F261" s="26">
        <v>1368703</v>
      </c>
      <c r="G261" s="26">
        <v>8623</v>
      </c>
      <c r="H261" s="26">
        <v>156453457</v>
      </c>
      <c r="I261" s="26">
        <v>2438936</v>
      </c>
      <c r="J261" s="26">
        <v>606706</v>
      </c>
      <c r="K261" s="26">
        <v>-33720</v>
      </c>
      <c r="L261" s="26">
        <v>25200</v>
      </c>
      <c r="M261" s="26">
        <v>0</v>
      </c>
      <c r="N261" s="26">
        <v>25100</v>
      </c>
      <c r="O261" s="26">
        <v>0</v>
      </c>
      <c r="P261" s="26">
        <v>237000</v>
      </c>
      <c r="Q261" s="26">
        <v>2000</v>
      </c>
      <c r="R261" s="26">
        <v>131424330</v>
      </c>
      <c r="S261" s="26">
        <v>1733924</v>
      </c>
      <c r="T261" s="26">
        <v>962073</v>
      </c>
      <c r="U261" s="26">
        <v>3300</v>
      </c>
      <c r="V261" s="26">
        <v>7311</v>
      </c>
      <c r="W261" s="26">
        <v>2766</v>
      </c>
      <c r="X261" s="26">
        <v>97</v>
      </c>
      <c r="Y261" s="26" t="s">
        <v>31</v>
      </c>
      <c r="Z261" s="26" t="s">
        <v>31</v>
      </c>
      <c r="AA261" s="26">
        <v>2040734</v>
      </c>
      <c r="AB261" s="26">
        <v>1973</v>
      </c>
      <c r="AC261" s="26" t="s">
        <v>31</v>
      </c>
      <c r="AD261" s="26" t="s">
        <v>31</v>
      </c>
      <c r="AE261" s="26" t="s">
        <v>31</v>
      </c>
      <c r="AF261" s="26" t="s">
        <v>31</v>
      </c>
      <c r="AG261" s="26">
        <v>33201</v>
      </c>
      <c r="AH261" s="26">
        <v>130</v>
      </c>
    </row>
    <row r="262" spans="1:34" x14ac:dyDescent="0.2">
      <c r="A262" s="10">
        <f t="shared" si="16"/>
        <v>2025</v>
      </c>
      <c r="B262" s="10">
        <f t="shared" si="17"/>
        <v>5</v>
      </c>
      <c r="D262" s="10" t="s">
        <v>61</v>
      </c>
      <c r="E262" s="25" t="d">
        <v>2025-05-01</v>
      </c>
      <c r="F262" s="26">
        <v>1379501</v>
      </c>
      <c r="G262" s="26">
        <v>10798</v>
      </c>
      <c r="H262" s="26">
        <v>159018133</v>
      </c>
      <c r="I262" s="26">
        <v>2564676</v>
      </c>
      <c r="J262" s="26">
        <v>629195</v>
      </c>
      <c r="K262" s="26">
        <v>22489</v>
      </c>
      <c r="L262" s="26">
        <v>25200</v>
      </c>
      <c r="M262" s="26">
        <v>0</v>
      </c>
      <c r="N262" s="26">
        <v>25100</v>
      </c>
      <c r="O262" s="26">
        <v>0</v>
      </c>
      <c r="P262" s="26">
        <v>239000</v>
      </c>
      <c r="Q262" s="26">
        <v>2000</v>
      </c>
      <c r="R262" s="26">
        <v>133166547</v>
      </c>
      <c r="S262" s="26">
        <v>1742217</v>
      </c>
      <c r="T262" s="26">
        <v>970014</v>
      </c>
      <c r="U262" s="26">
        <v>7941</v>
      </c>
      <c r="V262" s="26">
        <v>4949</v>
      </c>
      <c r="W262" s="26">
        <v>2854</v>
      </c>
      <c r="X262" s="26">
        <v>88</v>
      </c>
      <c r="Y262" s="26" t="s">
        <v>31</v>
      </c>
      <c r="Z262" s="26" t="s">
        <v>31</v>
      </c>
      <c r="AA262" s="26">
        <v>2040656</v>
      </c>
      <c r="AB262" s="26">
        <v>-78</v>
      </c>
      <c r="AC262" s="26" t="s">
        <v>31</v>
      </c>
      <c r="AD262" s="26" t="s">
        <v>31</v>
      </c>
      <c r="AE262" s="26" t="s">
        <v>31</v>
      </c>
      <c r="AF262" s="26" t="s">
        <v>31</v>
      </c>
      <c r="AG262" s="26">
        <v>33288</v>
      </c>
      <c r="AH262" s="26">
        <v>87</v>
      </c>
    </row>
    <row r="263" spans="1:34" x14ac:dyDescent="0.2">
      <c r="A263" s="10">
        <f t="shared" si="16"/>
        <v>2025</v>
      </c>
      <c r="B263" s="10">
        <f t="shared" si="17"/>
        <v>6</v>
      </c>
      <c r="D263" s="10" t="s">
        <v>61</v>
      </c>
      <c r="E263" s="25" t="d">
        <v>2025-06-01</v>
      </c>
      <c r="F263" s="26">
        <v>1389621</v>
      </c>
      <c r="G263" s="26">
        <v>10120</v>
      </c>
      <c r="H263" s="26">
        <v>162707413</v>
      </c>
      <c r="I263" s="26">
        <v>3320440</v>
      </c>
      <c r="J263" s="26">
        <v>773573</v>
      </c>
      <c r="K263" s="26">
        <v>144378</v>
      </c>
      <c r="L263" s="26">
        <v>25200</v>
      </c>
      <c r="M263" s="26">
        <v>0</v>
      </c>
      <c r="N263" s="26">
        <v>25100</v>
      </c>
      <c r="O263" s="26">
        <v>0</v>
      </c>
      <c r="P263" s="26">
        <v>241000</v>
      </c>
      <c r="Q263" s="26">
        <v>2000</v>
      </c>
      <c r="R263" s="26">
        <v>134951484</v>
      </c>
      <c r="S263" s="26">
        <v>1784937</v>
      </c>
      <c r="T263" s="26">
        <v>975512</v>
      </c>
      <c r="U263" s="26">
        <v>5498</v>
      </c>
      <c r="V263" s="26">
        <v>42935</v>
      </c>
      <c r="W263" s="26">
        <v>3317</v>
      </c>
      <c r="X263" s="26">
        <v>463</v>
      </c>
      <c r="Y263" s="26" t="s">
        <v>31</v>
      </c>
      <c r="Z263" s="26" t="s">
        <v>31</v>
      </c>
      <c r="AA263" s="26">
        <v>2037478</v>
      </c>
      <c r="AB263" s="26">
        <v>-3178</v>
      </c>
      <c r="AC263" s="26" t="s">
        <v>31</v>
      </c>
      <c r="AD263" s="26" t="s">
        <v>31</v>
      </c>
      <c r="AE263" s="26" t="s">
        <v>31</v>
      </c>
      <c r="AF263" s="26" t="s">
        <v>31</v>
      </c>
      <c r="AG263" s="26">
        <v>33383</v>
      </c>
      <c r="AH263" s="26">
        <v>95</v>
      </c>
    </row>
    <row r="264" spans="1:34" x14ac:dyDescent="0.2">
      <c r="A264" s="10">
        <f t="shared" si="16"/>
        <v>2025</v>
      </c>
      <c r="B264" s="10">
        <f t="shared" si="17"/>
        <v>7</v>
      </c>
      <c r="D264" s="10" t="s">
        <v>61</v>
      </c>
      <c r="E264" s="25" t="d">
        <v>2025-07-01</v>
      </c>
      <c r="F264" s="26">
        <v>1397766</v>
      </c>
      <c r="G264" s="26">
        <v>8145</v>
      </c>
      <c r="H264" s="26">
        <v>166818380</v>
      </c>
      <c r="I264" s="26">
        <v>4024256</v>
      </c>
      <c r="J264" s="26">
        <v>767059</v>
      </c>
      <c r="K264" s="26">
        <v>-6514</v>
      </c>
      <c r="L264" s="26">
        <v>25200</v>
      </c>
      <c r="M264" s="26">
        <v>0</v>
      </c>
      <c r="N264" s="26">
        <v>25100</v>
      </c>
      <c r="O264" s="26">
        <v>0</v>
      </c>
      <c r="P264" s="26">
        <v>243000</v>
      </c>
      <c r="Q264" s="26">
        <v>2000</v>
      </c>
      <c r="R264" s="26">
        <v>136756792</v>
      </c>
      <c r="S264" s="26">
        <v>1805308</v>
      </c>
      <c r="T264" s="26">
        <v>984109</v>
      </c>
      <c r="U264" s="26">
        <v>8597</v>
      </c>
      <c r="V264" s="26">
        <v>4125</v>
      </c>
      <c r="W264" s="26">
        <v>3890</v>
      </c>
      <c r="X264" s="26">
        <v>573</v>
      </c>
      <c r="Y264" s="26" t="s">
        <v>31</v>
      </c>
      <c r="Z264" s="26" t="s">
        <v>31</v>
      </c>
      <c r="AA264" s="26">
        <v>2034718</v>
      </c>
      <c r="AB264" s="26">
        <v>-2760</v>
      </c>
      <c r="AC264" s="26" t="s">
        <v>31</v>
      </c>
      <c r="AD264" s="26" t="s">
        <v>31</v>
      </c>
      <c r="AE264" s="26" t="s">
        <v>31</v>
      </c>
      <c r="AF264" s="26" t="s">
        <v>31</v>
      </c>
      <c r="AG264" s="26">
        <v>33538</v>
      </c>
      <c r="AH264" s="26">
        <v>155</v>
      </c>
    </row>
    <row r="265" spans="1:34" x14ac:dyDescent="0.2">
      <c r="A265" s="10">
        <f t="shared" si="16"/>
        <v>2025</v>
      </c>
      <c r="B265" s="10">
        <f t="shared" si="17"/>
        <v>8</v>
      </c>
      <c r="D265" s="10" t="s">
        <v>61</v>
      </c>
      <c r="E265" s="25" t="d">
        <v>2025-08-01</v>
      </c>
      <c r="F265" s="26">
        <v>1409007</v>
      </c>
      <c r="G265" s="26">
        <v>11241</v>
      </c>
      <c r="H265" s="26">
        <v>170316669</v>
      </c>
      <c r="I265" s="26">
        <v>3498289</v>
      </c>
      <c r="J265" s="26">
        <v>741790</v>
      </c>
      <c r="K265" s="26">
        <v>-25269</v>
      </c>
      <c r="L265" s="26">
        <v>24900</v>
      </c>
      <c r="M265" s="26">
        <v>-300</v>
      </c>
      <c r="N265" s="26">
        <v>25200</v>
      </c>
      <c r="O265" s="26">
        <v>100</v>
      </c>
      <c r="P265" s="26">
        <v>246000</v>
      </c>
      <c r="Q265" s="26">
        <v>3000</v>
      </c>
      <c r="R265" s="26">
        <v>138737902</v>
      </c>
      <c r="S265" s="26">
        <v>1981110</v>
      </c>
      <c r="T265" s="26">
        <v>988887</v>
      </c>
      <c r="U265" s="26">
        <v>4778</v>
      </c>
      <c r="V265" s="26">
        <v>12267</v>
      </c>
      <c r="W265" s="26">
        <v>4589</v>
      </c>
      <c r="X265" s="26">
        <v>699</v>
      </c>
      <c r="Y265" s="26" t="s">
        <v>31</v>
      </c>
      <c r="Z265" s="26" t="s">
        <v>31</v>
      </c>
      <c r="AA265" s="26">
        <v>2029734</v>
      </c>
      <c r="AB265" s="26">
        <v>-4984</v>
      </c>
      <c r="AC265" s="26" t="s">
        <v>31</v>
      </c>
      <c r="AD265" s="26" t="s">
        <v>31</v>
      </c>
      <c r="AE265" s="26" t="s">
        <v>31</v>
      </c>
      <c r="AF265" s="26" t="s">
        <v>31</v>
      </c>
      <c r="AG265" s="26">
        <v>33670</v>
      </c>
      <c r="AH265" s="26">
        <v>132</v>
      </c>
    </row>
    <row r="266" spans="1:34" x14ac:dyDescent="0.2">
      <c r="A266" s="10">
        <f t="shared" si="16"/>
        <v>2025</v>
      </c>
      <c r="B266" s="10">
        <f t="shared" si="17"/>
        <v>9</v>
      </c>
      <c r="D266" s="10" t="s">
        <v>61</v>
      </c>
      <c r="E266" s="25" t="d">
        <v>2025-09-01</v>
      </c>
      <c r="F266" s="26">
        <v>1425224</v>
      </c>
      <c r="G266" s="26">
        <v>16217</v>
      </c>
      <c r="H266" s="26">
        <v>173761856</v>
      </c>
      <c r="I266" s="26">
        <v>3415686</v>
      </c>
      <c r="J266" s="26">
        <v>726521</v>
      </c>
      <c r="K266" s="26">
        <v>-15269</v>
      </c>
      <c r="L266" s="26">
        <v>24800</v>
      </c>
      <c r="M266" s="26">
        <v>-100</v>
      </c>
      <c r="N266" s="26">
        <v>25200</v>
      </c>
      <c r="O266" s="26">
        <v>0</v>
      </c>
      <c r="P266" s="26">
        <v>248000</v>
      </c>
      <c r="Q266" s="26">
        <v>2000</v>
      </c>
      <c r="R266" s="26">
        <v>140751189</v>
      </c>
      <c r="S266" s="26">
        <v>2013287</v>
      </c>
      <c r="T266" s="26">
        <v>987907</v>
      </c>
      <c r="U266" s="26">
        <v>-980</v>
      </c>
      <c r="V266" s="26">
        <v>25495</v>
      </c>
      <c r="W266" s="26">
        <v>5287</v>
      </c>
      <c r="X266" s="26">
        <v>698</v>
      </c>
      <c r="Y266" s="26" t="s">
        <v>31</v>
      </c>
      <c r="Z266" s="26" t="s">
        <v>31</v>
      </c>
      <c r="AA266" s="26">
        <v>2026422</v>
      </c>
      <c r="AB266" s="26">
        <v>-3312</v>
      </c>
      <c r="AC266" s="26" t="s">
        <v>31</v>
      </c>
      <c r="AD266" s="26" t="s">
        <v>31</v>
      </c>
      <c r="AE266" s="26" t="s">
        <v>31</v>
      </c>
      <c r="AF266" s="26" t="s">
        <v>31</v>
      </c>
      <c r="AG266" s="26">
        <v>33789</v>
      </c>
      <c r="AH266" s="26">
        <v>119</v>
      </c>
    </row>
    <row r="267" spans="1:34" x14ac:dyDescent="0.2">
      <c r="A267" s="10">
        <f t="shared" si="16"/>
        <v>2025</v>
      </c>
      <c r="B267" s="10">
        <f t="shared" si="17"/>
        <v>10</v>
      </c>
      <c r="D267" s="10" t="s">
        <v>61</v>
      </c>
      <c r="E267" s="25" t="d">
        <v>2025-10-01</v>
      </c>
      <c r="F267" s="26">
        <v>1440170</v>
      </c>
      <c r="G267" s="26">
        <v>14946</v>
      </c>
      <c r="H267" s="26">
        <v>177197003</v>
      </c>
      <c r="I267" s="26">
        <v>3369281</v>
      </c>
      <c r="J267" s="26">
        <v>695345</v>
      </c>
      <c r="K267" s="26">
        <v>-31176</v>
      </c>
      <c r="L267" s="26">
        <v>24700</v>
      </c>
      <c r="M267" s="26">
        <v>-100</v>
      </c>
      <c r="N267" s="26">
        <v>25300</v>
      </c>
      <c r="O267" s="26">
        <v>100</v>
      </c>
      <c r="P267" s="26">
        <v>250000</v>
      </c>
      <c r="Q267" s="26">
        <v>2000</v>
      </c>
      <c r="R267" s="26">
        <v>142673224</v>
      </c>
      <c r="S267" s="26">
        <v>1922035</v>
      </c>
      <c r="T267" s="26">
        <v>993251</v>
      </c>
      <c r="U267" s="26">
        <v>5344</v>
      </c>
      <c r="V267" s="26">
        <v>46365</v>
      </c>
      <c r="W267" s="26">
        <v>5946</v>
      </c>
      <c r="X267" s="26">
        <v>659</v>
      </c>
      <c r="Y267" s="26" t="s">
        <v>31</v>
      </c>
      <c r="Z267" s="26" t="s">
        <v>31</v>
      </c>
      <c r="AA267" s="26">
        <v>2022989</v>
      </c>
      <c r="AB267" s="26">
        <v>-3433</v>
      </c>
      <c r="AC267" s="26" t="s">
        <v>31</v>
      </c>
      <c r="AD267" s="26" t="s">
        <v>31</v>
      </c>
      <c r="AE267" s="26" t="s">
        <v>31</v>
      </c>
      <c r="AF267" s="26" t="s">
        <v>31</v>
      </c>
      <c r="AG267" s="26">
        <v>33880</v>
      </c>
      <c r="AH267" s="26">
        <v>91</v>
      </c>
    </row>
    <row r="268" spans="1:34" x14ac:dyDescent="0.2">
      <c r="A268" s="10">
        <f t="shared" si="16"/>
        <v>2025</v>
      </c>
      <c r="B268" s="10">
        <f t="shared" si="17"/>
        <v>11</v>
      </c>
      <c r="D268" s="10" t="s">
        <v>61</v>
      </c>
      <c r="E268" s="25" t="d">
        <v>2025-11-01</v>
      </c>
      <c r="F268" s="26">
        <v>1459881</v>
      </c>
      <c r="G268" s="26">
        <v>19711</v>
      </c>
      <c r="H268" s="26">
        <v>180693929</v>
      </c>
      <c r="I268" s="26">
        <v>3693002</v>
      </c>
      <c r="J268" s="26">
        <v>633949</v>
      </c>
      <c r="K268" s="26">
        <v>-61396</v>
      </c>
      <c r="L268" s="26">
        <v>24700</v>
      </c>
      <c r="M268" s="26">
        <v>0</v>
      </c>
      <c r="N268" s="26">
        <v>25300</v>
      </c>
      <c r="O268" s="26">
        <v>0</v>
      </c>
      <c r="P268" s="26">
        <v>252000</v>
      </c>
      <c r="Q268" s="26">
        <v>2000</v>
      </c>
      <c r="R268" s="26">
        <v>144663491</v>
      </c>
      <c r="S268" s="26">
        <v>2011813</v>
      </c>
      <c r="T268" s="26">
        <v>993251</v>
      </c>
      <c r="U268" s="26">
        <v>0</v>
      </c>
      <c r="V268" s="26">
        <v>0</v>
      </c>
      <c r="W268" s="26">
        <v>6301</v>
      </c>
      <c r="X268" s="26">
        <v>366</v>
      </c>
      <c r="Y268" s="26" t="s">
        <v>31</v>
      </c>
      <c r="Z268" s="26" t="s">
        <v>31</v>
      </c>
      <c r="AA268" s="26">
        <v>2019078</v>
      </c>
      <c r="AB268" s="26">
        <v>-3911</v>
      </c>
      <c r="AC268" s="26" t="s">
        <v>31</v>
      </c>
      <c r="AD268" s="26" t="s">
        <v>31</v>
      </c>
      <c r="AE268" s="26" t="s">
        <v>31</v>
      </c>
      <c r="AF268" s="26" t="s">
        <v>31</v>
      </c>
      <c r="AG268" s="26">
        <v>33962</v>
      </c>
      <c r="AH268" s="26">
        <v>82</v>
      </c>
    </row>
    <row r="269" spans="1:34" x14ac:dyDescent="0.2">
      <c r="A269" s="10">
        <f t="shared" si="16"/>
        <v>2025</v>
      </c>
      <c r="B269" s="10">
        <f t="shared" si="17"/>
        <v>12</v>
      </c>
      <c r="D269" s="10" t="s">
        <v>61</v>
      </c>
      <c r="E269" s="25" t="d">
        <v>2025-12-01</v>
      </c>
      <c r="F269" s="26">
        <v>1474678</v>
      </c>
      <c r="G269" s="26">
        <v>14797</v>
      </c>
      <c r="H269" s="26">
        <v>186046664</v>
      </c>
      <c r="I269" s="26">
        <v>5324909</v>
      </c>
      <c r="J269" s="26">
        <v>657542</v>
      </c>
      <c r="K269" s="26">
        <v>23593</v>
      </c>
      <c r="L269" s="26">
        <v>24600</v>
      </c>
      <c r="M269" s="26">
        <v>-100</v>
      </c>
      <c r="N269" s="26">
        <v>25300</v>
      </c>
      <c r="O269" s="26">
        <v>0</v>
      </c>
      <c r="P269" s="26">
        <v>253000</v>
      </c>
      <c r="Q269" s="26">
        <v>1000</v>
      </c>
      <c r="R269" s="26">
        <v>146689766</v>
      </c>
      <c r="S269" s="26">
        <v>2026276</v>
      </c>
      <c r="T269" s="26">
        <v>993251</v>
      </c>
      <c r="U269" s="26">
        <v>0</v>
      </c>
      <c r="V269" s="26">
        <v>0</v>
      </c>
      <c r="W269" s="26">
        <v>6678</v>
      </c>
      <c r="X269" s="26">
        <v>377</v>
      </c>
      <c r="Y269" s="26" t="s">
        <v>31</v>
      </c>
      <c r="Z269" s="26" t="s">
        <v>31</v>
      </c>
      <c r="AA269" s="26">
        <v>2015146</v>
      </c>
      <c r="AB269" s="26">
        <v>-3932</v>
      </c>
      <c r="AC269" s="26" t="s">
        <v>31</v>
      </c>
      <c r="AD269" s="26" t="s">
        <v>31</v>
      </c>
      <c r="AE269" s="26" t="s">
        <v>31</v>
      </c>
      <c r="AF269" s="26" t="s">
        <v>31</v>
      </c>
      <c r="AG269" s="26">
        <v>34035</v>
      </c>
      <c r="AH269" s="26">
        <v>73</v>
      </c>
    </row>
    <row r="270" spans="1:34" x14ac:dyDescent="0.2">
      <c r="A270" s="10">
        <f t="shared" si="16"/>
        <v>2026</v>
      </c>
      <c r="B270" s="10">
        <f t="shared" si="17"/>
        <v>1</v>
      </c>
      <c r="D270" s="10" t="s">
        <v>61</v>
      </c>
      <c r="E270" s="25" t="d">
        <v>2026-01-01</v>
      </c>
      <c r="F270" s="26">
        <v>1487217</v>
      </c>
      <c r="G270" s="26">
        <v>12539</v>
      </c>
      <c r="H270" s="26">
        <v>192145312</v>
      </c>
      <c r="I270" s="26">
        <v>4197584</v>
      </c>
      <c r="J270" s="26">
        <v>679926</v>
      </c>
      <c r="K270" s="26">
        <v>22384</v>
      </c>
      <c r="L270" s="26">
        <v>24600</v>
      </c>
      <c r="M270" s="26">
        <v>0</v>
      </c>
      <c r="N270" s="26">
        <v>25300</v>
      </c>
      <c r="O270" s="26">
        <v>0</v>
      </c>
      <c r="P270" s="26">
        <v>255000</v>
      </c>
      <c r="Q270" s="26">
        <v>2000</v>
      </c>
      <c r="R270" s="26">
        <v>148970542</v>
      </c>
      <c r="S270" s="26">
        <v>2280777</v>
      </c>
      <c r="T270" s="26">
        <v>997101</v>
      </c>
      <c r="U270" s="26">
        <v>3850</v>
      </c>
      <c r="V270" s="26">
        <v>0</v>
      </c>
      <c r="W270" s="26">
        <v>7068</v>
      </c>
      <c r="X270" s="26">
        <v>390</v>
      </c>
      <c r="Y270" s="26" t="s">
        <v>31</v>
      </c>
      <c r="Z270" s="26" t="s">
        <v>31</v>
      </c>
      <c r="AA270" s="26">
        <v>2012217</v>
      </c>
      <c r="AB270" s="26">
        <v>-2929</v>
      </c>
      <c r="AC270" s="26" t="s">
        <v>31</v>
      </c>
      <c r="AD270" s="26" t="s">
        <v>31</v>
      </c>
      <c r="AE270" s="26" t="s">
        <v>31</v>
      </c>
      <c r="AF270" s="26" t="s">
        <v>31</v>
      </c>
      <c r="AG270" s="26">
        <v>34116</v>
      </c>
      <c r="AH270" s="26">
        <v>81</v>
      </c>
    </row>
    <row r="271" spans="1:34" x14ac:dyDescent="0.2">
      <c r="A271" s="10">
        <f t="shared" si="16"/>
        <v>2026</v>
      </c>
      <c r="B271" s="10">
        <f t="shared" si="17"/>
        <v>2</v>
      </c>
      <c r="D271" s="10" t="s">
        <v>61</v>
      </c>
      <c r="E271" s="25" t="d">
        <v>2026-02-01</v>
      </c>
      <c r="F271" s="26">
        <v>1492987</v>
      </c>
      <c r="G271" s="26">
        <v>5770</v>
      </c>
      <c r="H271" s="26">
        <v>195262250</v>
      </c>
      <c r="I271" s="26">
        <v>3116938</v>
      </c>
      <c r="J271" s="26">
        <v>539271</v>
      </c>
      <c r="K271" s="26">
        <v>-140655</v>
      </c>
      <c r="L271" s="26">
        <v>24600</v>
      </c>
      <c r="M271" s="26">
        <v>0</v>
      </c>
      <c r="N271" s="26">
        <v>25300</v>
      </c>
      <c r="O271" s="26">
        <v>0</v>
      </c>
      <c r="P271" s="26">
        <v>256000</v>
      </c>
      <c r="Q271" s="26">
        <v>1000</v>
      </c>
      <c r="R271" s="26">
        <v>150445519</v>
      </c>
      <c r="S271" s="26">
        <v>1474977</v>
      </c>
      <c r="T271" s="26">
        <v>997101</v>
      </c>
      <c r="U271" s="26">
        <v>0</v>
      </c>
      <c r="V271" s="26">
        <v>0</v>
      </c>
      <c r="W271" s="26">
        <v>7398</v>
      </c>
      <c r="X271" s="26">
        <v>330</v>
      </c>
      <c r="Y271" s="26" t="s">
        <v>31</v>
      </c>
      <c r="Z271" s="26" t="s">
        <v>31</v>
      </c>
      <c r="AA271" s="26">
        <v>2009713</v>
      </c>
      <c r="AB271" s="26">
        <v>-2504</v>
      </c>
      <c r="AC271" s="26" t="s">
        <v>31</v>
      </c>
      <c r="AD271" s="26" t="s">
        <v>31</v>
      </c>
      <c r="AE271" s="26" t="s">
        <v>31</v>
      </c>
      <c r="AF271" s="26" t="s">
        <v>31</v>
      </c>
      <c r="AG271" s="26">
        <v>34158</v>
      </c>
      <c r="AH271" s="26">
        <v>42</v>
      </c>
    </row>
    <row r="272" spans="1:34" x14ac:dyDescent="0.2">
      <c r="A272" s="10">
        <f t="shared" si="16"/>
        <v>2026</v>
      </c>
      <c r="B272" s="10">
        <f t="shared" si="17"/>
        <v>3</v>
      </c>
      <c r="D272" s="10" t="s">
        <v>61</v>
      </c>
      <c r="E272" s="25" t="d">
        <v>2026-03-01</v>
      </c>
      <c r="F272" s="26">
        <v>1498833</v>
      </c>
      <c r="G272" s="26">
        <v>5846</v>
      </c>
      <c r="H272" s="26">
        <v>197745297</v>
      </c>
      <c r="I272" s="26">
        <v>2564565</v>
      </c>
      <c r="J272" s="26">
        <v>565923</v>
      </c>
      <c r="K272" s="26">
        <v>26652</v>
      </c>
      <c r="L272" s="26">
        <v>24600</v>
      </c>
      <c r="M272" s="26">
        <v>0</v>
      </c>
      <c r="N272" s="26">
        <v>25300</v>
      </c>
      <c r="O272" s="26">
        <v>0</v>
      </c>
      <c r="P272" s="26">
        <v>258000</v>
      </c>
      <c r="Q272" s="26">
        <v>2000</v>
      </c>
      <c r="R272" s="26">
        <v>152168901</v>
      </c>
      <c r="S272" s="26">
        <v>1723384</v>
      </c>
      <c r="T272" s="26">
        <v>997101</v>
      </c>
      <c r="U272" s="26">
        <v>0</v>
      </c>
      <c r="V272" s="26">
        <v>0</v>
      </c>
      <c r="W272" s="26">
        <v>7700</v>
      </c>
      <c r="X272" s="26">
        <v>302</v>
      </c>
      <c r="Y272" s="26" t="s">
        <v>31</v>
      </c>
      <c r="Z272" s="26" t="s">
        <v>31</v>
      </c>
      <c r="AA272" s="26">
        <v>2007229</v>
      </c>
      <c r="AB272" s="26">
        <v>-2484</v>
      </c>
      <c r="AC272" s="26" t="s">
        <v>31</v>
      </c>
      <c r="AD272" s="26" t="s">
        <v>31</v>
      </c>
      <c r="AE272" s="26" t="s">
        <v>31</v>
      </c>
      <c r="AF272" s="26" t="s">
        <v>31</v>
      </c>
      <c r="AG272" s="26">
        <v>34209</v>
      </c>
      <c r="AH272" s="26">
        <v>51</v>
      </c>
    </row>
    <row r="273" spans="1:34" x14ac:dyDescent="0.2">
      <c r="A273" s="10">
        <f t="shared" si="16"/>
        <v>2026</v>
      </c>
      <c r="B273" s="10">
        <f t="shared" si="17"/>
        <v>4</v>
      </c>
      <c r="D273" s="10" t="s">
        <v>61</v>
      </c>
      <c r="E273" s="25" t="d">
        <v>2026-04-01</v>
      </c>
      <c r="F273" s="26">
        <v>1506372</v>
      </c>
      <c r="G273" s="26">
        <v>7539</v>
      </c>
      <c r="H273" s="26">
        <v>200702670</v>
      </c>
      <c r="I273" s="26">
        <v>2952945</v>
      </c>
      <c r="J273" s="26">
        <v>601535</v>
      </c>
      <c r="K273" s="26">
        <v>35612</v>
      </c>
      <c r="L273" s="26">
        <v>24383</v>
      </c>
      <c r="M273" s="26">
        <v>-20</v>
      </c>
      <c r="N273" s="26">
        <v>25397</v>
      </c>
      <c r="O273" s="26">
        <v>5</v>
      </c>
      <c r="P273" s="26">
        <v>259000</v>
      </c>
      <c r="Q273" s="26">
        <v>1000</v>
      </c>
      <c r="R273" s="26">
        <v>154082997</v>
      </c>
      <c r="S273" s="26">
        <v>1914100</v>
      </c>
      <c r="T273" s="26">
        <v>1018649</v>
      </c>
      <c r="U273" s="26">
        <v>21548</v>
      </c>
      <c r="V273" s="26">
        <v>14985</v>
      </c>
      <c r="W273" s="26">
        <v>7977</v>
      </c>
      <c r="X273" s="26">
        <v>277</v>
      </c>
      <c r="Y273" s="26">
        <v>16560932</v>
      </c>
      <c r="Z273" s="26">
        <v>90990</v>
      </c>
      <c r="AA273" s="26">
        <v>2006889</v>
      </c>
      <c r="AB273" s="26">
        <v>-340</v>
      </c>
      <c r="AC273" s="26" t="s">
        <v>31</v>
      </c>
      <c r="AD273" s="26" t="s">
        <v>31</v>
      </c>
      <c r="AE273" s="26" t="s">
        <v>31</v>
      </c>
      <c r="AF273" s="26" t="s">
        <v>31</v>
      </c>
      <c r="AG273" s="26">
        <v>34293</v>
      </c>
      <c r="AH273" s="26">
        <v>84</v>
      </c>
    </row>
    <row r="274" spans="1:34" x14ac:dyDescent="0.2">
      <c r="A274" s="10">
        <f t="shared" si="16"/>
        <v>2026</v>
      </c>
      <c r="B274" s="10">
        <f t="shared" si="17"/>
        <v>5</v>
      </c>
      <c r="D274" s="10" t="s">
        <v>61</v>
      </c>
      <c r="E274" s="25" t="d">
        <v>2026-05-01</v>
      </c>
      <c r="F274" s="26">
        <v>1513168</v>
      </c>
      <c r="G274" s="26">
        <v>6796</v>
      </c>
      <c r="H274" s="26">
        <v>203642243</v>
      </c>
      <c r="I274" s="26">
        <v>2924765</v>
      </c>
      <c r="J274" s="26">
        <v>609846</v>
      </c>
      <c r="K274" s="26">
        <v>8311</v>
      </c>
      <c r="L274" s="26">
        <v>24329</v>
      </c>
      <c r="M274" s="26">
        <v>-54</v>
      </c>
      <c r="N274" s="26">
        <v>25432</v>
      </c>
      <c r="O274" s="26">
        <v>35</v>
      </c>
      <c r="P274" s="26">
        <v>261000</v>
      </c>
      <c r="Q274" s="26">
        <v>2000</v>
      </c>
      <c r="R274" s="26">
        <v>155989011</v>
      </c>
      <c r="S274" s="26">
        <v>1906051</v>
      </c>
      <c r="T274" s="26">
        <v>1027522</v>
      </c>
      <c r="U274" s="26">
        <v>8873</v>
      </c>
      <c r="V274" s="26">
        <v>23399</v>
      </c>
      <c r="W274" s="26">
        <v>8252</v>
      </c>
      <c r="X274" s="26">
        <v>275</v>
      </c>
      <c r="Y274" s="26">
        <v>16564911</v>
      </c>
      <c r="Z274" s="26">
        <v>3979</v>
      </c>
      <c r="AA274" s="26">
        <v>2004372</v>
      </c>
      <c r="AB274" s="26">
        <v>-2517</v>
      </c>
      <c r="AC274" s="26" t="s">
        <v>31</v>
      </c>
      <c r="AD274" s="26" t="s">
        <v>31</v>
      </c>
      <c r="AE274" s="26" t="s">
        <v>31</v>
      </c>
      <c r="AF274" s="26" t="s">
        <v>31</v>
      </c>
      <c r="AG274" s="26">
        <v>34360</v>
      </c>
      <c r="AH274" s="26">
        <v>67</v>
      </c>
    </row>
    <row r="275" spans="1:34" x14ac:dyDescent="0.2">
      <c r="A275" s="10">
        <f t="shared" si="16"/>
        <v>2026</v>
      </c>
      <c r="B275" s="10">
        <f t="shared" si="17"/>
        <v>6</v>
      </c>
      <c r="D275" s="10" t="s">
        <v>61</v>
      </c>
      <c r="E275" s="25" t="d">
        <v>2026-06-01</v>
      </c>
      <c r="F275" s="26">
        <v>1524474</v>
      </c>
      <c r="G275" s="26">
        <v>11306</v>
      </c>
      <c r="H275" s="26">
        <v>206580651</v>
      </c>
      <c r="I275" s="26">
        <v>2938408</v>
      </c>
      <c r="J275" s="26">
        <v>584584</v>
      </c>
      <c r="K275" s="26">
        <v>-25262</v>
      </c>
      <c r="L275" s="26">
        <v>24274</v>
      </c>
      <c r="M275" s="26">
        <v>-55</v>
      </c>
      <c r="N275" s="26">
        <v>25466</v>
      </c>
      <c r="O275" s="26">
        <v>34</v>
      </c>
      <c r="P275" s="26">
        <v>263000</v>
      </c>
      <c r="Q275" s="26">
        <v>2000</v>
      </c>
      <c r="R275" s="26">
        <v>158209393</v>
      </c>
      <c r="S275" s="26">
        <v>2220382</v>
      </c>
      <c r="T275" s="26">
        <v>1023526</v>
      </c>
      <c r="U275" s="26">
        <v>-3996</v>
      </c>
      <c r="V275" s="26">
        <v>62819</v>
      </c>
      <c r="W275" s="26">
        <v>8561</v>
      </c>
      <c r="X275" s="26">
        <v>309</v>
      </c>
      <c r="Y275" s="26">
        <v>16872686</v>
      </c>
      <c r="Z275" s="26">
        <v>307775</v>
      </c>
      <c r="AA275" s="26">
        <v>2002763</v>
      </c>
      <c r="AB275" s="26">
        <v>-1609</v>
      </c>
      <c r="AC275" s="26" t="s">
        <v>31</v>
      </c>
      <c r="AD275" s="26" t="s">
        <v>31</v>
      </c>
      <c r="AE275" s="26" t="s">
        <v>31</v>
      </c>
      <c r="AF275" s="26" t="s">
        <v>31</v>
      </c>
      <c r="AG275" s="26">
        <v>34431</v>
      </c>
      <c r="AH275" s="26">
        <v>71</v>
      </c>
    </row>
    <row r="276" spans="1:34" x14ac:dyDescent="0.2">
      <c r="A276" s="10">
        <f t="shared" si="16"/>
        <v>2026</v>
      </c>
      <c r="B276" s="10">
        <f t="shared" si="17"/>
        <v>7</v>
      </c>
      <c r="D276" s="10" t="s">
        <v>61</v>
      </c>
      <c r="E276" s="25" t="d">
        <v>2026-07-01</v>
      </c>
      <c r="F276" s="26">
        <v>1534731</v>
      </c>
      <c r="G276" s="26">
        <v>10257</v>
      </c>
      <c r="H276" s="26">
        <v>209221098</v>
      </c>
      <c r="I276" s="26">
        <v>2640447</v>
      </c>
      <c r="J276" s="26">
        <v>565021</v>
      </c>
      <c r="K276" s="26">
        <v>-19563</v>
      </c>
      <c r="L276" s="26">
        <v>24209</v>
      </c>
      <c r="M276" s="26">
        <v>-65</v>
      </c>
      <c r="N276" s="26">
        <v>25505</v>
      </c>
      <c r="O276" s="26">
        <v>39</v>
      </c>
      <c r="P276" s="26">
        <v>264000</v>
      </c>
      <c r="Q276" s="26">
        <v>1000</v>
      </c>
      <c r="R276" s="26">
        <v>160163636</v>
      </c>
      <c r="S276" s="26">
        <v>1954243</v>
      </c>
      <c r="T276" s="26">
        <v>1024514</v>
      </c>
      <c r="U276" s="26">
        <v>988</v>
      </c>
      <c r="V276" s="26">
        <v>56473</v>
      </c>
      <c r="W276" s="26">
        <v>8863</v>
      </c>
      <c r="X276" s="26">
        <v>302</v>
      </c>
      <c r="Y276" s="26">
        <v>16994662</v>
      </c>
      <c r="Z276" s="26">
        <v>121976</v>
      </c>
      <c r="AA276" s="26">
        <v>2018787</v>
      </c>
      <c r="AB276" s="26">
        <v>16024</v>
      </c>
      <c r="AC276" s="26" t="s">
        <v>31</v>
      </c>
      <c r="AD276" s="26" t="s">
        <v>31</v>
      </c>
      <c r="AE276" s="26" t="s">
        <v>31</v>
      </c>
      <c r="AF276" s="26" t="s">
        <v>31</v>
      </c>
      <c r="AG276" s="26">
        <v>34503</v>
      </c>
      <c r="AH276" s="26">
        <v>72</v>
      </c>
    </row>
    <row r="277" spans="1:34" x14ac:dyDescent="0.2">
      <c r="A277" s="10">
        <f t="shared" ref="A277:A301" si="18">YEAR(E277)</f>
        <v>2024</v>
      </c>
      <c r="B277" s="10">
        <f t="shared" ref="B277:B301" si="19">MONTH(E277)</f>
        <v>7</v>
      </c>
      <c r="D277" s="10" t="s">
        <v>540</v>
      </c>
      <c r="E277" s="25" t="d">
        <v>2024-07-01</v>
      </c>
      <c r="F277" s="26">
        <v>32496</v>
      </c>
      <c r="G277" s="26">
        <v>7652</v>
      </c>
      <c r="H277" s="26">
        <v>10158248</v>
      </c>
      <c r="I277" s="26">
        <v>2261805</v>
      </c>
      <c r="J277" s="26">
        <v>821376</v>
      </c>
      <c r="K277" s="26">
        <v>386575</v>
      </c>
      <c r="L277" s="26">
        <v>1300000</v>
      </c>
      <c r="M277" s="26">
        <v>100000</v>
      </c>
      <c r="N277" s="26">
        <v>14200000</v>
      </c>
      <c r="O277" s="26">
        <v>1200000</v>
      </c>
      <c r="P277" s="26">
        <v>57400</v>
      </c>
      <c r="Q277" s="26">
        <v>4500</v>
      </c>
      <c r="R277" s="26">
        <v>10085124</v>
      </c>
      <c r="S277" s="26">
        <v>715846</v>
      </c>
      <c r="T277" s="26">
        <v>168144</v>
      </c>
      <c r="U277" s="26">
        <v>6551</v>
      </c>
      <c r="V277" s="26">
        <v>4219</v>
      </c>
      <c r="W277" s="26">
        <v>23</v>
      </c>
      <c r="X277" s="26">
        <v>7</v>
      </c>
      <c r="Y277" s="26" t="s">
        <v>31</v>
      </c>
      <c r="Z277" s="26" t="s">
        <v>31</v>
      </c>
      <c r="AA277" s="26">
        <v>347589</v>
      </c>
      <c r="AB277" s="26">
        <v>4970</v>
      </c>
      <c r="AC277" s="26">
        <v>491</v>
      </c>
      <c r="AD277" s="26">
        <v>0</v>
      </c>
      <c r="AE277" s="26" t="s">
        <v>31</v>
      </c>
      <c r="AF277" s="26" t="s">
        <v>31</v>
      </c>
      <c r="AG277" s="26">
        <v>344</v>
      </c>
      <c r="AH277" s="26">
        <v>20</v>
      </c>
    </row>
    <row r="278" spans="1:34" x14ac:dyDescent="0.2">
      <c r="A278" s="10">
        <f t="shared" si="18"/>
        <v>2024</v>
      </c>
      <c r="B278" s="10">
        <f t="shared" si="19"/>
        <v>8</v>
      </c>
      <c r="D278" s="10" t="s">
        <v>540</v>
      </c>
      <c r="E278" s="25" t="d">
        <v>2024-08-01</v>
      </c>
      <c r="F278" s="26">
        <v>40406</v>
      </c>
      <c r="G278" s="26">
        <v>7910</v>
      </c>
      <c r="H278" s="26">
        <v>12651114</v>
      </c>
      <c r="I278" s="26">
        <v>2492866</v>
      </c>
      <c r="J278" s="26">
        <v>796660</v>
      </c>
      <c r="K278" s="26">
        <v>-24716</v>
      </c>
      <c r="L278" s="26">
        <v>1400000</v>
      </c>
      <c r="M278" s="26">
        <v>100000</v>
      </c>
      <c r="N278" s="26">
        <v>16100000</v>
      </c>
      <c r="O278" s="26">
        <v>1900000</v>
      </c>
      <c r="P278" s="26">
        <v>79900</v>
      </c>
      <c r="Q278" s="26">
        <v>22500</v>
      </c>
      <c r="R278" s="26">
        <v>13582192</v>
      </c>
      <c r="S278" s="26">
        <v>1749021</v>
      </c>
      <c r="T278" s="26">
        <v>171014</v>
      </c>
      <c r="U278" s="26">
        <v>2870</v>
      </c>
      <c r="V278" s="26">
        <v>18804</v>
      </c>
      <c r="W278" s="26">
        <v>27</v>
      </c>
      <c r="X278" s="26">
        <v>4</v>
      </c>
      <c r="Y278" s="26" t="s">
        <v>31</v>
      </c>
      <c r="Z278" s="26" t="s">
        <v>31</v>
      </c>
      <c r="AA278" s="26">
        <v>350659</v>
      </c>
      <c r="AB278" s="26">
        <v>3070</v>
      </c>
      <c r="AC278" s="26">
        <v>491</v>
      </c>
      <c r="AD278" s="26">
        <v>0</v>
      </c>
      <c r="AE278" s="26" t="s">
        <v>31</v>
      </c>
      <c r="AF278" s="26" t="s">
        <v>31</v>
      </c>
      <c r="AG278" s="26">
        <v>380</v>
      </c>
      <c r="AH278" s="26">
        <v>36</v>
      </c>
    </row>
    <row r="279" spans="1:34" x14ac:dyDescent="0.2">
      <c r="A279" s="10">
        <f t="shared" si="18"/>
        <v>2024</v>
      </c>
      <c r="B279" s="10">
        <f t="shared" si="19"/>
        <v>9</v>
      </c>
      <c r="D279" s="10" t="s">
        <v>540</v>
      </c>
      <c r="E279" s="25" t="d">
        <v>2024-09-01</v>
      </c>
      <c r="F279" s="26">
        <v>53630</v>
      </c>
      <c r="G279" s="26">
        <v>13224</v>
      </c>
      <c r="H279" s="26">
        <v>15332121</v>
      </c>
      <c r="I279" s="26">
        <v>2679352</v>
      </c>
      <c r="J279" s="26">
        <v>853541</v>
      </c>
      <c r="K279" s="26">
        <v>56881</v>
      </c>
      <c r="L279" s="26">
        <v>1450000</v>
      </c>
      <c r="M279" s="26">
        <v>50000</v>
      </c>
      <c r="N279" s="26">
        <v>17600000</v>
      </c>
      <c r="O279" s="26">
        <v>1500000</v>
      </c>
      <c r="P279" s="26">
        <v>92000</v>
      </c>
      <c r="Q279" s="26">
        <v>12100</v>
      </c>
      <c r="R279" s="26">
        <v>16822638</v>
      </c>
      <c r="S279" s="26">
        <v>3005084</v>
      </c>
      <c r="T279" s="26">
        <v>173628</v>
      </c>
      <c r="U279" s="26">
        <v>2614</v>
      </c>
      <c r="V279" s="26">
        <v>31196</v>
      </c>
      <c r="W279" s="26">
        <v>56</v>
      </c>
      <c r="X279" s="26">
        <v>29</v>
      </c>
      <c r="Y279" s="26" t="s">
        <v>31</v>
      </c>
      <c r="Z279" s="26" t="s">
        <v>31</v>
      </c>
      <c r="AA279" s="26">
        <v>355151</v>
      </c>
      <c r="AB279" s="26">
        <v>4492</v>
      </c>
      <c r="AC279" s="26">
        <v>491</v>
      </c>
      <c r="AD279" s="26">
        <v>0</v>
      </c>
      <c r="AE279" s="26" t="s">
        <v>31</v>
      </c>
      <c r="AF279" s="26" t="s">
        <v>31</v>
      </c>
      <c r="AG279" s="26">
        <v>415</v>
      </c>
      <c r="AH279" s="26">
        <v>35</v>
      </c>
    </row>
    <row r="280" spans="1:34" x14ac:dyDescent="0.2">
      <c r="A280" s="10">
        <f t="shared" si="18"/>
        <v>2024</v>
      </c>
      <c r="B280" s="10">
        <f t="shared" si="19"/>
        <v>10</v>
      </c>
      <c r="D280" s="10" t="s">
        <v>540</v>
      </c>
      <c r="E280" s="25" t="d">
        <v>2024-10-01</v>
      </c>
      <c r="F280" s="26">
        <v>74151</v>
      </c>
      <c r="G280" s="26">
        <v>20521</v>
      </c>
      <c r="H280" s="26">
        <v>17783988</v>
      </c>
      <c r="I280" s="26">
        <v>2451867</v>
      </c>
      <c r="J280" s="26">
        <v>800839</v>
      </c>
      <c r="K280" s="26">
        <v>-52702</v>
      </c>
      <c r="L280" s="26">
        <v>1500000</v>
      </c>
      <c r="M280" s="26">
        <v>50000</v>
      </c>
      <c r="N280" s="26">
        <v>17700000</v>
      </c>
      <c r="O280" s="26">
        <v>100000</v>
      </c>
      <c r="P280" s="26">
        <v>105000</v>
      </c>
      <c r="Q280" s="26">
        <v>13000</v>
      </c>
      <c r="R280" s="26">
        <v>20862839</v>
      </c>
      <c r="S280" s="26">
        <v>3458561</v>
      </c>
      <c r="T280" s="26">
        <v>179314</v>
      </c>
      <c r="U280" s="26">
        <v>5686</v>
      </c>
      <c r="V280" s="26">
        <v>14828</v>
      </c>
      <c r="W280" s="26">
        <v>89</v>
      </c>
      <c r="X280" s="26">
        <v>33</v>
      </c>
      <c r="Y280" s="26" t="s">
        <v>31</v>
      </c>
      <c r="Z280" s="26" t="s">
        <v>31</v>
      </c>
      <c r="AA280" s="26">
        <v>356014</v>
      </c>
      <c r="AB280" s="26">
        <v>863</v>
      </c>
      <c r="AC280" s="26">
        <v>491</v>
      </c>
      <c r="AD280" s="26">
        <v>0</v>
      </c>
      <c r="AE280" s="26" t="s">
        <v>31</v>
      </c>
      <c r="AF280" s="26" t="s">
        <v>31</v>
      </c>
      <c r="AG280" s="26">
        <v>456</v>
      </c>
      <c r="AH280" s="26">
        <v>41</v>
      </c>
    </row>
    <row r="281" spans="1:34" x14ac:dyDescent="0.2">
      <c r="A281" s="10">
        <f t="shared" si="18"/>
        <v>2024</v>
      </c>
      <c r="B281" s="10">
        <f t="shared" si="19"/>
        <v>11</v>
      </c>
      <c r="D281" s="10" t="s">
        <v>540</v>
      </c>
      <c r="E281" s="25" t="d">
        <v>2024-11-01</v>
      </c>
      <c r="F281" s="26">
        <v>87054</v>
      </c>
      <c r="G281" s="26">
        <v>12903</v>
      </c>
      <c r="H281" s="26">
        <v>19970800</v>
      </c>
      <c r="I281" s="26">
        <v>2186812</v>
      </c>
      <c r="J281" s="26">
        <v>742995</v>
      </c>
      <c r="K281" s="26">
        <v>-57844</v>
      </c>
      <c r="L281" s="26">
        <v>1510000</v>
      </c>
      <c r="M281" s="26">
        <v>10000</v>
      </c>
      <c r="N281" s="26">
        <v>17700000</v>
      </c>
      <c r="O281" s="26">
        <v>0</v>
      </c>
      <c r="P281" s="26">
        <v>113000</v>
      </c>
      <c r="Q281" s="26">
        <v>8000</v>
      </c>
      <c r="R281" s="26">
        <v>23539885</v>
      </c>
      <c r="S281" s="26">
        <v>2658149</v>
      </c>
      <c r="T281" s="26">
        <v>180538</v>
      </c>
      <c r="U281" s="26">
        <v>1224</v>
      </c>
      <c r="V281" s="26">
        <v>2626</v>
      </c>
      <c r="W281" s="26">
        <v>89</v>
      </c>
      <c r="X281" s="26">
        <v>0</v>
      </c>
      <c r="Y281" s="26" t="s">
        <v>31</v>
      </c>
      <c r="Z281" s="26" t="s">
        <v>31</v>
      </c>
      <c r="AA281" s="26">
        <v>355243</v>
      </c>
      <c r="AB281" s="26">
        <v>-771</v>
      </c>
      <c r="AC281" s="26">
        <v>491</v>
      </c>
      <c r="AD281" s="26">
        <v>0</v>
      </c>
      <c r="AE281" s="26" t="s">
        <v>31</v>
      </c>
      <c r="AF281" s="26" t="s">
        <v>31</v>
      </c>
      <c r="AG281" s="26">
        <v>501</v>
      </c>
      <c r="AH281" s="26">
        <v>45</v>
      </c>
    </row>
    <row r="282" spans="1:34" x14ac:dyDescent="0.2">
      <c r="A282" s="10">
        <f t="shared" si="18"/>
        <v>2024</v>
      </c>
      <c r="B282" s="10">
        <f t="shared" si="19"/>
        <v>12</v>
      </c>
      <c r="D282" s="10" t="s">
        <v>540</v>
      </c>
      <c r="E282" s="25" t="d">
        <v>2024-12-01</v>
      </c>
      <c r="F282" s="26">
        <v>101096</v>
      </c>
      <c r="G282" s="26">
        <v>14042</v>
      </c>
      <c r="H282" s="26">
        <v>22067467</v>
      </c>
      <c r="I282" s="26">
        <v>2054599</v>
      </c>
      <c r="J282" s="26">
        <v>760567</v>
      </c>
      <c r="K282" s="26">
        <v>17572</v>
      </c>
      <c r="L282" s="26">
        <v>1500000</v>
      </c>
      <c r="M282" s="26">
        <v>-10000</v>
      </c>
      <c r="N282" s="26">
        <v>19700000</v>
      </c>
      <c r="O282" s="26">
        <v>2000000</v>
      </c>
      <c r="P282" s="26">
        <v>122000</v>
      </c>
      <c r="Q282" s="26">
        <v>9000</v>
      </c>
      <c r="R282" s="26">
        <v>25929379</v>
      </c>
      <c r="S282" s="26">
        <v>2261305</v>
      </c>
      <c r="T282" s="26">
        <v>182529</v>
      </c>
      <c r="U282" s="26">
        <v>1991</v>
      </c>
      <c r="V282" s="26">
        <v>32070</v>
      </c>
      <c r="W282" s="26">
        <v>90</v>
      </c>
      <c r="X282" s="26">
        <v>1</v>
      </c>
      <c r="Y282" s="26" t="s">
        <v>31</v>
      </c>
      <c r="Z282" s="26" t="s">
        <v>31</v>
      </c>
      <c r="AA282" s="26">
        <v>368174</v>
      </c>
      <c r="AB282" s="26">
        <v>12931</v>
      </c>
      <c r="AC282" s="26">
        <v>491</v>
      </c>
      <c r="AD282" s="26">
        <v>0</v>
      </c>
      <c r="AE282" s="26" t="s">
        <v>31</v>
      </c>
      <c r="AF282" s="26" t="s">
        <v>31</v>
      </c>
      <c r="AG282" s="26">
        <v>523</v>
      </c>
      <c r="AH282" s="26">
        <v>22</v>
      </c>
    </row>
    <row r="283" spans="1:34" x14ac:dyDescent="0.2">
      <c r="A283" s="10">
        <f t="shared" si="18"/>
        <v>2025</v>
      </c>
      <c r="B283" s="10">
        <f t="shared" si="19"/>
        <v>1</v>
      </c>
      <c r="D283" s="10" t="s">
        <v>540</v>
      </c>
      <c r="E283" s="25" t="d">
        <v>2025-01-01</v>
      </c>
      <c r="F283" s="26">
        <v>119686</v>
      </c>
      <c r="G283" s="26">
        <v>18590</v>
      </c>
      <c r="H283" s="26">
        <v>24680937</v>
      </c>
      <c r="I283" s="26">
        <v>2611049</v>
      </c>
      <c r="J283" s="26">
        <v>922711</v>
      </c>
      <c r="K283" s="26">
        <v>162144</v>
      </c>
      <c r="L283" s="26">
        <v>1500000</v>
      </c>
      <c r="M283" s="26">
        <v>0</v>
      </c>
      <c r="N283" s="26">
        <v>20300000</v>
      </c>
      <c r="O283" s="26">
        <v>600000</v>
      </c>
      <c r="P283" s="26">
        <v>134000</v>
      </c>
      <c r="Q283" s="26">
        <v>12000</v>
      </c>
      <c r="R283" s="26">
        <v>29259913</v>
      </c>
      <c r="S283" s="26">
        <v>3204643</v>
      </c>
      <c r="T283" s="26">
        <v>184316</v>
      </c>
      <c r="U283" s="26">
        <v>1787</v>
      </c>
      <c r="V283" s="26">
        <v>12515</v>
      </c>
      <c r="W283" s="26">
        <v>91</v>
      </c>
      <c r="X283" s="26">
        <v>1</v>
      </c>
      <c r="Y283" s="26" t="s">
        <v>31</v>
      </c>
      <c r="Z283" s="26" t="s">
        <v>31</v>
      </c>
      <c r="AA283" s="26">
        <v>382434</v>
      </c>
      <c r="AB283" s="26">
        <v>14260</v>
      </c>
      <c r="AC283" s="26">
        <v>491</v>
      </c>
      <c r="AD283" s="26">
        <v>0</v>
      </c>
      <c r="AE283" s="26" t="s">
        <v>31</v>
      </c>
      <c r="AF283" s="26" t="s">
        <v>31</v>
      </c>
      <c r="AG283" s="26">
        <v>577</v>
      </c>
      <c r="AH283" s="26">
        <v>54</v>
      </c>
    </row>
    <row r="284" spans="1:34" x14ac:dyDescent="0.2">
      <c r="A284" s="10">
        <f t="shared" si="18"/>
        <v>2025</v>
      </c>
      <c r="B284" s="10">
        <f t="shared" si="19"/>
        <v>2</v>
      </c>
      <c r="D284" s="10" t="s">
        <v>540</v>
      </c>
      <c r="E284" s="25" t="d">
        <v>2025-02-01</v>
      </c>
      <c r="F284" s="26">
        <v>135233</v>
      </c>
      <c r="G284" s="26">
        <v>15547</v>
      </c>
      <c r="H284" s="26">
        <v>26999542</v>
      </c>
      <c r="I284" s="26">
        <v>2318605</v>
      </c>
      <c r="J284" s="26">
        <v>762122</v>
      </c>
      <c r="K284" s="26">
        <v>-160589</v>
      </c>
      <c r="L284" s="26">
        <v>1560000</v>
      </c>
      <c r="M284" s="26">
        <v>60000</v>
      </c>
      <c r="N284" s="26">
        <v>21320000</v>
      </c>
      <c r="O284" s="26">
        <v>1020000</v>
      </c>
      <c r="P284" s="26">
        <v>142000</v>
      </c>
      <c r="Q284" s="26">
        <v>8000</v>
      </c>
      <c r="R284" s="26">
        <v>31643095</v>
      </c>
      <c r="S284" s="26">
        <v>2328490</v>
      </c>
      <c r="T284" s="26">
        <v>184464</v>
      </c>
      <c r="U284" s="26">
        <v>148</v>
      </c>
      <c r="V284" s="26">
        <v>4623</v>
      </c>
      <c r="W284" s="26">
        <v>91</v>
      </c>
      <c r="X284" s="26">
        <v>0</v>
      </c>
      <c r="Y284" s="26" t="s">
        <v>31</v>
      </c>
      <c r="Z284" s="26" t="s">
        <v>31</v>
      </c>
      <c r="AA284" s="26">
        <v>387689</v>
      </c>
      <c r="AB284" s="26">
        <v>5255</v>
      </c>
      <c r="AC284" s="26">
        <v>491</v>
      </c>
      <c r="AD284" s="26">
        <v>0</v>
      </c>
      <c r="AE284" s="26" t="s">
        <v>31</v>
      </c>
      <c r="AF284" s="26" t="s">
        <v>31</v>
      </c>
      <c r="AG284" s="26">
        <v>621</v>
      </c>
      <c r="AH284" s="26">
        <v>44</v>
      </c>
    </row>
    <row r="285" spans="1:34" x14ac:dyDescent="0.2">
      <c r="A285" s="10">
        <f t="shared" si="18"/>
        <v>2025</v>
      </c>
      <c r="B285" s="10">
        <f t="shared" si="19"/>
        <v>3</v>
      </c>
      <c r="D285" s="10" t="s">
        <v>540</v>
      </c>
      <c r="E285" s="25" t="d">
        <v>2025-03-01</v>
      </c>
      <c r="F285" s="26">
        <v>147260</v>
      </c>
      <c r="G285" s="26">
        <v>12027</v>
      </c>
      <c r="H285" s="26">
        <v>28883569</v>
      </c>
      <c r="I285" s="26">
        <v>1878661</v>
      </c>
      <c r="J285" s="26">
        <v>729903</v>
      </c>
      <c r="K285" s="26">
        <v>-32219</v>
      </c>
      <c r="L285" s="26">
        <v>1560000</v>
      </c>
      <c r="M285" s="26">
        <v>0</v>
      </c>
      <c r="N285" s="26">
        <v>21320000</v>
      </c>
      <c r="O285" s="26">
        <v>0</v>
      </c>
      <c r="P285" s="26">
        <v>149000</v>
      </c>
      <c r="Q285" s="26">
        <v>7000</v>
      </c>
      <c r="R285" s="26">
        <v>33780980</v>
      </c>
      <c r="S285" s="26">
        <v>1909243</v>
      </c>
      <c r="T285" s="26">
        <v>184666</v>
      </c>
      <c r="U285" s="26">
        <v>202</v>
      </c>
      <c r="V285" s="26">
        <v>8086</v>
      </c>
      <c r="W285" s="26">
        <v>95</v>
      </c>
      <c r="X285" s="26">
        <v>4</v>
      </c>
      <c r="Y285" s="26" t="s">
        <v>31</v>
      </c>
      <c r="Z285" s="26" t="s">
        <v>31</v>
      </c>
      <c r="AA285" s="26">
        <v>388539</v>
      </c>
      <c r="AB285" s="26">
        <v>850</v>
      </c>
      <c r="AC285" s="26">
        <v>491</v>
      </c>
      <c r="AD285" s="26">
        <v>0</v>
      </c>
      <c r="AE285" s="26" t="s">
        <v>31</v>
      </c>
      <c r="AF285" s="26" t="s">
        <v>31</v>
      </c>
      <c r="AG285" s="26">
        <v>656</v>
      </c>
      <c r="AH285" s="26">
        <v>35</v>
      </c>
    </row>
    <row r="286" spans="1:34" x14ac:dyDescent="0.2">
      <c r="A286" s="10">
        <f t="shared" si="18"/>
        <v>2025</v>
      </c>
      <c r="B286" s="10">
        <f t="shared" si="19"/>
        <v>4</v>
      </c>
      <c r="D286" s="10" t="s">
        <v>540</v>
      </c>
      <c r="E286" s="25" t="d">
        <v>2025-04-01</v>
      </c>
      <c r="F286" s="26">
        <v>160282</v>
      </c>
      <c r="G286" s="26">
        <v>13022</v>
      </c>
      <c r="H286" s="26">
        <v>30956783</v>
      </c>
      <c r="I286" s="26">
        <v>2070665</v>
      </c>
      <c r="J286" s="26">
        <v>760341</v>
      </c>
      <c r="K286" s="26">
        <v>30438</v>
      </c>
      <c r="L286" s="26">
        <v>1560000</v>
      </c>
      <c r="M286" s="26">
        <v>0</v>
      </c>
      <c r="N286" s="26">
        <v>21320000</v>
      </c>
      <c r="O286" s="26">
        <v>0</v>
      </c>
      <c r="P286" s="26">
        <v>155000</v>
      </c>
      <c r="Q286" s="26">
        <v>6000</v>
      </c>
      <c r="R286" s="26">
        <v>35695827</v>
      </c>
      <c r="S286" s="26">
        <v>1732177</v>
      </c>
      <c r="T286" s="26">
        <v>184858</v>
      </c>
      <c r="U286" s="26">
        <v>192</v>
      </c>
      <c r="V286" s="26">
        <v>6765</v>
      </c>
      <c r="W286" s="26">
        <v>96</v>
      </c>
      <c r="X286" s="26">
        <v>1</v>
      </c>
      <c r="Y286" s="26" t="s">
        <v>31</v>
      </c>
      <c r="Z286" s="26" t="s">
        <v>31</v>
      </c>
      <c r="AA286" s="26">
        <v>392544</v>
      </c>
      <c r="AB286" s="26">
        <v>4005</v>
      </c>
      <c r="AC286" s="26">
        <v>491</v>
      </c>
      <c r="AD286" s="26">
        <v>0</v>
      </c>
      <c r="AE286" s="26" t="s">
        <v>31</v>
      </c>
      <c r="AF286" s="26" t="s">
        <v>31</v>
      </c>
      <c r="AG286" s="26">
        <v>706</v>
      </c>
      <c r="AH286" s="26">
        <v>50</v>
      </c>
    </row>
    <row r="287" spans="1:34" x14ac:dyDescent="0.2">
      <c r="A287" s="10">
        <f t="shared" si="18"/>
        <v>2025</v>
      </c>
      <c r="B287" s="10">
        <f t="shared" si="19"/>
        <v>5</v>
      </c>
      <c r="D287" s="10" t="s">
        <v>540</v>
      </c>
      <c r="E287" s="25" t="d">
        <v>2025-05-01</v>
      </c>
      <c r="F287" s="26">
        <v>171908</v>
      </c>
      <c r="G287" s="26">
        <v>11626</v>
      </c>
      <c r="H287" s="26">
        <v>32599004</v>
      </c>
      <c r="I287" s="26">
        <v>1642221</v>
      </c>
      <c r="J287" s="26">
        <v>665369</v>
      </c>
      <c r="K287" s="26">
        <v>-94972</v>
      </c>
      <c r="L287" s="26">
        <v>1560000</v>
      </c>
      <c r="M287" s="26">
        <v>0</v>
      </c>
      <c r="N287" s="26">
        <v>21320000</v>
      </c>
      <c r="O287" s="26">
        <v>0</v>
      </c>
      <c r="P287" s="26">
        <v>161000</v>
      </c>
      <c r="Q287" s="26">
        <v>6000</v>
      </c>
      <c r="R287" s="26">
        <v>37898081</v>
      </c>
      <c r="S287" s="26">
        <v>1962412</v>
      </c>
      <c r="T287" s="26">
        <v>184718</v>
      </c>
      <c r="U287" s="26">
        <v>-140</v>
      </c>
      <c r="V287" s="26">
        <v>3049</v>
      </c>
      <c r="W287" s="26">
        <v>96</v>
      </c>
      <c r="X287" s="26">
        <v>0</v>
      </c>
      <c r="Y287" s="26" t="s">
        <v>31</v>
      </c>
      <c r="Z287" s="26" t="s">
        <v>31</v>
      </c>
      <c r="AA287" s="26">
        <v>392990</v>
      </c>
      <c r="AB287" s="26">
        <v>446</v>
      </c>
      <c r="AC287" s="26">
        <v>491</v>
      </c>
      <c r="AD287" s="26">
        <v>0</v>
      </c>
      <c r="AE287" s="26" t="s">
        <v>31</v>
      </c>
      <c r="AF287" s="26" t="s">
        <v>31</v>
      </c>
      <c r="AG287" s="26">
        <v>743</v>
      </c>
      <c r="AH287" s="26">
        <v>37</v>
      </c>
    </row>
    <row r="288" spans="1:34" x14ac:dyDescent="0.2">
      <c r="A288" s="10">
        <f t="shared" si="18"/>
        <v>2025</v>
      </c>
      <c r="B288" s="10">
        <f t="shared" si="19"/>
        <v>6</v>
      </c>
      <c r="D288" s="10" t="s">
        <v>540</v>
      </c>
      <c r="E288" s="25" t="d">
        <v>2025-06-01</v>
      </c>
      <c r="F288" s="26">
        <v>182489</v>
      </c>
      <c r="G288" s="26">
        <v>10581</v>
      </c>
      <c r="H288" s="26">
        <v>34232822</v>
      </c>
      <c r="I288" s="26">
        <v>1633818</v>
      </c>
      <c r="J288" s="26">
        <v>629915</v>
      </c>
      <c r="K288" s="26">
        <v>-35454</v>
      </c>
      <c r="L288" s="26">
        <v>1560000</v>
      </c>
      <c r="M288" s="26">
        <v>0</v>
      </c>
      <c r="N288" s="26">
        <v>21320000</v>
      </c>
      <c r="O288" s="26">
        <v>0</v>
      </c>
      <c r="P288" s="26">
        <v>167000</v>
      </c>
      <c r="Q288" s="26">
        <v>6000</v>
      </c>
      <c r="R288" s="26">
        <v>39960869</v>
      </c>
      <c r="S288" s="26">
        <v>1875519</v>
      </c>
      <c r="T288" s="26">
        <v>185482</v>
      </c>
      <c r="U288" s="26">
        <v>764</v>
      </c>
      <c r="V288" s="26">
        <v>867938</v>
      </c>
      <c r="W288" s="26">
        <v>178</v>
      </c>
      <c r="X288" s="26">
        <v>82</v>
      </c>
      <c r="Y288" s="26" t="s">
        <v>31</v>
      </c>
      <c r="Z288" s="26" t="s">
        <v>31</v>
      </c>
      <c r="AA288" s="26">
        <v>394430</v>
      </c>
      <c r="AB288" s="26">
        <v>1440</v>
      </c>
      <c r="AC288" s="26">
        <v>491</v>
      </c>
      <c r="AD288" s="26">
        <v>0</v>
      </c>
      <c r="AE288" s="26" t="s">
        <v>31</v>
      </c>
      <c r="AF288" s="26" t="s">
        <v>31</v>
      </c>
      <c r="AG288" s="26">
        <v>787</v>
      </c>
      <c r="AH288" s="26">
        <v>44</v>
      </c>
    </row>
    <row r="289" spans="1:34" x14ac:dyDescent="0.2">
      <c r="A289" s="10">
        <f t="shared" si="18"/>
        <v>2025</v>
      </c>
      <c r="B289" s="10">
        <f t="shared" si="19"/>
        <v>7</v>
      </c>
      <c r="D289" s="10" t="s">
        <v>540</v>
      </c>
      <c r="E289" s="25" t="d">
        <v>2025-07-01</v>
      </c>
      <c r="F289" s="26">
        <v>193087</v>
      </c>
      <c r="G289" s="26">
        <v>10598</v>
      </c>
      <c r="H289" s="26">
        <v>35771479</v>
      </c>
      <c r="I289" s="26">
        <v>1443102</v>
      </c>
      <c r="J289" s="26">
        <v>630167</v>
      </c>
      <c r="K289" s="26">
        <v>252</v>
      </c>
      <c r="L289" s="26">
        <v>1700000</v>
      </c>
      <c r="M289" s="26">
        <v>140000</v>
      </c>
      <c r="N289" s="26">
        <v>24760000</v>
      </c>
      <c r="O289" s="26">
        <v>3440000</v>
      </c>
      <c r="P289" s="26">
        <v>172000</v>
      </c>
      <c r="Q289" s="26">
        <v>5000</v>
      </c>
      <c r="R289" s="26">
        <v>41709077</v>
      </c>
      <c r="S289" s="26">
        <v>1544202</v>
      </c>
      <c r="T289" s="26">
        <v>186405</v>
      </c>
      <c r="U289" s="26">
        <v>923</v>
      </c>
      <c r="V289" s="26">
        <v>12760</v>
      </c>
      <c r="W289" s="26">
        <v>224</v>
      </c>
      <c r="X289" s="26">
        <v>46</v>
      </c>
      <c r="Y289" s="26" t="s">
        <v>31</v>
      </c>
      <c r="Z289" s="26" t="s">
        <v>31</v>
      </c>
      <c r="AA289" s="26">
        <v>394460</v>
      </c>
      <c r="AB289" s="26">
        <v>30</v>
      </c>
      <c r="AC289" s="26">
        <v>491</v>
      </c>
      <c r="AD289" s="26">
        <v>0</v>
      </c>
      <c r="AE289" s="26" t="s">
        <v>31</v>
      </c>
      <c r="AF289" s="26" t="s">
        <v>31</v>
      </c>
      <c r="AG289" s="26">
        <v>844</v>
      </c>
      <c r="AH289" s="26">
        <v>57</v>
      </c>
    </row>
    <row r="290" spans="1:34" x14ac:dyDescent="0.2">
      <c r="A290" s="10">
        <f t="shared" si="18"/>
        <v>2025</v>
      </c>
      <c r="B290" s="10">
        <f t="shared" si="19"/>
        <v>8</v>
      </c>
      <c r="D290" s="10" t="s">
        <v>540</v>
      </c>
      <c r="E290" s="25" t="d">
        <v>2025-08-01</v>
      </c>
      <c r="F290" s="26">
        <v>201876</v>
      </c>
      <c r="G290" s="26">
        <v>8789</v>
      </c>
      <c r="H290" s="26">
        <v>37551086</v>
      </c>
      <c r="I290" s="26">
        <v>1779607</v>
      </c>
      <c r="J290" s="26">
        <v>674411</v>
      </c>
      <c r="K290" s="26">
        <v>44244</v>
      </c>
      <c r="L290" s="26">
        <v>1700000</v>
      </c>
      <c r="M290" s="26">
        <v>0</v>
      </c>
      <c r="N290" s="26">
        <v>25400000</v>
      </c>
      <c r="O290" s="26">
        <v>640000</v>
      </c>
      <c r="P290" s="26">
        <v>178000</v>
      </c>
      <c r="Q290" s="26">
        <v>6000</v>
      </c>
      <c r="R290" s="26">
        <v>43825417</v>
      </c>
      <c r="S290" s="26">
        <v>1831842</v>
      </c>
      <c r="T290" s="26">
        <v>186681</v>
      </c>
      <c r="U290" s="26">
        <v>276</v>
      </c>
      <c r="V290" s="26">
        <v>5972</v>
      </c>
      <c r="W290" s="26">
        <v>256</v>
      </c>
      <c r="X290" s="26">
        <v>32</v>
      </c>
      <c r="Y290" s="26" t="s">
        <v>31</v>
      </c>
      <c r="Z290" s="26" t="s">
        <v>31</v>
      </c>
      <c r="AA290" s="26">
        <v>393420</v>
      </c>
      <c r="AB290" s="26">
        <v>-1040</v>
      </c>
      <c r="AC290" s="26">
        <v>491</v>
      </c>
      <c r="AD290" s="26">
        <v>0</v>
      </c>
      <c r="AE290" s="26" t="s">
        <v>31</v>
      </c>
      <c r="AF290" s="26" t="s">
        <v>31</v>
      </c>
      <c r="AG290" s="26">
        <v>895</v>
      </c>
      <c r="AH290" s="26">
        <v>51</v>
      </c>
    </row>
    <row r="291" spans="1:34" x14ac:dyDescent="0.2">
      <c r="A291" s="10">
        <f t="shared" si="18"/>
        <v>2025</v>
      </c>
      <c r="B291" s="10">
        <f t="shared" si="19"/>
        <v>9</v>
      </c>
      <c r="D291" s="10" t="s">
        <v>540</v>
      </c>
      <c r="E291" s="25" t="d">
        <v>2025-09-01</v>
      </c>
      <c r="F291" s="26">
        <v>210492</v>
      </c>
      <c r="G291" s="26">
        <v>8616</v>
      </c>
      <c r="H291" s="26">
        <v>39037007</v>
      </c>
      <c r="I291" s="26">
        <v>1485921</v>
      </c>
      <c r="J291" s="26">
        <v>591555</v>
      </c>
      <c r="K291" s="26">
        <v>-82856</v>
      </c>
      <c r="L291" s="26">
        <v>1800000</v>
      </c>
      <c r="M291" s="26">
        <v>100000</v>
      </c>
      <c r="N291" s="26">
        <v>26400000</v>
      </c>
      <c r="O291" s="26">
        <v>1000000</v>
      </c>
      <c r="P291" s="26">
        <v>182000</v>
      </c>
      <c r="Q291" s="26">
        <v>4000</v>
      </c>
      <c r="R291" s="26">
        <v>45392136</v>
      </c>
      <c r="S291" s="26">
        <v>1370307</v>
      </c>
      <c r="T291" s="26">
        <v>186584</v>
      </c>
      <c r="U291" s="26">
        <v>-97</v>
      </c>
      <c r="V291" s="26">
        <v>2036</v>
      </c>
      <c r="W291" s="26">
        <v>285</v>
      </c>
      <c r="X291" s="26">
        <v>29</v>
      </c>
      <c r="Y291" s="26" t="s">
        <v>31</v>
      </c>
      <c r="Z291" s="26" t="s">
        <v>31</v>
      </c>
      <c r="AA291" s="26">
        <v>394568</v>
      </c>
      <c r="AB291" s="26">
        <v>1148</v>
      </c>
      <c r="AC291" s="26">
        <v>491</v>
      </c>
      <c r="AD291" s="26">
        <v>0</v>
      </c>
      <c r="AE291" s="26" t="s">
        <v>31</v>
      </c>
      <c r="AF291" s="26" t="s">
        <v>31</v>
      </c>
      <c r="AG291" s="26">
        <v>945</v>
      </c>
      <c r="AH291" s="26">
        <v>50</v>
      </c>
    </row>
    <row r="292" spans="1:34" x14ac:dyDescent="0.2">
      <c r="A292" s="10">
        <f t="shared" si="18"/>
        <v>2025</v>
      </c>
      <c r="B292" s="10">
        <f t="shared" si="19"/>
        <v>10</v>
      </c>
      <c r="D292" s="10" t="s">
        <v>540</v>
      </c>
      <c r="E292" s="25" t="d">
        <v>2025-10-01</v>
      </c>
      <c r="F292" s="26">
        <v>216177</v>
      </c>
      <c r="G292" s="26">
        <v>5685</v>
      </c>
      <c r="H292" s="26">
        <v>40238900</v>
      </c>
      <c r="I292" s="26">
        <v>1201893</v>
      </c>
      <c r="J292" s="26">
        <v>461661</v>
      </c>
      <c r="K292" s="26">
        <v>-129894</v>
      </c>
      <c r="L292" s="26">
        <v>1900000</v>
      </c>
      <c r="M292" s="26">
        <v>100000</v>
      </c>
      <c r="N292" s="26">
        <v>27600000</v>
      </c>
      <c r="O292" s="26">
        <v>1200000</v>
      </c>
      <c r="P292" s="26">
        <v>186000</v>
      </c>
      <c r="Q292" s="26">
        <v>4000</v>
      </c>
      <c r="R292" s="26">
        <v>46805192</v>
      </c>
      <c r="S292" s="26">
        <v>1168059</v>
      </c>
      <c r="T292" s="26">
        <v>186637</v>
      </c>
      <c r="U292" s="26">
        <v>53</v>
      </c>
      <c r="V292" s="26">
        <v>287</v>
      </c>
      <c r="W292" s="26">
        <v>292</v>
      </c>
      <c r="X292" s="26">
        <v>7</v>
      </c>
      <c r="Y292" s="26" t="s">
        <v>31</v>
      </c>
      <c r="Z292" s="26" t="s">
        <v>31</v>
      </c>
      <c r="AA292" s="26">
        <v>396932</v>
      </c>
      <c r="AB292" s="26">
        <v>2364</v>
      </c>
      <c r="AC292" s="26">
        <v>491</v>
      </c>
      <c r="AD292" s="26">
        <v>0</v>
      </c>
      <c r="AE292" s="26" t="s">
        <v>31</v>
      </c>
      <c r="AF292" s="26" t="s">
        <v>31</v>
      </c>
      <c r="AG292" s="26">
        <v>981</v>
      </c>
      <c r="AH292" s="26">
        <v>36</v>
      </c>
    </row>
    <row r="293" spans="1:34" x14ac:dyDescent="0.2">
      <c r="A293" s="10">
        <f t="shared" si="18"/>
        <v>2025</v>
      </c>
      <c r="B293" s="10">
        <f t="shared" si="19"/>
        <v>11</v>
      </c>
      <c r="D293" s="10" t="s">
        <v>540</v>
      </c>
      <c r="E293" s="25" t="d">
        <v>2025-11-01</v>
      </c>
      <c r="F293" s="26">
        <v>221748</v>
      </c>
      <c r="G293" s="26">
        <v>5571</v>
      </c>
      <c r="H293" s="26">
        <v>41382532</v>
      </c>
      <c r="I293" s="26">
        <v>1138215</v>
      </c>
      <c r="J293" s="26">
        <v>419318</v>
      </c>
      <c r="K293" s="26">
        <v>-42343</v>
      </c>
      <c r="L293" s="26">
        <v>2000000</v>
      </c>
      <c r="M293" s="26">
        <v>100000</v>
      </c>
      <c r="N293" s="26">
        <v>28900000</v>
      </c>
      <c r="O293" s="26">
        <v>1300000</v>
      </c>
      <c r="P293" s="26">
        <v>190000</v>
      </c>
      <c r="Q293" s="26">
        <v>4000</v>
      </c>
      <c r="R293" s="26">
        <v>48502349</v>
      </c>
      <c r="S293" s="26">
        <v>1243032</v>
      </c>
      <c r="T293" s="26">
        <v>186743</v>
      </c>
      <c r="U293" s="26">
        <v>106</v>
      </c>
      <c r="V293" s="26">
        <v>21</v>
      </c>
      <c r="W293" s="26">
        <v>301</v>
      </c>
      <c r="X293" s="26">
        <v>9</v>
      </c>
      <c r="Y293" s="26" t="s">
        <v>31</v>
      </c>
      <c r="Z293" s="26" t="s">
        <v>31</v>
      </c>
      <c r="AA293" s="26">
        <v>397109</v>
      </c>
      <c r="AB293" s="26">
        <v>177</v>
      </c>
      <c r="AC293" s="26">
        <v>491</v>
      </c>
      <c r="AD293" s="26">
        <v>0</v>
      </c>
      <c r="AE293" s="26" t="s">
        <v>31</v>
      </c>
      <c r="AF293" s="26" t="s">
        <v>31</v>
      </c>
      <c r="AG293" s="26">
        <v>1023</v>
      </c>
      <c r="AH293" s="26">
        <v>42</v>
      </c>
    </row>
    <row r="294" spans="1:34" x14ac:dyDescent="0.2">
      <c r="A294" s="10">
        <f t="shared" si="18"/>
        <v>2025</v>
      </c>
      <c r="B294" s="10">
        <f t="shared" si="19"/>
        <v>12</v>
      </c>
      <c r="D294" s="10" t="s">
        <v>540</v>
      </c>
      <c r="E294" s="25" t="d">
        <v>2025-12-01</v>
      </c>
      <c r="F294" s="26">
        <v>228563</v>
      </c>
      <c r="G294" s="26">
        <v>6815</v>
      </c>
      <c r="H294" s="26">
        <v>42498754</v>
      </c>
      <c r="I294" s="26">
        <v>1070311</v>
      </c>
      <c r="J294" s="26">
        <v>416217</v>
      </c>
      <c r="K294" s="26">
        <v>-3101</v>
      </c>
      <c r="L294" s="26">
        <v>2000000</v>
      </c>
      <c r="M294" s="26">
        <v>0</v>
      </c>
      <c r="N294" s="26">
        <v>29400000</v>
      </c>
      <c r="O294" s="26">
        <v>500000</v>
      </c>
      <c r="P294" s="26">
        <v>192000</v>
      </c>
      <c r="Q294" s="26">
        <v>2000</v>
      </c>
      <c r="R294" s="26">
        <v>49527551</v>
      </c>
      <c r="S294" s="26">
        <v>941776</v>
      </c>
      <c r="T294" s="26">
        <v>186743</v>
      </c>
      <c r="U294" s="26">
        <v>0</v>
      </c>
      <c r="V294" s="26">
        <v>0</v>
      </c>
      <c r="W294" s="26">
        <v>309</v>
      </c>
      <c r="X294" s="26">
        <v>8</v>
      </c>
      <c r="Y294" s="26" t="s">
        <v>31</v>
      </c>
      <c r="Z294" s="26" t="s">
        <v>31</v>
      </c>
      <c r="AA294" s="26">
        <v>414264</v>
      </c>
      <c r="AB294" s="26">
        <v>17155</v>
      </c>
      <c r="AC294" s="26">
        <v>491</v>
      </c>
      <c r="AD294" s="26">
        <v>0</v>
      </c>
      <c r="AE294" s="26" t="s">
        <v>31</v>
      </c>
      <c r="AF294" s="26" t="s">
        <v>31</v>
      </c>
      <c r="AG294" s="26">
        <v>1061</v>
      </c>
      <c r="AH294" s="26">
        <v>38</v>
      </c>
    </row>
    <row r="295" spans="1:34" x14ac:dyDescent="0.2">
      <c r="A295" s="10">
        <f t="shared" si="18"/>
        <v>2026</v>
      </c>
      <c r="B295" s="10">
        <f t="shared" si="19"/>
        <v>1</v>
      </c>
      <c r="D295" s="10" t="s">
        <v>540</v>
      </c>
      <c r="E295" s="25" t="d">
        <v>2026-01-01</v>
      </c>
      <c r="F295" s="26">
        <v>248008</v>
      </c>
      <c r="G295" s="26">
        <v>19445</v>
      </c>
      <c r="H295" s="26">
        <v>52214259</v>
      </c>
      <c r="I295" s="26">
        <v>9389016</v>
      </c>
      <c r="J295" s="26">
        <v>2041035</v>
      </c>
      <c r="K295" s="26">
        <v>1624818</v>
      </c>
      <c r="L295" s="26">
        <v>2000000</v>
      </c>
      <c r="M295" s="26">
        <v>0</v>
      </c>
      <c r="N295" s="26">
        <v>29700000</v>
      </c>
      <c r="O295" s="26">
        <v>300000</v>
      </c>
      <c r="P295" s="26">
        <v>257000</v>
      </c>
      <c r="Q295" s="26">
        <v>65000</v>
      </c>
      <c r="R295" s="26">
        <v>57799257</v>
      </c>
      <c r="S295" s="26">
        <v>8065153</v>
      </c>
      <c r="T295" s="26">
        <v>191458</v>
      </c>
      <c r="U295" s="26">
        <v>4715</v>
      </c>
      <c r="V295" s="26">
        <v>2052</v>
      </c>
      <c r="W295" s="26">
        <v>332</v>
      </c>
      <c r="X295" s="26">
        <v>23</v>
      </c>
      <c r="Y295" s="26" t="s">
        <v>31</v>
      </c>
      <c r="Z295" s="26" t="s">
        <v>31</v>
      </c>
      <c r="AA295" s="26">
        <v>431951</v>
      </c>
      <c r="AB295" s="26">
        <v>17687</v>
      </c>
      <c r="AC295" s="26">
        <v>491</v>
      </c>
      <c r="AD295" s="26">
        <v>0</v>
      </c>
      <c r="AE295" s="26" t="s">
        <v>31</v>
      </c>
      <c r="AF295" s="26" t="s">
        <v>31</v>
      </c>
      <c r="AG295" s="26">
        <v>1124</v>
      </c>
      <c r="AH295" s="26">
        <v>63</v>
      </c>
    </row>
    <row r="296" spans="1:34" x14ac:dyDescent="0.2">
      <c r="A296" s="10">
        <f t="shared" si="18"/>
        <v>2026</v>
      </c>
      <c r="B296" s="10">
        <f t="shared" si="19"/>
        <v>2</v>
      </c>
      <c r="D296" s="10" t="s">
        <v>540</v>
      </c>
      <c r="E296" s="25" t="d">
        <v>2026-02-01</v>
      </c>
      <c r="F296" s="26">
        <v>260830</v>
      </c>
      <c r="G296" s="26">
        <v>12822</v>
      </c>
      <c r="H296" s="26">
        <v>62952885</v>
      </c>
      <c r="I296" s="26">
        <v>10738626</v>
      </c>
      <c r="J296" s="26">
        <v>2078475</v>
      </c>
      <c r="K296" s="26">
        <v>37440</v>
      </c>
      <c r="L296" s="26">
        <v>2000000</v>
      </c>
      <c r="M296" s="26">
        <v>0</v>
      </c>
      <c r="N296" s="26">
        <v>30400000</v>
      </c>
      <c r="O296" s="26">
        <v>700000</v>
      </c>
      <c r="P296" s="26">
        <v>401000</v>
      </c>
      <c r="Q296" s="26">
        <v>144000</v>
      </c>
      <c r="R296" s="26">
        <v>65017826</v>
      </c>
      <c r="S296" s="26">
        <v>7152716</v>
      </c>
      <c r="T296" s="26">
        <v>191458</v>
      </c>
      <c r="U296" s="26">
        <v>0</v>
      </c>
      <c r="V296" s="26">
        <v>0</v>
      </c>
      <c r="W296" s="26">
        <v>465</v>
      </c>
      <c r="X296" s="26">
        <v>133</v>
      </c>
      <c r="Y296" s="26" t="s">
        <v>31</v>
      </c>
      <c r="Z296" s="26" t="s">
        <v>31</v>
      </c>
      <c r="AA296" s="26">
        <v>431959</v>
      </c>
      <c r="AB296" s="26">
        <v>8</v>
      </c>
      <c r="AC296" s="26">
        <v>491</v>
      </c>
      <c r="AD296" s="26">
        <v>0</v>
      </c>
      <c r="AE296" s="26" t="s">
        <v>31</v>
      </c>
      <c r="AF296" s="26" t="s">
        <v>31</v>
      </c>
      <c r="AG296" s="26">
        <v>1208</v>
      </c>
      <c r="AH296" s="26">
        <v>84</v>
      </c>
    </row>
    <row r="297" spans="1:34" x14ac:dyDescent="0.2">
      <c r="A297" s="10">
        <f t="shared" si="18"/>
        <v>2026</v>
      </c>
      <c r="B297" s="10">
        <f t="shared" si="19"/>
        <v>3</v>
      </c>
      <c r="D297" s="10" t="s">
        <v>540</v>
      </c>
      <c r="E297" s="25" t="d">
        <v>2026-03-01</v>
      </c>
      <c r="F297" s="26">
        <v>270240</v>
      </c>
      <c r="G297" s="26">
        <v>9410</v>
      </c>
      <c r="H297" s="26">
        <v>70231805</v>
      </c>
      <c r="I297" s="26">
        <v>7278920</v>
      </c>
      <c r="J297" s="26">
        <v>1886329</v>
      </c>
      <c r="K297" s="26">
        <v>-192146</v>
      </c>
      <c r="L297" s="26">
        <v>2000000</v>
      </c>
      <c r="M297" s="26">
        <v>0</v>
      </c>
      <c r="N297" s="26">
        <v>30400000</v>
      </c>
      <c r="O297" s="26">
        <v>0</v>
      </c>
      <c r="P297" s="26">
        <v>407000</v>
      </c>
      <c r="Q297" s="26">
        <v>6000</v>
      </c>
      <c r="R297" s="26">
        <v>69607153</v>
      </c>
      <c r="S297" s="26">
        <v>4517955</v>
      </c>
      <c r="T297" s="26">
        <v>191458</v>
      </c>
      <c r="U297" s="26">
        <v>0</v>
      </c>
      <c r="V297" s="26">
        <v>0</v>
      </c>
      <c r="W297" s="26">
        <v>676</v>
      </c>
      <c r="X297" s="26">
        <v>211</v>
      </c>
      <c r="Y297" s="26" t="s">
        <v>31</v>
      </c>
      <c r="Z297" s="26" t="s">
        <v>31</v>
      </c>
      <c r="AA297" s="26">
        <v>430966</v>
      </c>
      <c r="AB297" s="26">
        <v>-993</v>
      </c>
      <c r="AC297" s="26">
        <v>491</v>
      </c>
      <c r="AD297" s="26">
        <v>0</v>
      </c>
      <c r="AE297" s="26" t="s">
        <v>31</v>
      </c>
      <c r="AF297" s="26" t="s">
        <v>31</v>
      </c>
      <c r="AG297" s="26">
        <v>1291</v>
      </c>
      <c r="AH297" s="26">
        <v>83</v>
      </c>
    </row>
    <row r="298" spans="1:34" x14ac:dyDescent="0.2">
      <c r="A298" s="10">
        <f t="shared" si="18"/>
        <v>2026</v>
      </c>
      <c r="B298" s="10">
        <f t="shared" si="19"/>
        <v>4</v>
      </c>
      <c r="D298" s="10" t="s">
        <v>540</v>
      </c>
      <c r="E298" s="25" t="d">
        <v>2026-04-01</v>
      </c>
      <c r="F298" s="26">
        <v>279954</v>
      </c>
      <c r="G298" s="26">
        <v>9714</v>
      </c>
      <c r="H298" s="26">
        <v>77395057</v>
      </c>
      <c r="I298" s="26">
        <v>7163252</v>
      </c>
      <c r="J298" s="26">
        <v>1839114</v>
      </c>
      <c r="K298" s="26">
        <v>-47215</v>
      </c>
      <c r="L298" s="26">
        <v>2035143</v>
      </c>
      <c r="M298" s="26">
        <v>7763</v>
      </c>
      <c r="N298" s="26">
        <v>31961027</v>
      </c>
      <c r="O298" s="26">
        <v>291710</v>
      </c>
      <c r="P298" s="26">
        <v>414000</v>
      </c>
      <c r="Q298" s="26">
        <v>7000</v>
      </c>
      <c r="R298" s="26">
        <v>74337969</v>
      </c>
      <c r="S298" s="26">
        <v>4648693</v>
      </c>
      <c r="T298" s="26">
        <v>196689</v>
      </c>
      <c r="U298" s="26">
        <v>5231</v>
      </c>
      <c r="V298" s="26">
        <v>36928</v>
      </c>
      <c r="W298" s="26">
        <v>813</v>
      </c>
      <c r="X298" s="26">
        <v>137</v>
      </c>
      <c r="Y298" s="26">
        <v>4404621</v>
      </c>
      <c r="Z298" s="26">
        <v>127378</v>
      </c>
      <c r="AA298" s="26">
        <v>432078</v>
      </c>
      <c r="AB298" s="26">
        <v>1112</v>
      </c>
      <c r="AC298" s="26">
        <v>491</v>
      </c>
      <c r="AD298" s="26">
        <v>0</v>
      </c>
      <c r="AE298" s="26" t="s">
        <v>31</v>
      </c>
      <c r="AF298" s="26" t="s">
        <v>31</v>
      </c>
      <c r="AG298" s="26">
        <v>1393</v>
      </c>
      <c r="AH298" s="26">
        <v>102</v>
      </c>
    </row>
    <row r="299" spans="1:34" x14ac:dyDescent="0.2">
      <c r="A299" s="10">
        <f t="shared" si="18"/>
        <v>2026</v>
      </c>
      <c r="B299" s="10">
        <f t="shared" si="19"/>
        <v>5</v>
      </c>
      <c r="D299" s="10" t="s">
        <v>540</v>
      </c>
      <c r="E299" s="25" t="d">
        <v>2026-05-01</v>
      </c>
      <c r="F299" s="26">
        <v>293673</v>
      </c>
      <c r="G299" s="26">
        <v>13719</v>
      </c>
      <c r="H299" s="26">
        <v>84564458</v>
      </c>
      <c r="I299" s="26">
        <v>7169401</v>
      </c>
      <c r="J299" s="26">
        <v>1968091</v>
      </c>
      <c r="K299" s="26">
        <v>128977</v>
      </c>
      <c r="L299" s="26">
        <v>2040549</v>
      </c>
      <c r="M299" s="26">
        <v>5406</v>
      </c>
      <c r="N299" s="26">
        <v>32188014</v>
      </c>
      <c r="O299" s="26">
        <v>226987</v>
      </c>
      <c r="P299" s="26">
        <v>418000</v>
      </c>
      <c r="Q299" s="26">
        <v>4000</v>
      </c>
      <c r="R299" s="26">
        <v>78041670</v>
      </c>
      <c r="S299" s="26">
        <v>3647503</v>
      </c>
      <c r="T299" s="26">
        <v>196876</v>
      </c>
      <c r="U299" s="26">
        <v>187</v>
      </c>
      <c r="V299" s="26">
        <v>18694</v>
      </c>
      <c r="W299" s="26">
        <v>909</v>
      </c>
      <c r="X299" s="26">
        <v>96</v>
      </c>
      <c r="Y299" s="26">
        <v>4521343</v>
      </c>
      <c r="Z299" s="26">
        <v>116722</v>
      </c>
      <c r="AA299" s="26">
        <v>440480</v>
      </c>
      <c r="AB299" s="26">
        <v>8402</v>
      </c>
      <c r="AC299" s="26">
        <v>491</v>
      </c>
      <c r="AD299" s="26">
        <v>0</v>
      </c>
      <c r="AE299" s="26" t="s">
        <v>31</v>
      </c>
      <c r="AF299" s="26" t="s">
        <v>31</v>
      </c>
      <c r="AG299" s="26">
        <v>1489</v>
      </c>
      <c r="AH299" s="26">
        <v>96</v>
      </c>
    </row>
    <row r="300" spans="1:34" x14ac:dyDescent="0.2">
      <c r="A300" s="10">
        <f t="shared" si="18"/>
        <v>2026</v>
      </c>
      <c r="B300" s="10">
        <f t="shared" si="19"/>
        <v>6</v>
      </c>
      <c r="D300" s="10" t="s">
        <v>540</v>
      </c>
      <c r="E300" s="25" t="d">
        <v>2026-06-01</v>
      </c>
      <c r="F300" s="26">
        <v>309630</v>
      </c>
      <c r="G300" s="26">
        <v>15957</v>
      </c>
      <c r="H300" s="26">
        <v>91366745</v>
      </c>
      <c r="I300" s="26">
        <v>6802287</v>
      </c>
      <c r="J300" s="26">
        <v>2006978</v>
      </c>
      <c r="K300" s="26">
        <v>38887</v>
      </c>
      <c r="L300" s="26">
        <v>2039318</v>
      </c>
      <c r="M300" s="26">
        <v>-1231</v>
      </c>
      <c r="N300" s="26">
        <v>32370259</v>
      </c>
      <c r="O300" s="26">
        <v>182245</v>
      </c>
      <c r="P300" s="26">
        <v>425000</v>
      </c>
      <c r="Q300" s="26">
        <v>7000</v>
      </c>
      <c r="R300" s="26">
        <v>82427042</v>
      </c>
      <c r="S300" s="26">
        <v>4330916</v>
      </c>
      <c r="T300" s="26">
        <v>195614</v>
      </c>
      <c r="U300" s="26">
        <v>-1262</v>
      </c>
      <c r="V300" s="26">
        <v>13767</v>
      </c>
      <c r="W300" s="26">
        <v>991</v>
      </c>
      <c r="X300" s="26">
        <v>82</v>
      </c>
      <c r="Y300" s="26">
        <v>4742533</v>
      </c>
      <c r="Z300" s="26">
        <v>221190</v>
      </c>
      <c r="AA300" s="26">
        <v>441289</v>
      </c>
      <c r="AB300" s="26">
        <v>809</v>
      </c>
      <c r="AC300" s="26">
        <v>491</v>
      </c>
      <c r="AD300" s="26">
        <v>0</v>
      </c>
      <c r="AE300" s="26" t="s">
        <v>31</v>
      </c>
      <c r="AF300" s="26" t="s">
        <v>31</v>
      </c>
      <c r="AG300" s="26">
        <v>1581</v>
      </c>
      <c r="AH300" s="26">
        <v>92</v>
      </c>
    </row>
    <row r="301" spans="1:34" x14ac:dyDescent="0.2">
      <c r="A301" s="10">
        <f t="shared" si="18"/>
        <v>2026</v>
      </c>
      <c r="B301" s="10">
        <f t="shared" si="19"/>
        <v>7</v>
      </c>
      <c r="D301" s="10" t="s">
        <v>540</v>
      </c>
      <c r="E301" s="25" t="d">
        <v>2026-07-01</v>
      </c>
      <c r="F301" s="26">
        <v>318057</v>
      </c>
      <c r="G301" s="26">
        <v>8427</v>
      </c>
      <c r="H301" s="26">
        <v>97973981</v>
      </c>
      <c r="I301" s="26">
        <v>6537006</v>
      </c>
      <c r="J301" s="26">
        <v>2007099</v>
      </c>
      <c r="K301" s="26">
        <v>121</v>
      </c>
      <c r="L301" s="26">
        <v>2066155</v>
      </c>
      <c r="M301" s="26">
        <v>26837</v>
      </c>
      <c r="N301" s="26">
        <v>33018561</v>
      </c>
      <c r="O301" s="26">
        <v>648302</v>
      </c>
      <c r="P301" s="26">
        <v>443000</v>
      </c>
      <c r="Q301" s="26">
        <v>18000</v>
      </c>
      <c r="R301" s="26">
        <v>86262351</v>
      </c>
      <c r="S301" s="26">
        <v>3523949</v>
      </c>
      <c r="T301" s="26">
        <v>196655</v>
      </c>
      <c r="U301" s="26">
        <v>1041</v>
      </c>
      <c r="V301" s="26">
        <v>34199</v>
      </c>
      <c r="W301" s="26">
        <v>1074</v>
      </c>
      <c r="X301" s="26">
        <v>83</v>
      </c>
      <c r="Y301" s="26">
        <v>4861025</v>
      </c>
      <c r="Z301" s="26">
        <v>118492</v>
      </c>
      <c r="AA301" s="26">
        <v>441978</v>
      </c>
      <c r="AB301" s="26">
        <v>689</v>
      </c>
      <c r="AC301" s="26">
        <v>491</v>
      </c>
      <c r="AD301" s="26">
        <v>0</v>
      </c>
      <c r="AE301" s="26" t="s">
        <v>31</v>
      </c>
      <c r="AF301" s="26" t="s">
        <v>31</v>
      </c>
      <c r="AG301" s="26">
        <v>1680</v>
      </c>
      <c r="AH301" s="26">
        <v>99</v>
      </c>
    </row>
    <row r="302" spans="1:34" x14ac:dyDescent="0.2">
      <c r="A302" s="10">
        <f t="shared" ref="A302:A326" si="20">YEAR(E302)</f>
        <v>2024</v>
      </c>
      <c r="B302" s="10">
        <f t="shared" ref="B302:B326" si="21">MONTH(E302)</f>
        <v>7</v>
      </c>
      <c r="D302" s="10" t="s">
        <v>65</v>
      </c>
      <c r="E302" s="25" t="d">
        <v>2024-07-01</v>
      </c>
      <c r="F302" s="26">
        <v>342137</v>
      </c>
      <c r="G302" s="26">
        <v>18162</v>
      </c>
      <c r="H302" s="26">
        <v>48097053</v>
      </c>
      <c r="I302" s="26">
        <v>2973460</v>
      </c>
      <c r="J302" s="26">
        <v>765067</v>
      </c>
      <c r="K302" s="26">
        <v>108428</v>
      </c>
      <c r="L302" s="26">
        <v>56800</v>
      </c>
      <c r="M302" s="26">
        <v>10000</v>
      </c>
      <c r="N302" s="26">
        <v>486800</v>
      </c>
      <c r="O302" s="26">
        <v>76600</v>
      </c>
      <c r="P302" s="26">
        <v>115000</v>
      </c>
      <c r="Q302" s="26">
        <v>5000</v>
      </c>
      <c r="R302" s="26">
        <v>50169862</v>
      </c>
      <c r="S302" s="26">
        <v>2838334</v>
      </c>
      <c r="T302" s="26">
        <v>114894</v>
      </c>
      <c r="U302" s="26">
        <v>9557</v>
      </c>
      <c r="V302" s="26">
        <v>43000</v>
      </c>
      <c r="W302" s="26" t="s">
        <v>31</v>
      </c>
      <c r="X302" s="26" t="s">
        <v>31</v>
      </c>
      <c r="Y302" s="26" t="s">
        <v>31</v>
      </c>
      <c r="Z302" s="26" t="s">
        <v>31</v>
      </c>
      <c r="AA302" s="26" t="s">
        <v>31</v>
      </c>
      <c r="AB302" s="26" t="s">
        <v>31</v>
      </c>
      <c r="AC302" s="26">
        <v>19</v>
      </c>
      <c r="AD302" s="26">
        <v>0</v>
      </c>
      <c r="AE302" s="26" t="s">
        <v>31</v>
      </c>
      <c r="AF302" s="26" t="s">
        <v>31</v>
      </c>
      <c r="AG302" s="26">
        <v>2533</v>
      </c>
      <c r="AH302" s="26">
        <v>101</v>
      </c>
    </row>
    <row r="303" spans="1:34" x14ac:dyDescent="0.2">
      <c r="A303" s="10">
        <f t="shared" si="20"/>
        <v>2024</v>
      </c>
      <c r="B303" s="10">
        <f t="shared" si="21"/>
        <v>8</v>
      </c>
      <c r="D303" s="10" t="s">
        <v>65</v>
      </c>
      <c r="E303" s="25" t="d">
        <v>2024-08-01</v>
      </c>
      <c r="F303" s="26">
        <v>361152</v>
      </c>
      <c r="G303" s="26">
        <v>19015</v>
      </c>
      <c r="H303" s="26">
        <v>51617183</v>
      </c>
      <c r="I303" s="26">
        <v>3516146</v>
      </c>
      <c r="J303" s="26">
        <v>823056</v>
      </c>
      <c r="K303" s="26">
        <v>57989</v>
      </c>
      <c r="L303" s="26">
        <v>64800</v>
      </c>
      <c r="M303" s="26">
        <v>8000</v>
      </c>
      <c r="N303" s="26">
        <v>558200</v>
      </c>
      <c r="O303" s="26">
        <v>71400</v>
      </c>
      <c r="P303" s="26">
        <v>121000</v>
      </c>
      <c r="Q303" s="26">
        <v>6000</v>
      </c>
      <c r="R303" s="26">
        <v>53672459</v>
      </c>
      <c r="S303" s="26">
        <v>3502597</v>
      </c>
      <c r="T303" s="26">
        <v>119210</v>
      </c>
      <c r="U303" s="26">
        <v>4316</v>
      </c>
      <c r="V303" s="26">
        <v>13000</v>
      </c>
      <c r="W303" s="26" t="s">
        <v>31</v>
      </c>
      <c r="X303" s="26" t="s">
        <v>31</v>
      </c>
      <c r="Y303" s="26" t="s">
        <v>31</v>
      </c>
      <c r="Z303" s="26" t="s">
        <v>31</v>
      </c>
      <c r="AA303" s="26" t="s">
        <v>31</v>
      </c>
      <c r="AB303" s="26" t="s">
        <v>31</v>
      </c>
      <c r="AC303" s="26">
        <v>19</v>
      </c>
      <c r="AD303" s="26">
        <v>0</v>
      </c>
      <c r="AE303" s="26" t="s">
        <v>31</v>
      </c>
      <c r="AF303" s="26" t="s">
        <v>31</v>
      </c>
      <c r="AG303" s="26">
        <v>2629</v>
      </c>
      <c r="AH303" s="26">
        <v>96</v>
      </c>
    </row>
    <row r="304" spans="1:34" x14ac:dyDescent="0.2">
      <c r="A304" s="10">
        <f t="shared" si="20"/>
        <v>2024</v>
      </c>
      <c r="B304" s="10">
        <f t="shared" si="21"/>
        <v>9</v>
      </c>
      <c r="D304" s="10" t="s">
        <v>65</v>
      </c>
      <c r="E304" s="25" t="d">
        <v>2024-09-01</v>
      </c>
      <c r="F304" s="26">
        <v>412408</v>
      </c>
      <c r="G304" s="26">
        <v>51256</v>
      </c>
      <c r="H304" s="26">
        <v>55384240</v>
      </c>
      <c r="I304" s="26">
        <v>3648623</v>
      </c>
      <c r="J304" s="26">
        <v>921295</v>
      </c>
      <c r="K304" s="26">
        <v>98239</v>
      </c>
      <c r="L304" s="26">
        <v>66300</v>
      </c>
      <c r="M304" s="26">
        <v>1500</v>
      </c>
      <c r="N304" s="26">
        <v>570900</v>
      </c>
      <c r="O304" s="26">
        <v>12700</v>
      </c>
      <c r="P304" s="26">
        <v>126000</v>
      </c>
      <c r="Q304" s="26">
        <v>5000</v>
      </c>
      <c r="R304" s="26">
        <v>57209949</v>
      </c>
      <c r="S304" s="26">
        <v>3525568</v>
      </c>
      <c r="T304" s="26">
        <v>123105</v>
      </c>
      <c r="U304" s="26">
        <v>3895</v>
      </c>
      <c r="V304" s="26">
        <v>13000</v>
      </c>
      <c r="W304" s="26" t="s">
        <v>31</v>
      </c>
      <c r="X304" s="26" t="s">
        <v>31</v>
      </c>
      <c r="Y304" s="26" t="s">
        <v>31</v>
      </c>
      <c r="Z304" s="26" t="s">
        <v>31</v>
      </c>
      <c r="AA304" s="26" t="s">
        <v>31</v>
      </c>
      <c r="AB304" s="26" t="s">
        <v>31</v>
      </c>
      <c r="AC304" s="26">
        <v>19</v>
      </c>
      <c r="AD304" s="26">
        <v>0</v>
      </c>
      <c r="AE304" s="26" t="s">
        <v>31</v>
      </c>
      <c r="AF304" s="26" t="s">
        <v>31</v>
      </c>
      <c r="AG304" s="26">
        <v>2735</v>
      </c>
      <c r="AH304" s="26">
        <v>106</v>
      </c>
    </row>
    <row r="305" spans="1:34" x14ac:dyDescent="0.2">
      <c r="A305" s="10">
        <f t="shared" si="20"/>
        <v>2024</v>
      </c>
      <c r="B305" s="10">
        <f t="shared" si="21"/>
        <v>10</v>
      </c>
      <c r="D305" s="10" t="s">
        <v>65</v>
      </c>
      <c r="E305" s="25" t="d">
        <v>2024-10-01</v>
      </c>
      <c r="F305" s="26">
        <v>452688</v>
      </c>
      <c r="G305" s="26">
        <v>40280</v>
      </c>
      <c r="H305" s="26">
        <v>58507508</v>
      </c>
      <c r="I305" s="26">
        <v>3123268</v>
      </c>
      <c r="J305" s="26">
        <v>849138</v>
      </c>
      <c r="K305" s="26">
        <v>-72157</v>
      </c>
      <c r="L305" s="26">
        <v>67200</v>
      </c>
      <c r="M305" s="26">
        <v>900</v>
      </c>
      <c r="N305" s="26">
        <v>581300</v>
      </c>
      <c r="O305" s="26">
        <v>10400</v>
      </c>
      <c r="P305" s="26">
        <v>131000</v>
      </c>
      <c r="Q305" s="26">
        <v>5000</v>
      </c>
      <c r="R305" s="26">
        <v>60591730</v>
      </c>
      <c r="S305" s="26">
        <v>3381781</v>
      </c>
      <c r="T305" s="26">
        <v>125933</v>
      </c>
      <c r="U305" s="26">
        <v>2828</v>
      </c>
      <c r="V305" s="26">
        <v>0</v>
      </c>
      <c r="W305" s="26" t="s">
        <v>31</v>
      </c>
      <c r="X305" s="26" t="s">
        <v>31</v>
      </c>
      <c r="Y305" s="26" t="s">
        <v>31</v>
      </c>
      <c r="Z305" s="26" t="s">
        <v>31</v>
      </c>
      <c r="AA305" s="26" t="s">
        <v>31</v>
      </c>
      <c r="AB305" s="26" t="s">
        <v>31</v>
      </c>
      <c r="AC305" s="26">
        <v>19</v>
      </c>
      <c r="AD305" s="26">
        <v>0</v>
      </c>
      <c r="AE305" s="26" t="s">
        <v>31</v>
      </c>
      <c r="AF305" s="26" t="s">
        <v>31</v>
      </c>
      <c r="AG305" s="26">
        <v>2822</v>
      </c>
      <c r="AH305" s="26">
        <v>87</v>
      </c>
    </row>
    <row r="306" spans="1:34" x14ac:dyDescent="0.2">
      <c r="A306" s="10">
        <f t="shared" si="20"/>
        <v>2024</v>
      </c>
      <c r="B306" s="10">
        <f t="shared" si="21"/>
        <v>11</v>
      </c>
      <c r="D306" s="10" t="s">
        <v>65</v>
      </c>
      <c r="E306" s="25" t="d">
        <v>2024-11-01</v>
      </c>
      <c r="F306" s="26">
        <v>487845</v>
      </c>
      <c r="G306" s="26">
        <v>35157</v>
      </c>
      <c r="H306" s="26">
        <v>61482642</v>
      </c>
      <c r="I306" s="26">
        <v>2975134</v>
      </c>
      <c r="J306" s="26">
        <v>855549</v>
      </c>
      <c r="K306" s="26">
        <v>6411</v>
      </c>
      <c r="L306" s="26">
        <v>67200</v>
      </c>
      <c r="M306" s="26">
        <v>0</v>
      </c>
      <c r="N306" s="26">
        <v>581300</v>
      </c>
      <c r="O306" s="26">
        <v>0</v>
      </c>
      <c r="P306" s="26">
        <v>137000</v>
      </c>
      <c r="Q306" s="26">
        <v>6000</v>
      </c>
      <c r="R306" s="26">
        <v>63852591</v>
      </c>
      <c r="S306" s="26">
        <v>3231828</v>
      </c>
      <c r="T306" s="26">
        <v>132107</v>
      </c>
      <c r="U306" s="26">
        <v>6174</v>
      </c>
      <c r="V306" s="26">
        <v>2844</v>
      </c>
      <c r="W306" s="26" t="s">
        <v>31</v>
      </c>
      <c r="X306" s="26" t="s">
        <v>31</v>
      </c>
      <c r="Y306" s="26" t="s">
        <v>31</v>
      </c>
      <c r="Z306" s="26" t="s">
        <v>31</v>
      </c>
      <c r="AA306" s="26" t="s">
        <v>31</v>
      </c>
      <c r="AB306" s="26" t="s">
        <v>31</v>
      </c>
      <c r="AC306" s="26">
        <v>19</v>
      </c>
      <c r="AD306" s="26">
        <v>0</v>
      </c>
      <c r="AE306" s="26">
        <v>668</v>
      </c>
      <c r="AF306" s="26">
        <v>0</v>
      </c>
      <c r="AG306" s="26">
        <v>2922</v>
      </c>
      <c r="AH306" s="26">
        <v>100</v>
      </c>
    </row>
    <row r="307" spans="1:34" x14ac:dyDescent="0.2">
      <c r="A307" s="10">
        <f t="shared" si="20"/>
        <v>2024</v>
      </c>
      <c r="B307" s="10">
        <f t="shared" si="21"/>
        <v>12</v>
      </c>
      <c r="D307" s="10" t="s">
        <v>65</v>
      </c>
      <c r="E307" s="25" t="d">
        <v>2024-12-01</v>
      </c>
      <c r="F307" s="26">
        <v>512198</v>
      </c>
      <c r="G307" s="26">
        <v>24353</v>
      </c>
      <c r="H307" s="26">
        <v>64707220</v>
      </c>
      <c r="I307" s="26">
        <v>2717630</v>
      </c>
      <c r="J307" s="26">
        <v>780664</v>
      </c>
      <c r="K307" s="26">
        <v>-74885</v>
      </c>
      <c r="L307" s="26">
        <v>84200</v>
      </c>
      <c r="M307" s="26">
        <v>17000</v>
      </c>
      <c r="N307" s="26">
        <v>804400</v>
      </c>
      <c r="O307" s="26">
        <v>223100</v>
      </c>
      <c r="P307" s="26">
        <v>141000</v>
      </c>
      <c r="Q307" s="26">
        <v>4000</v>
      </c>
      <c r="R307" s="26">
        <v>66801729</v>
      </c>
      <c r="S307" s="26">
        <v>2754357</v>
      </c>
      <c r="T307" s="26">
        <v>137636</v>
      </c>
      <c r="U307" s="26">
        <v>5529</v>
      </c>
      <c r="V307" s="26">
        <v>8340</v>
      </c>
      <c r="W307" s="26" t="s">
        <v>31</v>
      </c>
      <c r="X307" s="26" t="s">
        <v>31</v>
      </c>
      <c r="Y307" s="26" t="s">
        <v>31</v>
      </c>
      <c r="Z307" s="26" t="s">
        <v>31</v>
      </c>
      <c r="AA307" s="26" t="s">
        <v>31</v>
      </c>
      <c r="AB307" s="26" t="s">
        <v>31</v>
      </c>
      <c r="AC307" s="26">
        <v>19</v>
      </c>
      <c r="AD307" s="26">
        <v>0</v>
      </c>
      <c r="AE307" s="26">
        <v>672</v>
      </c>
      <c r="AF307" s="26">
        <v>4</v>
      </c>
      <c r="AG307" s="26">
        <v>3018</v>
      </c>
      <c r="AH307" s="26">
        <v>96</v>
      </c>
    </row>
    <row r="308" spans="1:34" x14ac:dyDescent="0.2">
      <c r="A308" s="10">
        <f t="shared" si="20"/>
        <v>2025</v>
      </c>
      <c r="B308" s="10">
        <f t="shared" si="21"/>
        <v>1</v>
      </c>
      <c r="D308" s="10" t="s">
        <v>65</v>
      </c>
      <c r="E308" s="25" t="d">
        <v>2025-01-01</v>
      </c>
      <c r="F308" s="26">
        <v>539110</v>
      </c>
      <c r="G308" s="26">
        <v>26912</v>
      </c>
      <c r="H308" s="26">
        <v>68649803</v>
      </c>
      <c r="I308" s="26">
        <v>3933866</v>
      </c>
      <c r="J308" s="26">
        <v>874587</v>
      </c>
      <c r="K308" s="26">
        <v>93923</v>
      </c>
      <c r="L308" s="26">
        <v>91900</v>
      </c>
      <c r="M308" s="26">
        <v>7700</v>
      </c>
      <c r="N308" s="26">
        <v>920500</v>
      </c>
      <c r="O308" s="26">
        <v>116100</v>
      </c>
      <c r="P308" s="26">
        <v>148000</v>
      </c>
      <c r="Q308" s="26">
        <v>7000</v>
      </c>
      <c r="R308" s="26">
        <v>70620287</v>
      </c>
      <c r="S308" s="26">
        <v>3789086</v>
      </c>
      <c r="T308" s="26">
        <v>150968</v>
      </c>
      <c r="U308" s="26">
        <v>13332</v>
      </c>
      <c r="V308" s="26">
        <v>9916</v>
      </c>
      <c r="W308" s="26" t="s">
        <v>31</v>
      </c>
      <c r="X308" s="26" t="s">
        <v>31</v>
      </c>
      <c r="Y308" s="26" t="s">
        <v>31</v>
      </c>
      <c r="Z308" s="26" t="s">
        <v>31</v>
      </c>
      <c r="AA308" s="26" t="s">
        <v>31</v>
      </c>
      <c r="AB308" s="26" t="s">
        <v>31</v>
      </c>
      <c r="AC308" s="26">
        <v>19</v>
      </c>
      <c r="AD308" s="26">
        <v>0</v>
      </c>
      <c r="AE308" s="26">
        <v>678</v>
      </c>
      <c r="AF308" s="26">
        <v>6</v>
      </c>
      <c r="AG308" s="26">
        <v>3171</v>
      </c>
      <c r="AH308" s="26">
        <v>153</v>
      </c>
    </row>
    <row r="309" spans="1:34" x14ac:dyDescent="0.2">
      <c r="A309" s="10">
        <f t="shared" si="20"/>
        <v>2025</v>
      </c>
      <c r="B309" s="10">
        <f t="shared" si="21"/>
        <v>2</v>
      </c>
      <c r="D309" s="10" t="s">
        <v>65</v>
      </c>
      <c r="E309" s="25" t="d">
        <v>2025-02-01</v>
      </c>
      <c r="F309" s="26">
        <v>564709</v>
      </c>
      <c r="G309" s="26">
        <v>25599</v>
      </c>
      <c r="H309" s="26">
        <v>71437762</v>
      </c>
      <c r="I309" s="26">
        <v>2787959</v>
      </c>
      <c r="J309" s="26">
        <v>636198</v>
      </c>
      <c r="K309" s="26">
        <v>-238389</v>
      </c>
      <c r="L309" s="26">
        <v>97440</v>
      </c>
      <c r="M309" s="26">
        <v>5540</v>
      </c>
      <c r="N309" s="26">
        <v>985040</v>
      </c>
      <c r="O309" s="26">
        <v>64540</v>
      </c>
      <c r="P309" s="26">
        <v>152000</v>
      </c>
      <c r="Q309" s="26">
        <v>4000</v>
      </c>
      <c r="R309" s="26">
        <v>73343499</v>
      </c>
      <c r="S309" s="26">
        <v>2722494</v>
      </c>
      <c r="T309" s="26">
        <v>158314</v>
      </c>
      <c r="U309" s="26">
        <v>7346</v>
      </c>
      <c r="V309" s="26">
        <v>9839</v>
      </c>
      <c r="W309" s="26" t="s">
        <v>31</v>
      </c>
      <c r="X309" s="26" t="s">
        <v>31</v>
      </c>
      <c r="Y309" s="26" t="s">
        <v>31</v>
      </c>
      <c r="Z309" s="26" t="s">
        <v>31</v>
      </c>
      <c r="AA309" s="26" t="s">
        <v>31</v>
      </c>
      <c r="AB309" s="26" t="s">
        <v>31</v>
      </c>
      <c r="AC309" s="26">
        <v>19</v>
      </c>
      <c r="AD309" s="26">
        <v>0</v>
      </c>
      <c r="AE309" s="26">
        <v>684</v>
      </c>
      <c r="AF309" s="26">
        <v>6</v>
      </c>
      <c r="AG309" s="26">
        <v>3297</v>
      </c>
      <c r="AH309" s="26">
        <v>126</v>
      </c>
    </row>
    <row r="310" spans="1:34" x14ac:dyDescent="0.2">
      <c r="A310" s="10">
        <f t="shared" si="20"/>
        <v>2025</v>
      </c>
      <c r="B310" s="10">
        <f t="shared" si="21"/>
        <v>3</v>
      </c>
      <c r="D310" s="10" t="s">
        <v>65</v>
      </c>
      <c r="E310" s="25" t="d">
        <v>2025-03-01</v>
      </c>
      <c r="F310" s="26">
        <v>582816</v>
      </c>
      <c r="G310" s="26">
        <v>18107</v>
      </c>
      <c r="H310" s="26">
        <v>73967912</v>
      </c>
      <c r="I310" s="26">
        <v>2523421</v>
      </c>
      <c r="J310" s="26">
        <v>648845</v>
      </c>
      <c r="K310" s="26">
        <v>12647</v>
      </c>
      <c r="L310" s="26">
        <v>97440</v>
      </c>
      <c r="M310" s="26">
        <v>0</v>
      </c>
      <c r="N310" s="26">
        <v>985040</v>
      </c>
      <c r="O310" s="26">
        <v>0</v>
      </c>
      <c r="P310" s="26">
        <v>155000</v>
      </c>
      <c r="Q310" s="26">
        <v>3000</v>
      </c>
      <c r="R310" s="26">
        <v>75600550</v>
      </c>
      <c r="S310" s="26">
        <v>2256139</v>
      </c>
      <c r="T310" s="26">
        <v>160656</v>
      </c>
      <c r="U310" s="26">
        <v>2342</v>
      </c>
      <c r="V310" s="26">
        <v>2895</v>
      </c>
      <c r="W310" s="26" t="s">
        <v>31</v>
      </c>
      <c r="X310" s="26" t="s">
        <v>31</v>
      </c>
      <c r="Y310" s="26" t="s">
        <v>31</v>
      </c>
      <c r="Z310" s="26" t="s">
        <v>31</v>
      </c>
      <c r="AA310" s="26" t="s">
        <v>31</v>
      </c>
      <c r="AB310" s="26" t="s">
        <v>31</v>
      </c>
      <c r="AC310" s="26">
        <v>20</v>
      </c>
      <c r="AD310" s="26">
        <v>1</v>
      </c>
      <c r="AE310" s="26">
        <v>689</v>
      </c>
      <c r="AF310" s="26">
        <v>5</v>
      </c>
      <c r="AG310" s="26">
        <v>3392</v>
      </c>
      <c r="AH310" s="26">
        <v>95</v>
      </c>
    </row>
    <row r="311" spans="1:34" x14ac:dyDescent="0.2">
      <c r="A311" s="10">
        <f t="shared" si="20"/>
        <v>2025</v>
      </c>
      <c r="B311" s="10">
        <f t="shared" si="21"/>
        <v>4</v>
      </c>
      <c r="D311" s="10" t="s">
        <v>65</v>
      </c>
      <c r="E311" s="25" t="d">
        <v>2025-04-01</v>
      </c>
      <c r="F311" s="26">
        <v>608006</v>
      </c>
      <c r="G311" s="26">
        <v>25190</v>
      </c>
      <c r="H311" s="26">
        <v>76908462</v>
      </c>
      <c r="I311" s="26">
        <v>2940550</v>
      </c>
      <c r="J311" s="26">
        <v>680567</v>
      </c>
      <c r="K311" s="26">
        <v>31722</v>
      </c>
      <c r="L311" s="26">
        <v>97440</v>
      </c>
      <c r="M311" s="26">
        <v>0</v>
      </c>
      <c r="N311" s="26">
        <v>985040</v>
      </c>
      <c r="O311" s="26">
        <v>0</v>
      </c>
      <c r="P311" s="26">
        <v>160000</v>
      </c>
      <c r="Q311" s="26">
        <v>5000</v>
      </c>
      <c r="R311" s="26">
        <v>78214023</v>
      </c>
      <c r="S311" s="26">
        <v>2613473</v>
      </c>
      <c r="T311" s="26">
        <v>175452</v>
      </c>
      <c r="U311" s="26">
        <v>14796</v>
      </c>
      <c r="V311" s="26">
        <v>11152</v>
      </c>
      <c r="W311" s="26" t="s">
        <v>31</v>
      </c>
      <c r="X311" s="26" t="s">
        <v>31</v>
      </c>
      <c r="Y311" s="26" t="s">
        <v>31</v>
      </c>
      <c r="Z311" s="26" t="s">
        <v>31</v>
      </c>
      <c r="AA311" s="26" t="s">
        <v>31</v>
      </c>
      <c r="AB311" s="26" t="s">
        <v>31</v>
      </c>
      <c r="AC311" s="26">
        <v>20</v>
      </c>
      <c r="AD311" s="26">
        <v>0</v>
      </c>
      <c r="AE311" s="26">
        <v>691</v>
      </c>
      <c r="AF311" s="26">
        <v>2</v>
      </c>
      <c r="AG311" s="26">
        <v>3535</v>
      </c>
      <c r="AH311" s="26">
        <v>143</v>
      </c>
    </row>
    <row r="312" spans="1:34" x14ac:dyDescent="0.2">
      <c r="A312" s="10">
        <f t="shared" si="20"/>
        <v>2025</v>
      </c>
      <c r="B312" s="10">
        <f t="shared" si="21"/>
        <v>5</v>
      </c>
      <c r="D312" s="10" t="s">
        <v>65</v>
      </c>
      <c r="E312" s="25" t="d">
        <v>2025-05-01</v>
      </c>
      <c r="F312" s="26">
        <v>628646</v>
      </c>
      <c r="G312" s="26">
        <v>20640</v>
      </c>
      <c r="H312" s="26">
        <v>79241681</v>
      </c>
      <c r="I312" s="26">
        <v>2333219</v>
      </c>
      <c r="J312" s="26">
        <v>620932</v>
      </c>
      <c r="K312" s="26">
        <v>-59635</v>
      </c>
      <c r="L312" s="26">
        <v>97440</v>
      </c>
      <c r="M312" s="26">
        <v>0</v>
      </c>
      <c r="N312" s="26">
        <v>985040</v>
      </c>
      <c r="O312" s="26">
        <v>0</v>
      </c>
      <c r="P312" s="26">
        <v>163000</v>
      </c>
      <c r="Q312" s="26">
        <v>3000</v>
      </c>
      <c r="R312" s="26">
        <v>80691563</v>
      </c>
      <c r="S312" s="26">
        <v>2477540</v>
      </c>
      <c r="T312" s="26">
        <v>183803</v>
      </c>
      <c r="U312" s="26">
        <v>8351</v>
      </c>
      <c r="V312" s="26">
        <v>40780</v>
      </c>
      <c r="W312" s="26">
        <v>1</v>
      </c>
      <c r="X312" s="26">
        <v>1</v>
      </c>
      <c r="Y312" s="26" t="s">
        <v>31</v>
      </c>
      <c r="Z312" s="26" t="s">
        <v>31</v>
      </c>
      <c r="AA312" s="26" t="s">
        <v>31</v>
      </c>
      <c r="AB312" s="26" t="s">
        <v>31</v>
      </c>
      <c r="AC312" s="26">
        <v>20</v>
      </c>
      <c r="AD312" s="26">
        <v>0</v>
      </c>
      <c r="AE312" s="26">
        <v>695</v>
      </c>
      <c r="AF312" s="26">
        <v>4</v>
      </c>
      <c r="AG312" s="26">
        <v>3647</v>
      </c>
      <c r="AH312" s="26">
        <v>112</v>
      </c>
    </row>
    <row r="313" spans="1:34" x14ac:dyDescent="0.2">
      <c r="A313" s="10">
        <f t="shared" si="20"/>
        <v>2025</v>
      </c>
      <c r="B313" s="10">
        <f t="shared" si="21"/>
        <v>6</v>
      </c>
      <c r="D313" s="10" t="s">
        <v>65</v>
      </c>
      <c r="E313" s="25" t="d">
        <v>2025-06-01</v>
      </c>
      <c r="F313" s="26">
        <v>648471</v>
      </c>
      <c r="G313" s="26">
        <v>19825</v>
      </c>
      <c r="H313" s="26">
        <v>81836535</v>
      </c>
      <c r="I313" s="26">
        <v>2471323</v>
      </c>
      <c r="J313" s="26">
        <v>637691</v>
      </c>
      <c r="K313" s="26">
        <v>16759</v>
      </c>
      <c r="L313" s="26">
        <v>97440</v>
      </c>
      <c r="M313" s="26">
        <v>0</v>
      </c>
      <c r="N313" s="26">
        <v>985040</v>
      </c>
      <c r="O313" s="26">
        <v>0</v>
      </c>
      <c r="P313" s="26">
        <v>168000</v>
      </c>
      <c r="Q313" s="26">
        <v>5000</v>
      </c>
      <c r="R313" s="26">
        <v>83244318</v>
      </c>
      <c r="S313" s="26">
        <v>2458823</v>
      </c>
      <c r="T313" s="26">
        <v>192594</v>
      </c>
      <c r="U313" s="26">
        <v>8791</v>
      </c>
      <c r="V313" s="26">
        <v>10809</v>
      </c>
      <c r="W313" s="26">
        <v>177</v>
      </c>
      <c r="X313" s="26">
        <v>176</v>
      </c>
      <c r="Y313" s="26" t="s">
        <v>31</v>
      </c>
      <c r="Z313" s="26" t="s">
        <v>31</v>
      </c>
      <c r="AA313" s="26" t="s">
        <v>31</v>
      </c>
      <c r="AB313" s="26" t="s">
        <v>31</v>
      </c>
      <c r="AC313" s="26">
        <v>20</v>
      </c>
      <c r="AD313" s="26">
        <v>0</v>
      </c>
      <c r="AE313" s="26">
        <v>700</v>
      </c>
      <c r="AF313" s="26">
        <v>5</v>
      </c>
      <c r="AG313" s="26">
        <v>3742</v>
      </c>
      <c r="AH313" s="26">
        <v>95</v>
      </c>
    </row>
    <row r="314" spans="1:34" x14ac:dyDescent="0.2">
      <c r="A314" s="10">
        <f t="shared" si="20"/>
        <v>2025</v>
      </c>
      <c r="B314" s="10">
        <f t="shared" si="21"/>
        <v>7</v>
      </c>
      <c r="D314" s="10" t="s">
        <v>65</v>
      </c>
      <c r="E314" s="25" t="d">
        <v>2025-07-01</v>
      </c>
      <c r="F314" s="26">
        <v>675671</v>
      </c>
      <c r="G314" s="26">
        <v>27200</v>
      </c>
      <c r="H314" s="26">
        <v>85829838</v>
      </c>
      <c r="I314" s="26">
        <v>3414854</v>
      </c>
      <c r="J314" s="26">
        <v>791594</v>
      </c>
      <c r="K314" s="26">
        <v>153903</v>
      </c>
      <c r="L314" s="26">
        <v>119110</v>
      </c>
      <c r="M314" s="26">
        <v>21670</v>
      </c>
      <c r="N314" s="26">
        <v>1410000</v>
      </c>
      <c r="O314" s="26">
        <v>424960</v>
      </c>
      <c r="P314" s="26">
        <v>175000</v>
      </c>
      <c r="Q314" s="26">
        <v>7000</v>
      </c>
      <c r="R314" s="26">
        <v>86537264</v>
      </c>
      <c r="S314" s="26">
        <v>2660279</v>
      </c>
      <c r="T314" s="26">
        <v>199456</v>
      </c>
      <c r="U314" s="26">
        <v>6862</v>
      </c>
      <c r="V314" s="26">
        <v>31654</v>
      </c>
      <c r="W314" s="26">
        <v>432</v>
      </c>
      <c r="X314" s="26">
        <v>255</v>
      </c>
      <c r="Y314" s="26" t="s">
        <v>31</v>
      </c>
      <c r="Z314" s="26" t="s">
        <v>31</v>
      </c>
      <c r="AA314" s="26" t="s">
        <v>31</v>
      </c>
      <c r="AB314" s="26" t="s">
        <v>31</v>
      </c>
      <c r="AC314" s="26">
        <v>20</v>
      </c>
      <c r="AD314" s="26">
        <v>0</v>
      </c>
      <c r="AE314" s="26">
        <v>709</v>
      </c>
      <c r="AF314" s="26">
        <v>9</v>
      </c>
      <c r="AG314" s="26">
        <v>3861</v>
      </c>
      <c r="AH314" s="26">
        <v>119</v>
      </c>
    </row>
    <row r="315" spans="1:34" x14ac:dyDescent="0.2">
      <c r="A315" s="10">
        <f t="shared" si="20"/>
        <v>2025</v>
      </c>
      <c r="B315" s="10">
        <f t="shared" si="21"/>
        <v>8</v>
      </c>
      <c r="D315" s="10" t="s">
        <v>65</v>
      </c>
      <c r="E315" s="25" t="d">
        <v>2025-08-01</v>
      </c>
      <c r="F315" s="26">
        <v>695887</v>
      </c>
      <c r="G315" s="26">
        <v>20216</v>
      </c>
      <c r="H315" s="26">
        <v>89860559</v>
      </c>
      <c r="I315" s="26">
        <v>3993265</v>
      </c>
      <c r="J315" s="26">
        <v>802117</v>
      </c>
      <c r="K315" s="26">
        <v>10523</v>
      </c>
      <c r="L315" s="26">
        <v>127500</v>
      </c>
      <c r="M315" s="26">
        <v>8390</v>
      </c>
      <c r="N315" s="26">
        <v>1600000</v>
      </c>
      <c r="O315" s="26">
        <v>190000</v>
      </c>
      <c r="P315" s="26">
        <v>181000</v>
      </c>
      <c r="Q315" s="26">
        <v>6000</v>
      </c>
      <c r="R315" s="26">
        <v>89503300</v>
      </c>
      <c r="S315" s="26">
        <v>2966036</v>
      </c>
      <c r="T315" s="26">
        <v>213822</v>
      </c>
      <c r="U315" s="26">
        <v>14366</v>
      </c>
      <c r="V315" s="26">
        <v>0</v>
      </c>
      <c r="W315" s="26">
        <v>787</v>
      </c>
      <c r="X315" s="26">
        <v>355</v>
      </c>
      <c r="Y315" s="26" t="s">
        <v>31</v>
      </c>
      <c r="Z315" s="26" t="s">
        <v>31</v>
      </c>
      <c r="AA315" s="26" t="s">
        <v>31</v>
      </c>
      <c r="AB315" s="26" t="s">
        <v>31</v>
      </c>
      <c r="AC315" s="26">
        <v>20</v>
      </c>
      <c r="AD315" s="26">
        <v>0</v>
      </c>
      <c r="AE315" s="26">
        <v>709</v>
      </c>
      <c r="AF315" s="26">
        <v>0</v>
      </c>
      <c r="AG315" s="26">
        <v>4005</v>
      </c>
      <c r="AH315" s="26">
        <v>144</v>
      </c>
    </row>
    <row r="316" spans="1:34" x14ac:dyDescent="0.2">
      <c r="A316" s="10">
        <f t="shared" si="20"/>
        <v>2025</v>
      </c>
      <c r="B316" s="10">
        <f t="shared" si="21"/>
        <v>9</v>
      </c>
      <c r="D316" s="10" t="s">
        <v>65</v>
      </c>
      <c r="E316" s="25" t="d">
        <v>2025-09-01</v>
      </c>
      <c r="F316" s="26">
        <v>722528</v>
      </c>
      <c r="G316" s="26">
        <v>26641</v>
      </c>
      <c r="H316" s="26">
        <v>93695904</v>
      </c>
      <c r="I316" s="26">
        <v>3770228</v>
      </c>
      <c r="J316" s="26">
        <v>790081</v>
      </c>
      <c r="K316" s="26">
        <v>-12036</v>
      </c>
      <c r="L316" s="26">
        <v>135600</v>
      </c>
      <c r="M316" s="26">
        <v>8100</v>
      </c>
      <c r="N316" s="26">
        <v>1800000</v>
      </c>
      <c r="O316" s="26">
        <v>200000</v>
      </c>
      <c r="P316" s="26">
        <v>187000</v>
      </c>
      <c r="Q316" s="26">
        <v>6000</v>
      </c>
      <c r="R316" s="26">
        <v>92798032</v>
      </c>
      <c r="S316" s="26">
        <v>3191757</v>
      </c>
      <c r="T316" s="26">
        <v>213822</v>
      </c>
      <c r="U316" s="26">
        <v>0</v>
      </c>
      <c r="V316" s="26">
        <v>0</v>
      </c>
      <c r="W316" s="26">
        <v>1373</v>
      </c>
      <c r="X316" s="26">
        <v>586</v>
      </c>
      <c r="Y316" s="26" t="s">
        <v>31</v>
      </c>
      <c r="Z316" s="26" t="s">
        <v>31</v>
      </c>
      <c r="AA316" s="26" t="s">
        <v>31</v>
      </c>
      <c r="AB316" s="26" t="s">
        <v>31</v>
      </c>
      <c r="AC316" s="26">
        <v>20</v>
      </c>
      <c r="AD316" s="26">
        <v>0</v>
      </c>
      <c r="AE316" s="26">
        <v>710</v>
      </c>
      <c r="AF316" s="26">
        <v>1</v>
      </c>
      <c r="AG316" s="26">
        <v>4119</v>
      </c>
      <c r="AH316" s="26">
        <v>114</v>
      </c>
    </row>
    <row r="317" spans="1:34" x14ac:dyDescent="0.2">
      <c r="A317" s="10">
        <f t="shared" si="20"/>
        <v>2025</v>
      </c>
      <c r="B317" s="10">
        <f t="shared" si="21"/>
        <v>10</v>
      </c>
      <c r="D317" s="10" t="s">
        <v>65</v>
      </c>
      <c r="E317" s="25" t="d">
        <v>2025-10-01</v>
      </c>
      <c r="F317" s="26">
        <v>758967</v>
      </c>
      <c r="G317" s="26">
        <v>36439</v>
      </c>
      <c r="H317" s="26">
        <v>98436888</v>
      </c>
      <c r="I317" s="26">
        <v>4725332</v>
      </c>
      <c r="J317" s="26">
        <v>925549</v>
      </c>
      <c r="K317" s="26">
        <v>135468</v>
      </c>
      <c r="L317" s="26">
        <v>135600</v>
      </c>
      <c r="M317" s="26">
        <v>0</v>
      </c>
      <c r="N317" s="26">
        <v>1800000</v>
      </c>
      <c r="O317" s="26">
        <v>0</v>
      </c>
      <c r="P317" s="26">
        <v>193000</v>
      </c>
      <c r="Q317" s="26">
        <v>6000</v>
      </c>
      <c r="R317" s="26">
        <v>96583297</v>
      </c>
      <c r="S317" s="26">
        <v>3780939</v>
      </c>
      <c r="T317" s="26">
        <v>223844</v>
      </c>
      <c r="U317" s="26">
        <v>10022</v>
      </c>
      <c r="V317" s="26">
        <v>4616</v>
      </c>
      <c r="W317" s="26">
        <v>2002</v>
      </c>
      <c r="X317" s="26">
        <v>629</v>
      </c>
      <c r="Y317" s="26" t="s">
        <v>31</v>
      </c>
      <c r="Z317" s="26" t="s">
        <v>31</v>
      </c>
      <c r="AA317" s="26" t="s">
        <v>31</v>
      </c>
      <c r="AB317" s="26" t="s">
        <v>31</v>
      </c>
      <c r="AC317" s="26">
        <v>20</v>
      </c>
      <c r="AD317" s="26">
        <v>0</v>
      </c>
      <c r="AE317" s="26">
        <v>710</v>
      </c>
      <c r="AF317" s="26">
        <v>0</v>
      </c>
      <c r="AG317" s="26">
        <v>4231</v>
      </c>
      <c r="AH317" s="26">
        <v>112</v>
      </c>
    </row>
    <row r="318" spans="1:34" x14ac:dyDescent="0.2">
      <c r="A318" s="10">
        <f t="shared" si="20"/>
        <v>2025</v>
      </c>
      <c r="B318" s="10">
        <f t="shared" si="21"/>
        <v>11</v>
      </c>
      <c r="D318" s="10" t="s">
        <v>65</v>
      </c>
      <c r="E318" s="25" t="d">
        <v>2025-11-01</v>
      </c>
      <c r="F318" s="26">
        <v>790754</v>
      </c>
      <c r="G318" s="26">
        <v>31787</v>
      </c>
      <c r="H318" s="26">
        <v>106895940</v>
      </c>
      <c r="I318" s="26">
        <v>8222086</v>
      </c>
      <c r="J318" s="26">
        <v>1524703</v>
      </c>
      <c r="K318" s="26">
        <v>599154</v>
      </c>
      <c r="L318" s="26">
        <v>156800</v>
      </c>
      <c r="M318" s="26">
        <v>21200</v>
      </c>
      <c r="N318" s="26">
        <v>2300000</v>
      </c>
      <c r="O318" s="26">
        <v>500000</v>
      </c>
      <c r="P318" s="26">
        <v>207000</v>
      </c>
      <c r="Q318" s="26">
        <v>14000</v>
      </c>
      <c r="R318" s="26">
        <v>103556753</v>
      </c>
      <c r="S318" s="26">
        <v>6723687</v>
      </c>
      <c r="T318" s="26">
        <v>228240</v>
      </c>
      <c r="U318" s="26">
        <v>4396</v>
      </c>
      <c r="V318" s="26">
        <v>16258</v>
      </c>
      <c r="W318" s="26">
        <v>2399</v>
      </c>
      <c r="X318" s="26">
        <v>417</v>
      </c>
      <c r="Y318" s="26" t="s">
        <v>31</v>
      </c>
      <c r="Z318" s="26" t="s">
        <v>31</v>
      </c>
      <c r="AA318" s="26" t="s">
        <v>31</v>
      </c>
      <c r="AB318" s="26" t="s">
        <v>31</v>
      </c>
      <c r="AC318" s="26">
        <v>20</v>
      </c>
      <c r="AD318" s="26">
        <v>0</v>
      </c>
      <c r="AE318" s="26">
        <v>710</v>
      </c>
      <c r="AF318" s="26">
        <v>0</v>
      </c>
      <c r="AG318" s="26">
        <v>4338</v>
      </c>
      <c r="AH318" s="26">
        <v>107</v>
      </c>
    </row>
    <row r="319" spans="1:34" x14ac:dyDescent="0.2">
      <c r="A319" s="10">
        <f t="shared" si="20"/>
        <v>2025</v>
      </c>
      <c r="B319" s="10">
        <f t="shared" si="21"/>
        <v>12</v>
      </c>
      <c r="D319" s="10" t="s">
        <v>65</v>
      </c>
      <c r="E319" s="25" t="d">
        <v>2025-12-01</v>
      </c>
      <c r="F319" s="26">
        <v>820644</v>
      </c>
      <c r="G319" s="26">
        <v>29890</v>
      </c>
      <c r="H319" s="26">
        <v>116790423</v>
      </c>
      <c r="I319" s="26">
        <v>9845737</v>
      </c>
      <c r="J319" s="26">
        <v>1931244</v>
      </c>
      <c r="K319" s="26">
        <v>406541</v>
      </c>
      <c r="L319" s="26">
        <v>163300</v>
      </c>
      <c r="M319" s="26">
        <v>6500</v>
      </c>
      <c r="N319" s="26">
        <v>2400000</v>
      </c>
      <c r="O319" s="26">
        <v>100000</v>
      </c>
      <c r="P319" s="26">
        <v>226000</v>
      </c>
      <c r="Q319" s="26">
        <v>19000</v>
      </c>
      <c r="R319" s="26">
        <v>113153639</v>
      </c>
      <c r="S319" s="26">
        <v>9596889</v>
      </c>
      <c r="T319" s="26">
        <v>228240</v>
      </c>
      <c r="U319" s="26">
        <v>0</v>
      </c>
      <c r="V319" s="26">
        <v>0</v>
      </c>
      <c r="W319" s="26">
        <v>2732</v>
      </c>
      <c r="X319" s="26">
        <v>333</v>
      </c>
      <c r="Y319" s="26" t="s">
        <v>31</v>
      </c>
      <c r="Z319" s="26" t="s">
        <v>31</v>
      </c>
      <c r="AA319" s="26" t="s">
        <v>31</v>
      </c>
      <c r="AB319" s="26" t="s">
        <v>31</v>
      </c>
      <c r="AC319" s="26">
        <v>20</v>
      </c>
      <c r="AD319" s="26">
        <v>0</v>
      </c>
      <c r="AE319" s="26">
        <v>716</v>
      </c>
      <c r="AF319" s="26">
        <v>6</v>
      </c>
      <c r="AG319" s="26">
        <v>4482</v>
      </c>
      <c r="AH319" s="26">
        <v>144</v>
      </c>
    </row>
    <row r="320" spans="1:34" x14ac:dyDescent="0.2">
      <c r="A320" s="10">
        <f t="shared" si="20"/>
        <v>2026</v>
      </c>
      <c r="B320" s="10">
        <f t="shared" si="21"/>
        <v>1</v>
      </c>
      <c r="D320" s="10" t="s">
        <v>65</v>
      </c>
      <c r="E320" s="25" t="d">
        <v>2026-01-01</v>
      </c>
      <c r="F320" s="26">
        <v>881192</v>
      </c>
      <c r="G320" s="26">
        <v>60548</v>
      </c>
      <c r="H320" s="26">
        <v>131357231</v>
      </c>
      <c r="I320" s="26">
        <v>14333224</v>
      </c>
      <c r="J320" s="26">
        <v>2522992</v>
      </c>
      <c r="K320" s="26">
        <v>591748</v>
      </c>
      <c r="L320" s="26">
        <v>168200</v>
      </c>
      <c r="M320" s="26">
        <v>4900</v>
      </c>
      <c r="N320" s="26">
        <v>2600000</v>
      </c>
      <c r="O320" s="26">
        <v>200000</v>
      </c>
      <c r="P320" s="26">
        <v>251000</v>
      </c>
      <c r="Q320" s="26">
        <v>25000</v>
      </c>
      <c r="R320" s="26">
        <v>129771294</v>
      </c>
      <c r="S320" s="26">
        <v>16344352</v>
      </c>
      <c r="T320" s="26">
        <v>228240</v>
      </c>
      <c r="U320" s="26">
        <v>0</v>
      </c>
      <c r="V320" s="26">
        <v>0</v>
      </c>
      <c r="W320" s="26">
        <v>3107</v>
      </c>
      <c r="X320" s="26">
        <v>375</v>
      </c>
      <c r="Y320" s="26" t="s">
        <v>31</v>
      </c>
      <c r="Z320" s="26" t="s">
        <v>31</v>
      </c>
      <c r="AA320" s="26" t="s">
        <v>31</v>
      </c>
      <c r="AB320" s="26" t="s">
        <v>31</v>
      </c>
      <c r="AC320" s="26">
        <v>20</v>
      </c>
      <c r="AD320" s="26">
        <v>0</v>
      </c>
      <c r="AE320" s="26">
        <v>727</v>
      </c>
      <c r="AF320" s="26">
        <v>11</v>
      </c>
      <c r="AG320" s="26">
        <v>4677</v>
      </c>
      <c r="AH320" s="26">
        <v>195</v>
      </c>
    </row>
    <row r="321" spans="1:34" x14ac:dyDescent="0.2">
      <c r="A321" s="10">
        <f t="shared" si="20"/>
        <v>2026</v>
      </c>
      <c r="B321" s="10">
        <f t="shared" si="21"/>
        <v>2</v>
      </c>
      <c r="D321" s="10" t="s">
        <v>65</v>
      </c>
      <c r="E321" s="25" t="d">
        <v>2026-02-01</v>
      </c>
      <c r="F321" s="26">
        <v>935319</v>
      </c>
      <c r="G321" s="26">
        <v>54127</v>
      </c>
      <c r="H321" s="26">
        <v>144722514</v>
      </c>
      <c r="I321" s="26">
        <v>13365283</v>
      </c>
      <c r="J321" s="26">
        <v>2225192</v>
      </c>
      <c r="K321" s="26">
        <v>-297800</v>
      </c>
      <c r="L321" s="26">
        <v>189600</v>
      </c>
      <c r="M321" s="26">
        <v>21400</v>
      </c>
      <c r="N321" s="26">
        <v>3000000</v>
      </c>
      <c r="O321" s="26">
        <v>400000</v>
      </c>
      <c r="P321" s="26">
        <v>271000</v>
      </c>
      <c r="Q321" s="26">
        <v>20000</v>
      </c>
      <c r="R321" s="26">
        <v>143262134</v>
      </c>
      <c r="S321" s="26">
        <v>13484722</v>
      </c>
      <c r="T321" s="26">
        <v>228240</v>
      </c>
      <c r="U321" s="26">
        <v>0</v>
      </c>
      <c r="V321" s="26">
        <v>0</v>
      </c>
      <c r="W321" s="26">
        <v>3659</v>
      </c>
      <c r="X321" s="26">
        <v>552</v>
      </c>
      <c r="Y321" s="26" t="s">
        <v>31</v>
      </c>
      <c r="Z321" s="26" t="s">
        <v>31</v>
      </c>
      <c r="AA321" s="26" t="s">
        <v>31</v>
      </c>
      <c r="AB321" s="26" t="s">
        <v>31</v>
      </c>
      <c r="AC321" s="26">
        <v>20</v>
      </c>
      <c r="AD321" s="26">
        <v>0</v>
      </c>
      <c r="AE321" s="26">
        <v>735</v>
      </c>
      <c r="AF321" s="26">
        <v>8</v>
      </c>
      <c r="AG321" s="26">
        <v>4817</v>
      </c>
      <c r="AH321" s="26">
        <v>140</v>
      </c>
    </row>
    <row r="322" spans="1:34" x14ac:dyDescent="0.2">
      <c r="A322" s="10">
        <f t="shared" si="20"/>
        <v>2026</v>
      </c>
      <c r="B322" s="10">
        <f t="shared" si="21"/>
        <v>3</v>
      </c>
      <c r="D322" s="10" t="s">
        <v>65</v>
      </c>
      <c r="E322" s="25" t="d">
        <v>2026-03-01</v>
      </c>
      <c r="F322" s="26">
        <v>1003581</v>
      </c>
      <c r="G322" s="26">
        <v>68262</v>
      </c>
      <c r="H322" s="26">
        <v>154651047</v>
      </c>
      <c r="I322" s="26">
        <v>9928533</v>
      </c>
      <c r="J322" s="26">
        <v>2117560</v>
      </c>
      <c r="K322" s="26">
        <v>-107632</v>
      </c>
      <c r="L322" s="26">
        <v>189600</v>
      </c>
      <c r="M322" s="26">
        <v>0</v>
      </c>
      <c r="N322" s="26">
        <v>3000000</v>
      </c>
      <c r="O322" s="26">
        <v>0</v>
      </c>
      <c r="P322" s="26">
        <v>284000</v>
      </c>
      <c r="Q322" s="26">
        <v>13000</v>
      </c>
      <c r="R322" s="26">
        <v>153355239</v>
      </c>
      <c r="S322" s="26">
        <v>10093120</v>
      </c>
      <c r="T322" s="26">
        <v>228240</v>
      </c>
      <c r="U322" s="26">
        <v>0</v>
      </c>
      <c r="V322" s="26">
        <v>0</v>
      </c>
      <c r="W322" s="26">
        <v>4066</v>
      </c>
      <c r="X322" s="26">
        <v>407</v>
      </c>
      <c r="Y322" s="26" t="s">
        <v>31</v>
      </c>
      <c r="Z322" s="26" t="s">
        <v>31</v>
      </c>
      <c r="AA322" s="26" t="s">
        <v>31</v>
      </c>
      <c r="AB322" s="26" t="s">
        <v>31</v>
      </c>
      <c r="AC322" s="26">
        <v>20</v>
      </c>
      <c r="AD322" s="26">
        <v>0</v>
      </c>
      <c r="AE322" s="26">
        <v>737</v>
      </c>
      <c r="AF322" s="26">
        <v>2</v>
      </c>
      <c r="AG322" s="26">
        <v>4974</v>
      </c>
      <c r="AH322" s="26">
        <v>157</v>
      </c>
    </row>
    <row r="323" spans="1:34" x14ac:dyDescent="0.2">
      <c r="A323" s="10">
        <f t="shared" si="20"/>
        <v>2026</v>
      </c>
      <c r="B323" s="10">
        <f t="shared" si="21"/>
        <v>4</v>
      </c>
      <c r="D323" s="10" t="s">
        <v>65</v>
      </c>
      <c r="E323" s="25" t="d">
        <v>2026-04-01</v>
      </c>
      <c r="F323" s="26">
        <v>1057215</v>
      </c>
      <c r="G323" s="26">
        <v>53634</v>
      </c>
      <c r="H323" s="26">
        <v>164176944</v>
      </c>
      <c r="I323" s="26">
        <v>9525897</v>
      </c>
      <c r="J323" s="26">
        <v>2016459</v>
      </c>
      <c r="K323" s="26">
        <v>-101101</v>
      </c>
      <c r="L323" s="26">
        <v>221154</v>
      </c>
      <c r="M323" s="26">
        <v>1566</v>
      </c>
      <c r="N323" s="26">
        <v>3557817</v>
      </c>
      <c r="O323" s="26">
        <v>44423</v>
      </c>
      <c r="P323" s="26">
        <v>296000</v>
      </c>
      <c r="Q323" s="26">
        <v>12000</v>
      </c>
      <c r="R323" s="26">
        <v>163429948</v>
      </c>
      <c r="S323" s="26">
        <v>10074755</v>
      </c>
      <c r="T323" s="26">
        <v>286320</v>
      </c>
      <c r="U323" s="26">
        <v>58080</v>
      </c>
      <c r="V323" s="26">
        <v>43727</v>
      </c>
      <c r="W323" s="26">
        <v>4430</v>
      </c>
      <c r="X323" s="26">
        <v>364</v>
      </c>
      <c r="Y323" s="26">
        <v>7057579</v>
      </c>
      <c r="Z323" s="26">
        <v>144389</v>
      </c>
      <c r="AA323" s="26" t="s">
        <v>31</v>
      </c>
      <c r="AB323" s="26" t="s">
        <v>31</v>
      </c>
      <c r="AC323" s="26">
        <v>20</v>
      </c>
      <c r="AD323" s="26">
        <v>0</v>
      </c>
      <c r="AE323" s="26">
        <v>739</v>
      </c>
      <c r="AF323" s="26">
        <v>2</v>
      </c>
      <c r="AG323" s="26">
        <v>5178</v>
      </c>
      <c r="AH323" s="26">
        <v>204</v>
      </c>
    </row>
    <row r="324" spans="1:34" x14ac:dyDescent="0.2">
      <c r="A324" s="10">
        <f t="shared" si="20"/>
        <v>2026</v>
      </c>
      <c r="B324" s="10">
        <f t="shared" si="21"/>
        <v>5</v>
      </c>
      <c r="D324" s="10" t="s">
        <v>65</v>
      </c>
      <c r="E324" s="25" t="d">
        <v>2026-05-01</v>
      </c>
      <c r="F324" s="26">
        <v>1128567</v>
      </c>
      <c r="G324" s="26">
        <v>71352</v>
      </c>
      <c r="H324" s="26">
        <v>172284442</v>
      </c>
      <c r="I324" s="26">
        <v>8107498</v>
      </c>
      <c r="J324" s="26">
        <v>1860358</v>
      </c>
      <c r="K324" s="26">
        <v>-156101</v>
      </c>
      <c r="L324" s="26">
        <v>225686</v>
      </c>
      <c r="M324" s="26">
        <v>4532</v>
      </c>
      <c r="N324" s="26">
        <v>3694554</v>
      </c>
      <c r="O324" s="26">
        <v>136737</v>
      </c>
      <c r="P324" s="26">
        <v>306000</v>
      </c>
      <c r="Q324" s="26">
        <v>10000</v>
      </c>
      <c r="R324" s="26">
        <v>171822416</v>
      </c>
      <c r="S324" s="26">
        <v>8392545</v>
      </c>
      <c r="T324" s="26">
        <v>295773</v>
      </c>
      <c r="U324" s="26">
        <v>9453</v>
      </c>
      <c r="V324" s="26">
        <v>163515</v>
      </c>
      <c r="W324" s="26">
        <v>4766</v>
      </c>
      <c r="X324" s="26">
        <v>336</v>
      </c>
      <c r="Y324" s="26">
        <v>7058773</v>
      </c>
      <c r="Z324" s="26">
        <v>1194</v>
      </c>
      <c r="AA324" s="26" t="s">
        <v>31</v>
      </c>
      <c r="AB324" s="26" t="s">
        <v>31</v>
      </c>
      <c r="AC324" s="26">
        <v>21</v>
      </c>
      <c r="AD324" s="26">
        <v>1</v>
      </c>
      <c r="AE324" s="26">
        <v>746</v>
      </c>
      <c r="AF324" s="26">
        <v>7</v>
      </c>
      <c r="AG324" s="26">
        <v>5356</v>
      </c>
      <c r="AH324" s="26">
        <v>178</v>
      </c>
    </row>
    <row r="325" spans="1:34" x14ac:dyDescent="0.2">
      <c r="A325" s="10">
        <f t="shared" si="20"/>
        <v>2026</v>
      </c>
      <c r="B325" s="10">
        <f t="shared" si="21"/>
        <v>6</v>
      </c>
      <c r="D325" s="10" t="s">
        <v>65</v>
      </c>
      <c r="E325" s="25" t="d">
        <v>2026-06-01</v>
      </c>
      <c r="F325" s="26">
        <v>1191790</v>
      </c>
      <c r="G325" s="26">
        <v>63223</v>
      </c>
      <c r="H325" s="26">
        <v>179414232</v>
      </c>
      <c r="I325" s="26">
        <v>7128407</v>
      </c>
      <c r="J325" s="26">
        <v>1723409</v>
      </c>
      <c r="K325" s="26">
        <v>-136949</v>
      </c>
      <c r="L325" s="26">
        <v>231703</v>
      </c>
      <c r="M325" s="26">
        <v>6017</v>
      </c>
      <c r="N325" s="26">
        <v>3984440</v>
      </c>
      <c r="O325" s="26">
        <v>289886</v>
      </c>
      <c r="P325" s="26">
        <v>316000</v>
      </c>
      <c r="Q325" s="26">
        <v>10000</v>
      </c>
      <c r="R325" s="26">
        <v>179944900</v>
      </c>
      <c r="S325" s="26">
        <v>8113292</v>
      </c>
      <c r="T325" s="26">
        <v>303035</v>
      </c>
      <c r="U325" s="26">
        <v>7262</v>
      </c>
      <c r="V325" s="26">
        <v>66550</v>
      </c>
      <c r="W325" s="26">
        <v>5087</v>
      </c>
      <c r="X325" s="26">
        <v>321</v>
      </c>
      <c r="Y325" s="26">
        <v>7352698</v>
      </c>
      <c r="Z325" s="26">
        <v>293925</v>
      </c>
      <c r="AA325" s="26" t="s">
        <v>31</v>
      </c>
      <c r="AB325" s="26" t="s">
        <v>31</v>
      </c>
      <c r="AC325" s="26">
        <v>21</v>
      </c>
      <c r="AD325" s="26">
        <v>0</v>
      </c>
      <c r="AE325" s="26">
        <v>751</v>
      </c>
      <c r="AF325" s="26">
        <v>5</v>
      </c>
      <c r="AG325" s="26">
        <v>5550</v>
      </c>
      <c r="AH325" s="26">
        <v>194</v>
      </c>
    </row>
    <row r="326" spans="1:34" x14ac:dyDescent="0.2">
      <c r="A326" s="10">
        <f t="shared" si="20"/>
        <v>2026</v>
      </c>
      <c r="B326" s="10">
        <f t="shared" si="21"/>
        <v>7</v>
      </c>
      <c r="D326" s="10" t="s">
        <v>65</v>
      </c>
      <c r="E326" s="25" t="d">
        <v>2026-07-01</v>
      </c>
      <c r="F326" s="26">
        <v>1273152</v>
      </c>
      <c r="G326" s="26">
        <v>81362</v>
      </c>
      <c r="H326" s="26">
        <v>186403596</v>
      </c>
      <c r="I326" s="26">
        <v>6989364</v>
      </c>
      <c r="J326" s="26">
        <v>1689667</v>
      </c>
      <c r="K326" s="26">
        <v>-33742</v>
      </c>
      <c r="L326" s="26">
        <v>233618</v>
      </c>
      <c r="M326" s="26">
        <v>1915</v>
      </c>
      <c r="N326" s="26">
        <v>4219838</v>
      </c>
      <c r="O326" s="26">
        <v>235398</v>
      </c>
      <c r="P326" s="26">
        <v>324000</v>
      </c>
      <c r="Q326" s="26">
        <v>8000</v>
      </c>
      <c r="R326" s="26">
        <v>187215293</v>
      </c>
      <c r="S326" s="26">
        <v>7270393</v>
      </c>
      <c r="T326" s="26">
        <v>309818</v>
      </c>
      <c r="U326" s="26">
        <v>6783</v>
      </c>
      <c r="V326" s="26">
        <v>104689</v>
      </c>
      <c r="W326" s="26">
        <v>5365</v>
      </c>
      <c r="X326" s="26">
        <v>278</v>
      </c>
      <c r="Y326" s="26">
        <v>7455447</v>
      </c>
      <c r="Z326" s="26">
        <v>102749</v>
      </c>
      <c r="AA326" s="26" t="s">
        <v>31</v>
      </c>
      <c r="AB326" s="26" t="s">
        <v>31</v>
      </c>
      <c r="AC326" s="26">
        <v>21</v>
      </c>
      <c r="AD326" s="26">
        <v>0</v>
      </c>
      <c r="AE326" s="26">
        <v>771</v>
      </c>
      <c r="AF326" s="26">
        <v>20</v>
      </c>
      <c r="AG326" s="26">
        <v>5693</v>
      </c>
      <c r="AH326" s="26">
        <v>143</v>
      </c>
    </row>
    <row r="327" spans="1:34" x14ac:dyDescent="0.2">
      <c r="A327" s="10">
        <f t="shared" ref="A327:A351" si="22">YEAR(E327)</f>
        <v>2024</v>
      </c>
      <c r="B327" s="10">
        <f t="shared" ref="B327:B351" si="23">MONTH(E327)</f>
        <v>7</v>
      </c>
      <c r="D327" s="10" t="s">
        <v>81</v>
      </c>
      <c r="E327" s="25" t="d">
        <v>2024-07-01</v>
      </c>
      <c r="F327" s="26">
        <v>497129</v>
      </c>
      <c r="G327" s="26">
        <v>11902</v>
      </c>
      <c r="H327" s="26">
        <v>45159998</v>
      </c>
      <c r="I327" s="26">
        <v>1119395</v>
      </c>
      <c r="J327" s="26">
        <v>263704</v>
      </c>
      <c r="K327" s="26">
        <v>19049</v>
      </c>
      <c r="L327" s="26">
        <v>291800</v>
      </c>
      <c r="M327" s="26">
        <v>2600</v>
      </c>
      <c r="N327" s="26">
        <v>1200000</v>
      </c>
      <c r="O327" s="26">
        <v>0</v>
      </c>
      <c r="P327" s="26">
        <v>19200</v>
      </c>
      <c r="Q327" s="26">
        <v>0</v>
      </c>
      <c r="R327" s="26">
        <v>23826458</v>
      </c>
      <c r="S327" s="26">
        <v>123677</v>
      </c>
      <c r="T327" s="26">
        <v>767904</v>
      </c>
      <c r="U327" s="26">
        <v>8551</v>
      </c>
      <c r="V327" s="26">
        <v>31000</v>
      </c>
      <c r="W327" s="26">
        <v>3473</v>
      </c>
      <c r="X327" s="26">
        <v>139</v>
      </c>
      <c r="Y327" s="26" t="s">
        <v>31</v>
      </c>
      <c r="Z327" s="26" t="s">
        <v>31</v>
      </c>
      <c r="AA327" s="26">
        <v>866642</v>
      </c>
      <c r="AB327" s="26">
        <v>-968</v>
      </c>
      <c r="AC327" s="26">
        <v>5794</v>
      </c>
      <c r="AD327" s="26">
        <v>29</v>
      </c>
      <c r="AE327" s="26" t="s">
        <v>31</v>
      </c>
      <c r="AF327" s="26" t="s">
        <v>31</v>
      </c>
      <c r="AG327" s="26">
        <v>34637</v>
      </c>
      <c r="AH327" s="26">
        <v>12</v>
      </c>
    </row>
    <row r="328" spans="1:34" x14ac:dyDescent="0.2">
      <c r="A328" s="10">
        <f t="shared" si="22"/>
        <v>2024</v>
      </c>
      <c r="B328" s="10">
        <f t="shared" si="23"/>
        <v>8</v>
      </c>
      <c r="D328" s="10" t="s">
        <v>81</v>
      </c>
      <c r="E328" s="25" t="d">
        <v>2024-08-01</v>
      </c>
      <c r="F328" s="26">
        <v>511489</v>
      </c>
      <c r="G328" s="26">
        <v>14360</v>
      </c>
      <c r="H328" s="26">
        <v>46325702</v>
      </c>
      <c r="I328" s="26">
        <v>1086020</v>
      </c>
      <c r="J328" s="26">
        <v>288413</v>
      </c>
      <c r="K328" s="26">
        <v>24709</v>
      </c>
      <c r="L328" s="26">
        <v>295300</v>
      </c>
      <c r="M328" s="26">
        <v>3500</v>
      </c>
      <c r="N328" s="26">
        <v>1300000</v>
      </c>
      <c r="O328" s="26">
        <v>100000</v>
      </c>
      <c r="P328" s="26">
        <v>19200</v>
      </c>
      <c r="Q328" s="26">
        <v>0</v>
      </c>
      <c r="R328" s="26">
        <v>23942105</v>
      </c>
      <c r="S328" s="26">
        <v>115647</v>
      </c>
      <c r="T328" s="26">
        <v>767904</v>
      </c>
      <c r="U328" s="26">
        <v>0</v>
      </c>
      <c r="V328" s="26">
        <v>0</v>
      </c>
      <c r="W328" s="26">
        <v>3625</v>
      </c>
      <c r="X328" s="26">
        <v>152</v>
      </c>
      <c r="Y328" s="26" t="s">
        <v>31</v>
      </c>
      <c r="Z328" s="26" t="s">
        <v>31</v>
      </c>
      <c r="AA328" s="26">
        <v>864929</v>
      </c>
      <c r="AB328" s="26">
        <v>-1713</v>
      </c>
      <c r="AC328" s="26">
        <v>5842</v>
      </c>
      <c r="AD328" s="26">
        <v>48</v>
      </c>
      <c r="AE328" s="26" t="s">
        <v>31</v>
      </c>
      <c r="AF328" s="26" t="s">
        <v>31</v>
      </c>
      <c r="AG328" s="26">
        <v>34653</v>
      </c>
      <c r="AH328" s="26">
        <v>16</v>
      </c>
    </row>
    <row r="329" spans="1:34" x14ac:dyDescent="0.2">
      <c r="A329" s="10">
        <f t="shared" si="22"/>
        <v>2024</v>
      </c>
      <c r="B329" s="10">
        <f t="shared" si="23"/>
        <v>9</v>
      </c>
      <c r="D329" s="10" t="s">
        <v>81</v>
      </c>
      <c r="E329" s="25" t="d">
        <v>2024-09-01</v>
      </c>
      <c r="F329" s="26">
        <v>516120</v>
      </c>
      <c r="G329" s="26">
        <v>4631</v>
      </c>
      <c r="H329" s="26">
        <v>48751349</v>
      </c>
      <c r="I329" s="26">
        <v>2294518</v>
      </c>
      <c r="J329" s="26">
        <v>467481</v>
      </c>
      <c r="K329" s="26">
        <v>179068</v>
      </c>
      <c r="L329" s="26">
        <v>299000</v>
      </c>
      <c r="M329" s="26">
        <v>3700</v>
      </c>
      <c r="N329" s="26">
        <v>1300000</v>
      </c>
      <c r="O329" s="26">
        <v>0</v>
      </c>
      <c r="P329" s="26">
        <v>19200</v>
      </c>
      <c r="Q329" s="26">
        <v>0</v>
      </c>
      <c r="R329" s="26">
        <v>24061025</v>
      </c>
      <c r="S329" s="26">
        <v>118920</v>
      </c>
      <c r="T329" s="26">
        <v>773328</v>
      </c>
      <c r="U329" s="26">
        <v>5424</v>
      </c>
      <c r="V329" s="26">
        <v>0</v>
      </c>
      <c r="W329" s="26">
        <v>3784</v>
      </c>
      <c r="X329" s="26">
        <v>159</v>
      </c>
      <c r="Y329" s="26" t="s">
        <v>31</v>
      </c>
      <c r="Z329" s="26" t="s">
        <v>31</v>
      </c>
      <c r="AA329" s="26">
        <v>867880</v>
      </c>
      <c r="AB329" s="26">
        <v>2951</v>
      </c>
      <c r="AC329" s="26">
        <v>5880</v>
      </c>
      <c r="AD329" s="26">
        <v>38</v>
      </c>
      <c r="AE329" s="26" t="s">
        <v>31</v>
      </c>
      <c r="AF329" s="26" t="s">
        <v>31</v>
      </c>
      <c r="AG329" s="26">
        <v>34708</v>
      </c>
      <c r="AH329" s="26">
        <v>55</v>
      </c>
    </row>
    <row r="330" spans="1:34" x14ac:dyDescent="0.2">
      <c r="A330" s="10">
        <f t="shared" si="22"/>
        <v>2024</v>
      </c>
      <c r="B330" s="10">
        <f t="shared" si="23"/>
        <v>10</v>
      </c>
      <c r="D330" s="10" t="s">
        <v>81</v>
      </c>
      <c r="E330" s="25" t="d">
        <v>2024-10-01</v>
      </c>
      <c r="F330" s="26">
        <v>522395</v>
      </c>
      <c r="G330" s="26">
        <v>6275</v>
      </c>
      <c r="H330" s="26">
        <v>50875102</v>
      </c>
      <c r="I330" s="26">
        <v>2098740</v>
      </c>
      <c r="J330" s="26">
        <v>443169</v>
      </c>
      <c r="K330" s="26">
        <v>-24312</v>
      </c>
      <c r="L330" s="26">
        <v>299000</v>
      </c>
      <c r="M330" s="26">
        <v>0</v>
      </c>
      <c r="N330" s="26">
        <v>1300000</v>
      </c>
      <c r="O330" s="26">
        <v>0</v>
      </c>
      <c r="P330" s="26">
        <v>19200</v>
      </c>
      <c r="Q330" s="26">
        <v>0</v>
      </c>
      <c r="R330" s="26">
        <v>24175250</v>
      </c>
      <c r="S330" s="26">
        <v>114225</v>
      </c>
      <c r="T330" s="26">
        <v>785229</v>
      </c>
      <c r="U330" s="26">
        <v>11901</v>
      </c>
      <c r="V330" s="26">
        <v>0</v>
      </c>
      <c r="W330" s="26">
        <v>3943</v>
      </c>
      <c r="X330" s="26">
        <v>159</v>
      </c>
      <c r="Y330" s="26" t="s">
        <v>31</v>
      </c>
      <c r="Z330" s="26" t="s">
        <v>31</v>
      </c>
      <c r="AA330" s="26">
        <v>866982</v>
      </c>
      <c r="AB330" s="26">
        <v>-898</v>
      </c>
      <c r="AC330" s="26">
        <v>5907</v>
      </c>
      <c r="AD330" s="26">
        <v>27</v>
      </c>
      <c r="AE330" s="26" t="s">
        <v>31</v>
      </c>
      <c r="AF330" s="26" t="s">
        <v>31</v>
      </c>
      <c r="AG330" s="26">
        <v>34779</v>
      </c>
      <c r="AH330" s="26">
        <v>71</v>
      </c>
    </row>
    <row r="331" spans="1:34" x14ac:dyDescent="0.2">
      <c r="A331" s="10">
        <f t="shared" si="22"/>
        <v>2024</v>
      </c>
      <c r="B331" s="10">
        <f t="shared" si="23"/>
        <v>11</v>
      </c>
      <c r="D331" s="10" t="s">
        <v>81</v>
      </c>
      <c r="E331" s="25" t="d">
        <v>2024-11-01</v>
      </c>
      <c r="F331" s="26">
        <v>534152</v>
      </c>
      <c r="G331" s="26">
        <v>11757</v>
      </c>
      <c r="H331" s="26">
        <v>54217850</v>
      </c>
      <c r="I331" s="26">
        <v>3014208</v>
      </c>
      <c r="J331" s="26">
        <v>851036</v>
      </c>
      <c r="K331" s="26">
        <v>407867</v>
      </c>
      <c r="L331" s="26">
        <v>299000</v>
      </c>
      <c r="M331" s="26">
        <v>0</v>
      </c>
      <c r="N331" s="26">
        <v>1300000</v>
      </c>
      <c r="O331" s="26">
        <v>0</v>
      </c>
      <c r="P331" s="26">
        <v>19200</v>
      </c>
      <c r="Q331" s="26">
        <v>0</v>
      </c>
      <c r="R331" s="26">
        <v>24289060</v>
      </c>
      <c r="S331" s="26">
        <v>113810</v>
      </c>
      <c r="T331" s="26">
        <v>794156</v>
      </c>
      <c r="U331" s="26">
        <v>8927</v>
      </c>
      <c r="V331" s="26">
        <v>6412</v>
      </c>
      <c r="W331" s="26">
        <v>4108</v>
      </c>
      <c r="X331" s="26">
        <v>165</v>
      </c>
      <c r="Y331" s="26" t="s">
        <v>31</v>
      </c>
      <c r="Z331" s="26" t="s">
        <v>31</v>
      </c>
      <c r="AA331" s="26">
        <v>869271</v>
      </c>
      <c r="AB331" s="26">
        <v>2289</v>
      </c>
      <c r="AC331" s="26">
        <v>5939</v>
      </c>
      <c r="AD331" s="26">
        <v>32</v>
      </c>
      <c r="AE331" s="26">
        <v>128128</v>
      </c>
      <c r="AF331" s="26">
        <v>136</v>
      </c>
      <c r="AG331" s="26">
        <v>34864</v>
      </c>
      <c r="AH331" s="26">
        <v>85</v>
      </c>
    </row>
    <row r="332" spans="1:34" x14ac:dyDescent="0.2">
      <c r="A332" s="10">
        <f t="shared" si="22"/>
        <v>2024</v>
      </c>
      <c r="B332" s="10">
        <f t="shared" si="23"/>
        <v>12</v>
      </c>
      <c r="D332" s="10" t="s">
        <v>81</v>
      </c>
      <c r="E332" s="25" t="d">
        <v>2024-12-01</v>
      </c>
      <c r="F332" s="26">
        <v>547620</v>
      </c>
      <c r="G332" s="26">
        <v>13468</v>
      </c>
      <c r="H332" s="26">
        <v>60013034</v>
      </c>
      <c r="I332" s="26">
        <v>5663548</v>
      </c>
      <c r="J332" s="26">
        <v>1318112</v>
      </c>
      <c r="K332" s="26">
        <v>467076</v>
      </c>
      <c r="L332" s="26">
        <v>308200</v>
      </c>
      <c r="M332" s="26">
        <v>9200</v>
      </c>
      <c r="N332" s="26">
        <v>1400000</v>
      </c>
      <c r="O332" s="26">
        <v>100000</v>
      </c>
      <c r="P332" s="26">
        <v>49800</v>
      </c>
      <c r="Q332" s="26">
        <v>30600</v>
      </c>
      <c r="R332" s="26">
        <v>24989041</v>
      </c>
      <c r="S332" s="26">
        <v>604272</v>
      </c>
      <c r="T332" s="26">
        <v>797650</v>
      </c>
      <c r="U332" s="26">
        <v>3494</v>
      </c>
      <c r="V332" s="26">
        <v>11332</v>
      </c>
      <c r="W332" s="26">
        <v>4263</v>
      </c>
      <c r="X332" s="26">
        <v>155</v>
      </c>
      <c r="Y332" s="26" t="s">
        <v>31</v>
      </c>
      <c r="Z332" s="26" t="s">
        <v>31</v>
      </c>
      <c r="AA332" s="26">
        <v>878512</v>
      </c>
      <c r="AB332" s="26">
        <v>9241</v>
      </c>
      <c r="AC332" s="26">
        <v>5968</v>
      </c>
      <c r="AD332" s="26">
        <v>29</v>
      </c>
      <c r="AE332" s="26">
        <v>132963</v>
      </c>
      <c r="AF332" s="26">
        <v>4646</v>
      </c>
      <c r="AG332" s="26">
        <v>34971</v>
      </c>
      <c r="AH332" s="26">
        <v>107</v>
      </c>
    </row>
    <row r="333" spans="1:34" x14ac:dyDescent="0.2">
      <c r="A333" s="10">
        <f t="shared" si="22"/>
        <v>2025</v>
      </c>
      <c r="B333" s="10">
        <f t="shared" si="23"/>
        <v>1</v>
      </c>
      <c r="D333" s="10" t="s">
        <v>81</v>
      </c>
      <c r="E333" s="25" t="d">
        <v>2025-01-01</v>
      </c>
      <c r="F333" s="26">
        <v>579737</v>
      </c>
      <c r="G333" s="26">
        <v>32117</v>
      </c>
      <c r="H333" s="26">
        <v>67955184</v>
      </c>
      <c r="I333" s="26">
        <v>7711764</v>
      </c>
      <c r="J333" s="26">
        <v>1787918</v>
      </c>
      <c r="K333" s="26">
        <v>469806</v>
      </c>
      <c r="L333" s="26">
        <v>319600</v>
      </c>
      <c r="M333" s="26">
        <v>11400</v>
      </c>
      <c r="N333" s="26">
        <v>1600000</v>
      </c>
      <c r="O333" s="26">
        <v>200000</v>
      </c>
      <c r="P333" s="26">
        <v>62000</v>
      </c>
      <c r="Q333" s="26">
        <v>12200</v>
      </c>
      <c r="R333" s="26">
        <v>27090996</v>
      </c>
      <c r="S333" s="26">
        <v>1933101</v>
      </c>
      <c r="T333" s="26">
        <v>814829</v>
      </c>
      <c r="U333" s="26">
        <v>17179</v>
      </c>
      <c r="V333" s="26">
        <v>25851</v>
      </c>
      <c r="W333" s="26">
        <v>4404</v>
      </c>
      <c r="X333" s="26">
        <v>141</v>
      </c>
      <c r="Y333" s="26" t="s">
        <v>31</v>
      </c>
      <c r="Z333" s="26" t="s">
        <v>31</v>
      </c>
      <c r="AA333" s="26">
        <v>895236</v>
      </c>
      <c r="AB333" s="26">
        <v>16724</v>
      </c>
      <c r="AC333" s="26">
        <v>5991</v>
      </c>
      <c r="AD333" s="26">
        <v>23</v>
      </c>
      <c r="AE333" s="26">
        <v>137231</v>
      </c>
      <c r="AF333" s="26">
        <v>4268</v>
      </c>
      <c r="AG333" s="26">
        <v>35119</v>
      </c>
      <c r="AH333" s="26">
        <v>148</v>
      </c>
    </row>
    <row r="334" spans="1:34" x14ac:dyDescent="0.2">
      <c r="A334" s="10">
        <f t="shared" si="22"/>
        <v>2025</v>
      </c>
      <c r="B334" s="10">
        <f t="shared" si="23"/>
        <v>2</v>
      </c>
      <c r="D334" s="10" t="s">
        <v>81</v>
      </c>
      <c r="E334" s="25" t="d">
        <v>2025-02-01</v>
      </c>
      <c r="F334" s="26">
        <v>606455</v>
      </c>
      <c r="G334" s="26">
        <v>26718</v>
      </c>
      <c r="H334" s="26">
        <v>73566695</v>
      </c>
      <c r="I334" s="26">
        <v>5611511</v>
      </c>
      <c r="J334" s="26">
        <v>1226622</v>
      </c>
      <c r="K334" s="26">
        <v>-561296</v>
      </c>
      <c r="L334" s="26">
        <v>328780</v>
      </c>
      <c r="M334" s="26">
        <v>9180</v>
      </c>
      <c r="N334" s="26">
        <v>1620000</v>
      </c>
      <c r="O334" s="26">
        <v>20000</v>
      </c>
      <c r="P334" s="26">
        <v>70400</v>
      </c>
      <c r="Q334" s="26">
        <v>8400</v>
      </c>
      <c r="R334" s="26">
        <v>29755017</v>
      </c>
      <c r="S334" s="26">
        <v>2664021</v>
      </c>
      <c r="T334" s="26">
        <v>825430</v>
      </c>
      <c r="U334" s="26">
        <v>10601</v>
      </c>
      <c r="V334" s="26">
        <v>19505</v>
      </c>
      <c r="W334" s="26">
        <v>4559</v>
      </c>
      <c r="X334" s="26">
        <v>155</v>
      </c>
      <c r="Y334" s="26" t="s">
        <v>31</v>
      </c>
      <c r="Z334" s="26" t="s">
        <v>31</v>
      </c>
      <c r="AA334" s="26">
        <v>903309</v>
      </c>
      <c r="AB334" s="26">
        <v>8073</v>
      </c>
      <c r="AC334" s="26">
        <v>6006</v>
      </c>
      <c r="AD334" s="26">
        <v>15</v>
      </c>
      <c r="AE334" s="26">
        <v>140761</v>
      </c>
      <c r="AF334" s="26">
        <v>3530</v>
      </c>
      <c r="AG334" s="26">
        <v>35264</v>
      </c>
      <c r="AH334" s="26">
        <v>145</v>
      </c>
    </row>
    <row r="335" spans="1:34" x14ac:dyDescent="0.2">
      <c r="A335" s="10">
        <f t="shared" si="22"/>
        <v>2025</v>
      </c>
      <c r="B335" s="10">
        <f t="shared" si="23"/>
        <v>3</v>
      </c>
      <c r="D335" s="10" t="s">
        <v>81</v>
      </c>
      <c r="E335" s="25" t="d">
        <v>2025-03-01</v>
      </c>
      <c r="F335" s="26">
        <v>626982</v>
      </c>
      <c r="G335" s="26">
        <v>20527</v>
      </c>
      <c r="H335" s="26">
        <v>77874718</v>
      </c>
      <c r="I335" s="26">
        <v>4258577</v>
      </c>
      <c r="J335" s="26">
        <v>1142304</v>
      </c>
      <c r="K335" s="26">
        <v>-84318</v>
      </c>
      <c r="L335" s="26">
        <v>328780</v>
      </c>
      <c r="M335" s="26">
        <v>0</v>
      </c>
      <c r="N335" s="26">
        <v>1620000</v>
      </c>
      <c r="O335" s="26">
        <v>0</v>
      </c>
      <c r="P335" s="26">
        <v>76600</v>
      </c>
      <c r="Q335" s="26">
        <v>6200</v>
      </c>
      <c r="R335" s="26">
        <v>32128031</v>
      </c>
      <c r="S335" s="26">
        <v>2373014</v>
      </c>
      <c r="T335" s="26">
        <v>829861</v>
      </c>
      <c r="U335" s="26">
        <v>4431</v>
      </c>
      <c r="V335" s="26">
        <v>9693</v>
      </c>
      <c r="W335" s="26">
        <v>4687</v>
      </c>
      <c r="X335" s="26">
        <v>128</v>
      </c>
      <c r="Y335" s="26" t="s">
        <v>31</v>
      </c>
      <c r="Z335" s="26" t="s">
        <v>31</v>
      </c>
      <c r="AA335" s="26">
        <v>912333</v>
      </c>
      <c r="AB335" s="26">
        <v>9024</v>
      </c>
      <c r="AC335" s="26">
        <v>6027</v>
      </c>
      <c r="AD335" s="26">
        <v>21</v>
      </c>
      <c r="AE335" s="26">
        <v>144013</v>
      </c>
      <c r="AF335" s="26">
        <v>3252</v>
      </c>
      <c r="AG335" s="26">
        <v>35372</v>
      </c>
      <c r="AH335" s="26">
        <v>108</v>
      </c>
    </row>
    <row r="336" spans="1:34" x14ac:dyDescent="0.2">
      <c r="A336" s="10">
        <f t="shared" si="22"/>
        <v>2025</v>
      </c>
      <c r="B336" s="10">
        <f t="shared" si="23"/>
        <v>4</v>
      </c>
      <c r="D336" s="10" t="s">
        <v>81</v>
      </c>
      <c r="E336" s="25" t="d">
        <v>2025-04-01</v>
      </c>
      <c r="F336" s="26">
        <v>650296</v>
      </c>
      <c r="G336" s="26">
        <v>23314</v>
      </c>
      <c r="H336" s="26">
        <v>82422346</v>
      </c>
      <c r="I336" s="26">
        <v>4518131</v>
      </c>
      <c r="J336" s="26">
        <v>1105883</v>
      </c>
      <c r="K336" s="26">
        <v>-36421</v>
      </c>
      <c r="L336" s="26">
        <v>328780</v>
      </c>
      <c r="M336" s="26">
        <v>0</v>
      </c>
      <c r="N336" s="26">
        <v>1620000</v>
      </c>
      <c r="O336" s="26">
        <v>0</v>
      </c>
      <c r="P336" s="26">
        <v>81900</v>
      </c>
      <c r="Q336" s="26">
        <v>5300</v>
      </c>
      <c r="R336" s="26">
        <v>33988113</v>
      </c>
      <c r="S336" s="26">
        <v>1860082</v>
      </c>
      <c r="T336" s="26">
        <v>834243</v>
      </c>
      <c r="U336" s="26">
        <v>4382</v>
      </c>
      <c r="V336" s="26">
        <v>23729</v>
      </c>
      <c r="W336" s="26">
        <v>4835</v>
      </c>
      <c r="X336" s="26">
        <v>148</v>
      </c>
      <c r="Y336" s="26" t="s">
        <v>31</v>
      </c>
      <c r="Z336" s="26" t="s">
        <v>31</v>
      </c>
      <c r="AA336" s="26">
        <v>914321</v>
      </c>
      <c r="AB336" s="26">
        <v>1988</v>
      </c>
      <c r="AC336" s="26">
        <v>6055</v>
      </c>
      <c r="AD336" s="26">
        <v>28</v>
      </c>
      <c r="AE336" s="26">
        <v>147839</v>
      </c>
      <c r="AF336" s="26">
        <v>3826</v>
      </c>
      <c r="AG336" s="26">
        <v>35524</v>
      </c>
      <c r="AH336" s="26">
        <v>152</v>
      </c>
    </row>
    <row r="337" spans="1:34" x14ac:dyDescent="0.2">
      <c r="A337" s="10">
        <f t="shared" si="22"/>
        <v>2025</v>
      </c>
      <c r="B337" s="10">
        <f t="shared" si="23"/>
        <v>5</v>
      </c>
      <c r="D337" s="10" t="s">
        <v>81</v>
      </c>
      <c r="E337" s="25" t="d">
        <v>2025-05-01</v>
      </c>
      <c r="F337" s="26">
        <v>672131</v>
      </c>
      <c r="G337" s="26">
        <v>21835</v>
      </c>
      <c r="H337" s="26">
        <v>86000076</v>
      </c>
      <c r="I337" s="26">
        <v>3577730</v>
      </c>
      <c r="J337" s="26">
        <v>980940</v>
      </c>
      <c r="K337" s="26">
        <v>-124943</v>
      </c>
      <c r="L337" s="26">
        <v>328780</v>
      </c>
      <c r="M337" s="26">
        <v>0</v>
      </c>
      <c r="N337" s="26">
        <v>1620000</v>
      </c>
      <c r="O337" s="26">
        <v>0</v>
      </c>
      <c r="P337" s="26">
        <v>85600</v>
      </c>
      <c r="Q337" s="26">
        <v>3700</v>
      </c>
      <c r="R337" s="26">
        <v>35206413</v>
      </c>
      <c r="S337" s="26">
        <v>1214305</v>
      </c>
      <c r="T337" s="26">
        <v>840165</v>
      </c>
      <c r="U337" s="26">
        <v>5922</v>
      </c>
      <c r="V337" s="26">
        <v>18650</v>
      </c>
      <c r="W337" s="26">
        <v>4978</v>
      </c>
      <c r="X337" s="26">
        <v>143</v>
      </c>
      <c r="Y337" s="26" t="s">
        <v>31</v>
      </c>
      <c r="Z337" s="26" t="s">
        <v>31</v>
      </c>
      <c r="AA337" s="26">
        <v>914589</v>
      </c>
      <c r="AB337" s="26">
        <v>268</v>
      </c>
      <c r="AC337" s="26">
        <v>6077</v>
      </c>
      <c r="AD337" s="26">
        <v>22</v>
      </c>
      <c r="AE337" s="26">
        <v>151186</v>
      </c>
      <c r="AF337" s="26">
        <v>3347</v>
      </c>
      <c r="AG337" s="26">
        <v>35614</v>
      </c>
      <c r="AH337" s="26">
        <v>90</v>
      </c>
    </row>
    <row r="338" spans="1:34" x14ac:dyDescent="0.2">
      <c r="A338" s="10">
        <f t="shared" si="22"/>
        <v>2025</v>
      </c>
      <c r="B338" s="10">
        <f t="shared" si="23"/>
        <v>6</v>
      </c>
      <c r="D338" s="10" t="s">
        <v>81</v>
      </c>
      <c r="E338" s="25" t="d">
        <v>2025-06-01</v>
      </c>
      <c r="F338" s="26">
        <v>692694</v>
      </c>
      <c r="G338" s="26">
        <v>20563</v>
      </c>
      <c r="H338" s="26">
        <v>89600926</v>
      </c>
      <c r="I338" s="26">
        <v>3590256</v>
      </c>
      <c r="J338" s="26">
        <v>912622</v>
      </c>
      <c r="K338" s="26">
        <v>-68318</v>
      </c>
      <c r="L338" s="26">
        <v>328780</v>
      </c>
      <c r="M338" s="26">
        <v>0</v>
      </c>
      <c r="N338" s="26">
        <v>1620000</v>
      </c>
      <c r="O338" s="26">
        <v>0</v>
      </c>
      <c r="P338" s="26">
        <v>89000</v>
      </c>
      <c r="Q338" s="26">
        <v>3400</v>
      </c>
      <c r="R338" s="26">
        <v>36185754</v>
      </c>
      <c r="S338" s="26">
        <v>979341</v>
      </c>
      <c r="T338" s="26">
        <v>840165</v>
      </c>
      <c r="U338" s="26">
        <v>0</v>
      </c>
      <c r="V338" s="26">
        <v>0</v>
      </c>
      <c r="W338" s="26">
        <v>5171</v>
      </c>
      <c r="X338" s="26">
        <v>193</v>
      </c>
      <c r="Y338" s="26" t="s">
        <v>31</v>
      </c>
      <c r="Z338" s="26" t="s">
        <v>31</v>
      </c>
      <c r="AA338" s="26">
        <v>914885</v>
      </c>
      <c r="AB338" s="26">
        <v>296</v>
      </c>
      <c r="AC338" s="26">
        <v>6121</v>
      </c>
      <c r="AD338" s="26">
        <v>44</v>
      </c>
      <c r="AE338" s="26">
        <v>155635</v>
      </c>
      <c r="AF338" s="26">
        <v>4449</v>
      </c>
      <c r="AG338" s="26">
        <v>35707</v>
      </c>
      <c r="AH338" s="26">
        <v>93</v>
      </c>
    </row>
    <row r="339" spans="1:34" x14ac:dyDescent="0.2">
      <c r="A339" s="10">
        <f t="shared" si="22"/>
        <v>2025</v>
      </c>
      <c r="B339" s="10">
        <f t="shared" si="23"/>
        <v>7</v>
      </c>
      <c r="D339" s="10" t="s">
        <v>81</v>
      </c>
      <c r="E339" s="25" t="d">
        <v>2025-07-01</v>
      </c>
      <c r="F339" s="26">
        <v>710237</v>
      </c>
      <c r="G339" s="26">
        <v>17543</v>
      </c>
      <c r="H339" s="26">
        <v>92844300</v>
      </c>
      <c r="I339" s="26">
        <v>3151328</v>
      </c>
      <c r="J339" s="26">
        <v>897037</v>
      </c>
      <c r="K339" s="26">
        <v>-15585</v>
      </c>
      <c r="L339" s="26">
        <v>352630</v>
      </c>
      <c r="M339" s="26">
        <v>23850</v>
      </c>
      <c r="N339" s="26">
        <v>1850000</v>
      </c>
      <c r="O339" s="26">
        <v>230000</v>
      </c>
      <c r="P339" s="26">
        <v>94500</v>
      </c>
      <c r="Q339" s="26">
        <v>5500</v>
      </c>
      <c r="R339" s="26">
        <v>37144083</v>
      </c>
      <c r="S339" s="26">
        <v>953949</v>
      </c>
      <c r="T339" s="26">
        <v>853088</v>
      </c>
      <c r="U339" s="26">
        <v>12923</v>
      </c>
      <c r="V339" s="26">
        <v>0</v>
      </c>
      <c r="W339" s="26">
        <v>5334</v>
      </c>
      <c r="X339" s="26">
        <v>163</v>
      </c>
      <c r="Y339" s="26" t="s">
        <v>31</v>
      </c>
      <c r="Z339" s="26" t="s">
        <v>31</v>
      </c>
      <c r="AA339" s="26">
        <v>915938</v>
      </c>
      <c r="AB339" s="26">
        <v>1053</v>
      </c>
      <c r="AC339" s="26">
        <v>6154</v>
      </c>
      <c r="AD339" s="26">
        <v>33</v>
      </c>
      <c r="AE339" s="26">
        <v>159013</v>
      </c>
      <c r="AF339" s="26">
        <v>3350</v>
      </c>
      <c r="AG339" s="26">
        <v>35805</v>
      </c>
      <c r="AH339" s="26">
        <v>98</v>
      </c>
    </row>
    <row r="340" spans="1:34" x14ac:dyDescent="0.2">
      <c r="A340" s="10">
        <f t="shared" si="22"/>
        <v>2025</v>
      </c>
      <c r="B340" s="10">
        <f t="shared" si="23"/>
        <v>8</v>
      </c>
      <c r="D340" s="10" t="s">
        <v>81</v>
      </c>
      <c r="E340" s="25" t="d">
        <v>2025-08-01</v>
      </c>
      <c r="F340" s="26">
        <v>727579</v>
      </c>
      <c r="G340" s="26">
        <v>17342</v>
      </c>
      <c r="H340" s="26">
        <v>96542662</v>
      </c>
      <c r="I340" s="26">
        <v>3696978</v>
      </c>
      <c r="J340" s="26">
        <v>951252</v>
      </c>
      <c r="K340" s="26">
        <v>54215</v>
      </c>
      <c r="L340" s="26">
        <v>364200</v>
      </c>
      <c r="M340" s="26">
        <v>11570</v>
      </c>
      <c r="N340" s="26">
        <v>2000000</v>
      </c>
      <c r="O340" s="26">
        <v>150000</v>
      </c>
      <c r="P340" s="26">
        <v>99900</v>
      </c>
      <c r="Q340" s="26">
        <v>5400</v>
      </c>
      <c r="R340" s="26">
        <v>39058104</v>
      </c>
      <c r="S340" s="26">
        <v>1740973</v>
      </c>
      <c r="T340" s="26">
        <v>862799</v>
      </c>
      <c r="U340" s="26">
        <v>9711</v>
      </c>
      <c r="V340" s="26">
        <v>12534</v>
      </c>
      <c r="W340" s="26">
        <v>5556</v>
      </c>
      <c r="X340" s="26">
        <v>222</v>
      </c>
      <c r="Y340" s="26" t="s">
        <v>31</v>
      </c>
      <c r="Z340" s="26" t="s">
        <v>31</v>
      </c>
      <c r="AA340" s="26">
        <v>917974</v>
      </c>
      <c r="AB340" s="26">
        <v>2036</v>
      </c>
      <c r="AC340" s="26">
        <v>6180</v>
      </c>
      <c r="AD340" s="26">
        <v>26</v>
      </c>
      <c r="AE340" s="26">
        <v>162614</v>
      </c>
      <c r="AF340" s="26">
        <v>3601</v>
      </c>
      <c r="AG340" s="26">
        <v>35934</v>
      </c>
      <c r="AH340" s="26">
        <v>129</v>
      </c>
    </row>
    <row r="341" spans="1:34" x14ac:dyDescent="0.2">
      <c r="A341" s="10">
        <f t="shared" si="22"/>
        <v>2025</v>
      </c>
      <c r="B341" s="10">
        <f t="shared" si="23"/>
        <v>9</v>
      </c>
      <c r="D341" s="10" t="s">
        <v>81</v>
      </c>
      <c r="E341" s="25" t="d">
        <v>2025-09-01</v>
      </c>
      <c r="F341" s="26">
        <v>748989</v>
      </c>
      <c r="G341" s="26">
        <v>21410</v>
      </c>
      <c r="H341" s="26">
        <v>101296081</v>
      </c>
      <c r="I341" s="26">
        <v>4753419</v>
      </c>
      <c r="J341" s="26">
        <v>1182134</v>
      </c>
      <c r="K341" s="26">
        <v>230882</v>
      </c>
      <c r="L341" s="26">
        <v>368900</v>
      </c>
      <c r="M341" s="26">
        <v>4700</v>
      </c>
      <c r="N341" s="26">
        <v>2000000</v>
      </c>
      <c r="O341" s="26">
        <v>0</v>
      </c>
      <c r="P341" s="26">
        <v>106000</v>
      </c>
      <c r="Q341" s="26">
        <v>6100</v>
      </c>
      <c r="R341" s="26">
        <v>40929754</v>
      </c>
      <c r="S341" s="26">
        <v>1865900</v>
      </c>
      <c r="T341" s="26">
        <v>871232</v>
      </c>
      <c r="U341" s="26">
        <v>8433</v>
      </c>
      <c r="V341" s="26">
        <v>2963</v>
      </c>
      <c r="W341" s="26">
        <v>5801</v>
      </c>
      <c r="X341" s="26">
        <v>245</v>
      </c>
      <c r="Y341" s="26" t="s">
        <v>31</v>
      </c>
      <c r="Z341" s="26" t="s">
        <v>31</v>
      </c>
      <c r="AA341" s="26">
        <v>917370</v>
      </c>
      <c r="AB341" s="26">
        <v>-604</v>
      </c>
      <c r="AC341" s="26">
        <v>6222</v>
      </c>
      <c r="AD341" s="26">
        <v>42</v>
      </c>
      <c r="AE341" s="26">
        <v>165439</v>
      </c>
      <c r="AF341" s="26">
        <v>2825</v>
      </c>
      <c r="AG341" s="26">
        <v>36059</v>
      </c>
      <c r="AH341" s="26">
        <v>125</v>
      </c>
    </row>
    <row r="342" spans="1:34" x14ac:dyDescent="0.2">
      <c r="A342" s="10">
        <f t="shared" si="22"/>
        <v>2025</v>
      </c>
      <c r="B342" s="10">
        <f t="shared" si="23"/>
        <v>10</v>
      </c>
      <c r="D342" s="10" t="s">
        <v>81</v>
      </c>
      <c r="E342" s="25" t="d">
        <v>2025-10-01</v>
      </c>
      <c r="F342" s="26">
        <v>776957</v>
      </c>
      <c r="G342" s="26">
        <v>27968</v>
      </c>
      <c r="H342" s="26">
        <v>106310497</v>
      </c>
      <c r="I342" s="26">
        <v>4964430</v>
      </c>
      <c r="J342" s="26">
        <v>1361498</v>
      </c>
      <c r="K342" s="26">
        <v>179364</v>
      </c>
      <c r="L342" s="26">
        <v>370200</v>
      </c>
      <c r="M342" s="26">
        <v>1300</v>
      </c>
      <c r="N342" s="26">
        <v>2000000</v>
      </c>
      <c r="O342" s="26">
        <v>0</v>
      </c>
      <c r="P342" s="26">
        <v>114000</v>
      </c>
      <c r="Q342" s="26">
        <v>8000</v>
      </c>
      <c r="R342" s="26">
        <v>43663258</v>
      </c>
      <c r="S342" s="26">
        <v>2685105</v>
      </c>
      <c r="T342" s="26">
        <v>871232</v>
      </c>
      <c r="U342" s="26">
        <v>0</v>
      </c>
      <c r="V342" s="26">
        <v>0</v>
      </c>
      <c r="W342" s="26">
        <v>6054</v>
      </c>
      <c r="X342" s="26">
        <v>253</v>
      </c>
      <c r="Y342" s="26" t="s">
        <v>31</v>
      </c>
      <c r="Z342" s="26" t="s">
        <v>31</v>
      </c>
      <c r="AA342" s="26">
        <v>918338</v>
      </c>
      <c r="AB342" s="26">
        <v>968</v>
      </c>
      <c r="AC342" s="26">
        <v>6256</v>
      </c>
      <c r="AD342" s="26">
        <v>34</v>
      </c>
      <c r="AE342" s="26">
        <v>169342</v>
      </c>
      <c r="AF342" s="26">
        <v>3903</v>
      </c>
      <c r="AG342" s="26">
        <v>36155</v>
      </c>
      <c r="AH342" s="26">
        <v>96</v>
      </c>
    </row>
    <row r="343" spans="1:34" x14ac:dyDescent="0.2">
      <c r="A343" s="10">
        <f t="shared" si="22"/>
        <v>2025</v>
      </c>
      <c r="B343" s="10">
        <f t="shared" si="23"/>
        <v>11</v>
      </c>
      <c r="D343" s="10" t="s">
        <v>81</v>
      </c>
      <c r="E343" s="25" t="d">
        <v>2025-11-01</v>
      </c>
      <c r="F343" s="26">
        <v>806476</v>
      </c>
      <c r="G343" s="26">
        <v>29519</v>
      </c>
      <c r="H343" s="26">
        <v>111380912</v>
      </c>
      <c r="I343" s="26">
        <v>5327394</v>
      </c>
      <c r="J343" s="26">
        <v>1430084</v>
      </c>
      <c r="K343" s="26">
        <v>68586</v>
      </c>
      <c r="L343" s="26">
        <v>374800</v>
      </c>
      <c r="M343" s="26">
        <v>4600</v>
      </c>
      <c r="N343" s="26">
        <v>2100000</v>
      </c>
      <c r="O343" s="26">
        <v>100000</v>
      </c>
      <c r="P343" s="26">
        <v>120000</v>
      </c>
      <c r="Q343" s="26">
        <v>6000</v>
      </c>
      <c r="R343" s="26">
        <v>45683894</v>
      </c>
      <c r="S343" s="26">
        <v>2025992</v>
      </c>
      <c r="T343" s="26">
        <v>871232</v>
      </c>
      <c r="U343" s="26">
        <v>0</v>
      </c>
      <c r="V343" s="26">
        <v>0</v>
      </c>
      <c r="W343" s="26">
        <v>6298</v>
      </c>
      <c r="X343" s="26">
        <v>252</v>
      </c>
      <c r="Y343" s="26" t="s">
        <v>31</v>
      </c>
      <c r="Z343" s="26" t="s">
        <v>31</v>
      </c>
      <c r="AA343" s="26">
        <v>921265</v>
      </c>
      <c r="AB343" s="26">
        <v>2927</v>
      </c>
      <c r="AC343" s="26">
        <v>6292</v>
      </c>
      <c r="AD343" s="26">
        <v>36</v>
      </c>
      <c r="AE343" s="26">
        <v>172343</v>
      </c>
      <c r="AF343" s="26">
        <v>2865</v>
      </c>
      <c r="AG343" s="26">
        <v>36260</v>
      </c>
      <c r="AH343" s="26">
        <v>105</v>
      </c>
    </row>
    <row r="344" spans="1:34" x14ac:dyDescent="0.2">
      <c r="A344" s="10">
        <f t="shared" si="22"/>
        <v>2025</v>
      </c>
      <c r="B344" s="10">
        <f t="shared" si="23"/>
        <v>12</v>
      </c>
      <c r="D344" s="10" t="s">
        <v>81</v>
      </c>
      <c r="E344" s="25" t="d">
        <v>2025-12-01</v>
      </c>
      <c r="F344" s="26">
        <v>833104</v>
      </c>
      <c r="G344" s="26">
        <v>26628</v>
      </c>
      <c r="H344" s="26">
        <v>116555435</v>
      </c>
      <c r="I344" s="26">
        <v>5137000</v>
      </c>
      <c r="J344" s="26">
        <v>1293005</v>
      </c>
      <c r="K344" s="26">
        <v>-137079</v>
      </c>
      <c r="L344" s="26">
        <v>380400</v>
      </c>
      <c r="M344" s="26">
        <v>5600</v>
      </c>
      <c r="N344" s="26">
        <v>2100000</v>
      </c>
      <c r="O344" s="26">
        <v>0</v>
      </c>
      <c r="P344" s="26">
        <v>129000</v>
      </c>
      <c r="Q344" s="26">
        <v>9000</v>
      </c>
      <c r="R344" s="26">
        <v>48359708</v>
      </c>
      <c r="S344" s="26">
        <v>2265503</v>
      </c>
      <c r="T344" s="26">
        <v>871232</v>
      </c>
      <c r="U344" s="26">
        <v>0</v>
      </c>
      <c r="V344" s="26">
        <v>0</v>
      </c>
      <c r="W344" s="26">
        <v>6534</v>
      </c>
      <c r="X344" s="26">
        <v>236</v>
      </c>
      <c r="Y344" s="26" t="s">
        <v>31</v>
      </c>
      <c r="Z344" s="26" t="s">
        <v>31</v>
      </c>
      <c r="AA344" s="26">
        <v>925475</v>
      </c>
      <c r="AB344" s="26">
        <v>4210</v>
      </c>
      <c r="AC344" s="26">
        <v>6323</v>
      </c>
      <c r="AD344" s="26">
        <v>31</v>
      </c>
      <c r="AE344" s="26">
        <v>175807</v>
      </c>
      <c r="AF344" s="26">
        <v>3321</v>
      </c>
      <c r="AG344" s="26">
        <v>36347</v>
      </c>
      <c r="AH344" s="26">
        <v>87</v>
      </c>
    </row>
    <row r="345" spans="1:34" x14ac:dyDescent="0.2">
      <c r="A345" s="10">
        <f t="shared" si="22"/>
        <v>2026</v>
      </c>
      <c r="B345" s="10">
        <f t="shared" si="23"/>
        <v>1</v>
      </c>
      <c r="D345" s="10" t="s">
        <v>81</v>
      </c>
      <c r="E345" s="25" t="d">
        <v>2026-01-01</v>
      </c>
      <c r="F345" s="26">
        <v>872089</v>
      </c>
      <c r="G345" s="26">
        <v>38985</v>
      </c>
      <c r="H345" s="26">
        <v>121789579</v>
      </c>
      <c r="I345" s="26">
        <v>4636088</v>
      </c>
      <c r="J345" s="26">
        <v>1327278</v>
      </c>
      <c r="K345" s="26">
        <v>34273</v>
      </c>
      <c r="L345" s="26">
        <v>382700</v>
      </c>
      <c r="M345" s="26">
        <v>2300</v>
      </c>
      <c r="N345" s="26">
        <v>2100000</v>
      </c>
      <c r="O345" s="26">
        <v>0</v>
      </c>
      <c r="P345" s="26">
        <v>133000</v>
      </c>
      <c r="Q345" s="26">
        <v>4000</v>
      </c>
      <c r="R345" s="26">
        <v>50401036</v>
      </c>
      <c r="S345" s="26">
        <v>2041329</v>
      </c>
      <c r="T345" s="26">
        <v>871232</v>
      </c>
      <c r="U345" s="26">
        <v>0</v>
      </c>
      <c r="V345" s="26">
        <v>0</v>
      </c>
      <c r="W345" s="26">
        <v>6739</v>
      </c>
      <c r="X345" s="26">
        <v>205</v>
      </c>
      <c r="Y345" s="26" t="s">
        <v>31</v>
      </c>
      <c r="Z345" s="26" t="s">
        <v>31</v>
      </c>
      <c r="AA345" s="26">
        <v>930569</v>
      </c>
      <c r="AB345" s="26">
        <v>5094</v>
      </c>
      <c r="AC345" s="26">
        <v>6357</v>
      </c>
      <c r="AD345" s="26">
        <v>34</v>
      </c>
      <c r="AE345" s="26">
        <v>179469</v>
      </c>
      <c r="AF345" s="26">
        <v>3662</v>
      </c>
      <c r="AG345" s="26">
        <v>36431</v>
      </c>
      <c r="AH345" s="26">
        <v>84</v>
      </c>
    </row>
    <row r="346" spans="1:34" x14ac:dyDescent="0.2">
      <c r="A346" s="10">
        <f t="shared" si="22"/>
        <v>2026</v>
      </c>
      <c r="B346" s="10">
        <f t="shared" si="23"/>
        <v>2</v>
      </c>
      <c r="D346" s="10" t="s">
        <v>81</v>
      </c>
      <c r="E346" s="25" t="d">
        <v>2026-02-01</v>
      </c>
      <c r="F346" s="26">
        <v>884558</v>
      </c>
      <c r="G346" s="26">
        <v>12469</v>
      </c>
      <c r="H346" s="26">
        <v>125190426</v>
      </c>
      <c r="I346" s="26">
        <v>3400847</v>
      </c>
      <c r="J346" s="26">
        <v>931874</v>
      </c>
      <c r="K346" s="26">
        <v>-395404</v>
      </c>
      <c r="L346" s="26">
        <v>382700</v>
      </c>
      <c r="M346" s="26">
        <v>0</v>
      </c>
      <c r="N346" s="26">
        <v>2100000</v>
      </c>
      <c r="O346" s="26">
        <v>0</v>
      </c>
      <c r="P346" s="26">
        <v>136000</v>
      </c>
      <c r="Q346" s="26">
        <v>3000</v>
      </c>
      <c r="R346" s="26">
        <v>51805873</v>
      </c>
      <c r="S346" s="26">
        <v>1404837</v>
      </c>
      <c r="T346" s="26">
        <v>871232</v>
      </c>
      <c r="U346" s="26">
        <v>0</v>
      </c>
      <c r="V346" s="26">
        <v>0</v>
      </c>
      <c r="W346" s="26">
        <v>6892</v>
      </c>
      <c r="X346" s="26">
        <v>153</v>
      </c>
      <c r="Y346" s="26" t="s">
        <v>31</v>
      </c>
      <c r="Z346" s="26" t="s">
        <v>31</v>
      </c>
      <c r="AA346" s="26">
        <v>936574</v>
      </c>
      <c r="AB346" s="26">
        <v>6005</v>
      </c>
      <c r="AC346" s="26">
        <v>6376</v>
      </c>
      <c r="AD346" s="26">
        <v>19</v>
      </c>
      <c r="AE346" s="26">
        <v>181296</v>
      </c>
      <c r="AF346" s="26">
        <v>1827</v>
      </c>
      <c r="AG346" s="26">
        <v>36494</v>
      </c>
      <c r="AH346" s="26">
        <v>63</v>
      </c>
    </row>
    <row r="347" spans="1:34" x14ac:dyDescent="0.2">
      <c r="A347" s="10">
        <f t="shared" si="22"/>
        <v>2026</v>
      </c>
      <c r="B347" s="10">
        <f t="shared" si="23"/>
        <v>3</v>
      </c>
      <c r="D347" s="10" t="s">
        <v>81</v>
      </c>
      <c r="E347" s="25" t="d">
        <v>2026-03-01</v>
      </c>
      <c r="F347" s="26">
        <v>896523</v>
      </c>
      <c r="G347" s="26">
        <v>11965</v>
      </c>
      <c r="H347" s="26">
        <v>127962467</v>
      </c>
      <c r="I347" s="26">
        <v>2738742</v>
      </c>
      <c r="J347" s="26">
        <v>904853</v>
      </c>
      <c r="K347" s="26">
        <v>-27021</v>
      </c>
      <c r="L347" s="26">
        <v>382700</v>
      </c>
      <c r="M347" s="26">
        <v>0</v>
      </c>
      <c r="N347" s="26">
        <v>2100000</v>
      </c>
      <c r="O347" s="26">
        <v>0</v>
      </c>
      <c r="P347" s="26">
        <v>137000</v>
      </c>
      <c r="Q347" s="26">
        <v>1000</v>
      </c>
      <c r="R347" s="26">
        <v>52534989</v>
      </c>
      <c r="S347" s="26">
        <v>729121</v>
      </c>
      <c r="T347" s="26">
        <v>871232</v>
      </c>
      <c r="U347" s="26">
        <v>0</v>
      </c>
      <c r="V347" s="26">
        <v>0</v>
      </c>
      <c r="W347" s="26">
        <v>7031</v>
      </c>
      <c r="X347" s="26">
        <v>139</v>
      </c>
      <c r="Y347" s="26" t="s">
        <v>31</v>
      </c>
      <c r="Z347" s="26" t="s">
        <v>31</v>
      </c>
      <c r="AA347" s="26">
        <v>936873</v>
      </c>
      <c r="AB347" s="26">
        <v>299</v>
      </c>
      <c r="AC347" s="26">
        <v>6395</v>
      </c>
      <c r="AD347" s="26">
        <v>19</v>
      </c>
      <c r="AE347" s="26">
        <v>184566</v>
      </c>
      <c r="AF347" s="26">
        <v>3270</v>
      </c>
      <c r="AG347" s="26">
        <v>36567</v>
      </c>
      <c r="AH347" s="26">
        <v>73</v>
      </c>
    </row>
    <row r="348" spans="1:34" x14ac:dyDescent="0.2">
      <c r="A348" s="10">
        <f t="shared" si="22"/>
        <v>2026</v>
      </c>
      <c r="B348" s="10">
        <f t="shared" si="23"/>
        <v>4</v>
      </c>
      <c r="D348" s="10" t="s">
        <v>81</v>
      </c>
      <c r="E348" s="25" t="d">
        <v>2026-04-01</v>
      </c>
      <c r="F348" s="26">
        <v>909181</v>
      </c>
      <c r="G348" s="26">
        <v>12658</v>
      </c>
      <c r="H348" s="26">
        <v>131177441</v>
      </c>
      <c r="I348" s="26">
        <v>3173322</v>
      </c>
      <c r="J348" s="26">
        <v>933950</v>
      </c>
      <c r="K348" s="26">
        <v>29097</v>
      </c>
      <c r="L348" s="26">
        <v>385691</v>
      </c>
      <c r="M348" s="26">
        <v>-19</v>
      </c>
      <c r="N348" s="26">
        <v>2193540</v>
      </c>
      <c r="O348" s="26">
        <v>1838</v>
      </c>
      <c r="P348" s="26">
        <v>139000</v>
      </c>
      <c r="Q348" s="26">
        <v>2000</v>
      </c>
      <c r="R348" s="26">
        <v>53501712</v>
      </c>
      <c r="S348" s="26">
        <v>966724</v>
      </c>
      <c r="T348" s="26">
        <v>895902</v>
      </c>
      <c r="U348" s="26">
        <v>24670</v>
      </c>
      <c r="V348" s="26">
        <v>3880</v>
      </c>
      <c r="W348" s="26">
        <v>7125</v>
      </c>
      <c r="X348" s="26">
        <v>94</v>
      </c>
      <c r="Y348" s="26">
        <v>9642572</v>
      </c>
      <c r="Z348" s="26">
        <v>51391</v>
      </c>
      <c r="AA348" s="26">
        <v>936497</v>
      </c>
      <c r="AB348" s="26">
        <v>-376</v>
      </c>
      <c r="AC348" s="26">
        <v>6426</v>
      </c>
      <c r="AD348" s="26">
        <v>31</v>
      </c>
      <c r="AE348" s="26">
        <v>187001</v>
      </c>
      <c r="AF348" s="26">
        <v>2435</v>
      </c>
      <c r="AG348" s="26">
        <v>36656</v>
      </c>
      <c r="AH348" s="26">
        <v>89</v>
      </c>
    </row>
    <row r="349" spans="1:34" x14ac:dyDescent="0.2">
      <c r="A349" s="10">
        <f t="shared" si="22"/>
        <v>2026</v>
      </c>
      <c r="B349" s="10">
        <f t="shared" si="23"/>
        <v>5</v>
      </c>
      <c r="D349" s="10" t="s">
        <v>81</v>
      </c>
      <c r="E349" s="25" t="d">
        <v>2026-05-01</v>
      </c>
      <c r="F349" s="26">
        <v>920569</v>
      </c>
      <c r="G349" s="26">
        <v>11388</v>
      </c>
      <c r="H349" s="26">
        <v>134024742</v>
      </c>
      <c r="I349" s="26">
        <v>2847301</v>
      </c>
      <c r="J349" s="26">
        <v>853676</v>
      </c>
      <c r="K349" s="26">
        <v>-80274</v>
      </c>
      <c r="L349" s="26">
        <v>396480</v>
      </c>
      <c r="M349" s="26">
        <v>10789</v>
      </c>
      <c r="N349" s="26">
        <v>2304921</v>
      </c>
      <c r="O349" s="26">
        <v>111381</v>
      </c>
      <c r="P349" s="26">
        <v>141000</v>
      </c>
      <c r="Q349" s="26">
        <v>2000</v>
      </c>
      <c r="R349" s="26">
        <v>54557944</v>
      </c>
      <c r="S349" s="26">
        <v>1056232</v>
      </c>
      <c r="T349" s="26">
        <v>897242</v>
      </c>
      <c r="U349" s="26">
        <v>1340</v>
      </c>
      <c r="V349" s="26">
        <v>14746</v>
      </c>
      <c r="W349" s="26">
        <v>7271</v>
      </c>
      <c r="X349" s="26">
        <v>146</v>
      </c>
      <c r="Y349" s="26">
        <v>9648484</v>
      </c>
      <c r="Z349" s="26">
        <v>5912</v>
      </c>
      <c r="AA349" s="26">
        <v>940287</v>
      </c>
      <c r="AB349" s="26">
        <v>3790</v>
      </c>
      <c r="AC349" s="26">
        <v>6453</v>
      </c>
      <c r="AD349" s="26">
        <v>27</v>
      </c>
      <c r="AE349" s="26">
        <v>189642</v>
      </c>
      <c r="AF349" s="26">
        <v>2641</v>
      </c>
      <c r="AG349" s="26">
        <v>36737</v>
      </c>
      <c r="AH349" s="26">
        <v>81</v>
      </c>
    </row>
    <row r="350" spans="1:34" x14ac:dyDescent="0.2">
      <c r="A350" s="10">
        <f t="shared" si="22"/>
        <v>2026</v>
      </c>
      <c r="B350" s="10">
        <f t="shared" si="23"/>
        <v>6</v>
      </c>
      <c r="D350" s="10" t="s">
        <v>81</v>
      </c>
      <c r="E350" s="25" t="d">
        <v>2026-06-01</v>
      </c>
      <c r="F350" s="26">
        <v>927595</v>
      </c>
      <c r="G350" s="26">
        <v>7026</v>
      </c>
      <c r="H350" s="26">
        <v>136767779</v>
      </c>
      <c r="I350" s="26">
        <v>2761286</v>
      </c>
      <c r="J350" s="26">
        <v>790594</v>
      </c>
      <c r="K350" s="26">
        <v>-63082</v>
      </c>
      <c r="L350" s="26">
        <v>400655</v>
      </c>
      <c r="M350" s="26">
        <v>4175</v>
      </c>
      <c r="N350" s="26">
        <v>2352235</v>
      </c>
      <c r="O350" s="26">
        <v>47314</v>
      </c>
      <c r="P350" s="26">
        <v>143000</v>
      </c>
      <c r="Q350" s="26">
        <v>2000</v>
      </c>
      <c r="R350" s="26">
        <v>55279109</v>
      </c>
      <c r="S350" s="26">
        <v>721165</v>
      </c>
      <c r="T350" s="26">
        <v>893790</v>
      </c>
      <c r="U350" s="26">
        <v>-3452</v>
      </c>
      <c r="V350" s="26">
        <v>29519</v>
      </c>
      <c r="W350" s="26">
        <v>7381</v>
      </c>
      <c r="X350" s="26">
        <v>110</v>
      </c>
      <c r="Y350" s="26">
        <v>9839828</v>
      </c>
      <c r="Z350" s="26">
        <v>191344</v>
      </c>
      <c r="AA350" s="26">
        <v>955603</v>
      </c>
      <c r="AB350" s="26">
        <v>15316</v>
      </c>
      <c r="AC350" s="26">
        <v>6480</v>
      </c>
      <c r="AD350" s="26">
        <v>27</v>
      </c>
      <c r="AE350" s="26">
        <v>192242</v>
      </c>
      <c r="AF350" s="26">
        <v>2600</v>
      </c>
      <c r="AG350" s="26">
        <v>36812</v>
      </c>
      <c r="AH350" s="26">
        <v>75</v>
      </c>
    </row>
    <row r="351" spans="1:34" x14ac:dyDescent="0.2">
      <c r="A351" s="10">
        <f t="shared" si="22"/>
        <v>2026</v>
      </c>
      <c r="B351" s="10">
        <f t="shared" si="23"/>
        <v>7</v>
      </c>
      <c r="D351" s="10" t="s">
        <v>81</v>
      </c>
      <c r="E351" s="25" t="d">
        <v>2026-07-01</v>
      </c>
      <c r="F351" s="26">
        <v>934958</v>
      </c>
      <c r="G351" s="26">
        <v>7363</v>
      </c>
      <c r="H351" s="26">
        <v>139287478</v>
      </c>
      <c r="I351" s="26">
        <v>2508217</v>
      </c>
      <c r="J351" s="26">
        <v>782871</v>
      </c>
      <c r="K351" s="26">
        <v>-7723</v>
      </c>
      <c r="L351" s="26">
        <v>403189</v>
      </c>
      <c r="M351" s="26">
        <v>2534</v>
      </c>
      <c r="N351" s="26">
        <v>2381916</v>
      </c>
      <c r="O351" s="26">
        <v>29681</v>
      </c>
      <c r="P351" s="26">
        <v>145000</v>
      </c>
      <c r="Q351" s="26">
        <v>2000</v>
      </c>
      <c r="R351" s="26">
        <v>56053757</v>
      </c>
      <c r="S351" s="26">
        <v>762413</v>
      </c>
      <c r="T351" s="26">
        <v>895897</v>
      </c>
      <c r="U351" s="26">
        <v>2107</v>
      </c>
      <c r="V351" s="26">
        <v>13047</v>
      </c>
      <c r="W351" s="26">
        <v>7489</v>
      </c>
      <c r="X351" s="26">
        <v>108</v>
      </c>
      <c r="Y351" s="26">
        <v>9908815</v>
      </c>
      <c r="Z351" s="26">
        <v>68987</v>
      </c>
      <c r="AA351" s="26">
        <v>955603</v>
      </c>
      <c r="AB351" s="26">
        <v>0</v>
      </c>
      <c r="AC351" s="26">
        <v>6493</v>
      </c>
      <c r="AD351" s="26">
        <v>13</v>
      </c>
      <c r="AE351" s="26">
        <v>194940</v>
      </c>
      <c r="AF351" s="26">
        <v>2654</v>
      </c>
      <c r="AG351" s="26">
        <v>36883</v>
      </c>
      <c r="AH351" s="26">
        <v>71</v>
      </c>
    </row>
    <row r="352" spans="1:34" x14ac:dyDescent="0.2">
      <c r="A352" s="10">
        <f t="shared" ref="A352:A376" si="24">YEAR(E352)</f>
        <v>2024</v>
      </c>
      <c r="B352" s="10">
        <f t="shared" ref="B352:B376" si="25">MONTH(E352)</f>
        <v>7</v>
      </c>
      <c r="D352" s="10" t="s">
        <v>91</v>
      </c>
      <c r="E352" s="25" t="d">
        <v>2024-07-01</v>
      </c>
      <c r="F352" s="26">
        <v>391317</v>
      </c>
      <c r="G352" s="26">
        <v>22476</v>
      </c>
      <c r="H352" s="26">
        <v>72861607</v>
      </c>
      <c r="I352" s="26">
        <v>5810659</v>
      </c>
      <c r="J352" s="26">
        <v>488397</v>
      </c>
      <c r="K352" s="26">
        <v>-70382</v>
      </c>
      <c r="L352" s="26">
        <v>1000000</v>
      </c>
      <c r="M352" s="26">
        <v>0</v>
      </c>
      <c r="N352" s="26">
        <v>6000000</v>
      </c>
      <c r="O352" s="26">
        <v>200000</v>
      </c>
      <c r="P352" s="26" t="s">
        <v>31</v>
      </c>
      <c r="Q352" s="26" t="s">
        <v>31</v>
      </c>
      <c r="R352" s="26" t="s">
        <v>31</v>
      </c>
      <c r="S352" s="26" t="s">
        <v>31</v>
      </c>
      <c r="T352" s="26">
        <v>248933</v>
      </c>
      <c r="U352" s="26">
        <v>2060</v>
      </c>
      <c r="V352" s="26">
        <v>4000</v>
      </c>
      <c r="W352" s="26">
        <v>868</v>
      </c>
      <c r="X352" s="26">
        <v>66</v>
      </c>
      <c r="Y352" s="26" t="s">
        <v>31</v>
      </c>
      <c r="Z352" s="26" t="s">
        <v>31</v>
      </c>
      <c r="AA352" s="26" t="s">
        <v>31</v>
      </c>
      <c r="AB352" s="26" t="s">
        <v>31</v>
      </c>
      <c r="AC352" s="26" t="s">
        <v>31</v>
      </c>
      <c r="AD352" s="26" t="s">
        <v>31</v>
      </c>
      <c r="AE352" s="26" t="s">
        <v>31</v>
      </c>
      <c r="AF352" s="26" t="s">
        <v>31</v>
      </c>
      <c r="AG352" s="26">
        <v>1286</v>
      </c>
      <c r="AH352" s="26">
        <v>57</v>
      </c>
    </row>
    <row r="353" spans="1:34" x14ac:dyDescent="0.2">
      <c r="A353" s="10">
        <f t="shared" si="24"/>
        <v>2024</v>
      </c>
      <c r="B353" s="10">
        <f t="shared" si="25"/>
        <v>8</v>
      </c>
      <c r="D353" s="10" t="s">
        <v>91</v>
      </c>
      <c r="E353" s="25" t="d">
        <v>2024-08-01</v>
      </c>
      <c r="F353" s="26">
        <v>420275</v>
      </c>
      <c r="G353" s="26">
        <v>28958</v>
      </c>
      <c r="H353" s="26">
        <v>77928852</v>
      </c>
      <c r="I353" s="26">
        <v>5066116</v>
      </c>
      <c r="J353" s="26">
        <v>437327</v>
      </c>
      <c r="K353" s="26">
        <v>-51070</v>
      </c>
      <c r="L353" s="26">
        <v>1100000</v>
      </c>
      <c r="M353" s="26">
        <v>100000</v>
      </c>
      <c r="N353" s="26">
        <v>6900000</v>
      </c>
      <c r="O353" s="26">
        <v>900000</v>
      </c>
      <c r="P353" s="26" t="s">
        <v>31</v>
      </c>
      <c r="Q353" s="26" t="s">
        <v>31</v>
      </c>
      <c r="R353" s="26" t="s">
        <v>31</v>
      </c>
      <c r="S353" s="26" t="s">
        <v>31</v>
      </c>
      <c r="T353" s="26">
        <v>256923</v>
      </c>
      <c r="U353" s="26">
        <v>7990</v>
      </c>
      <c r="V353" s="26">
        <v>4000</v>
      </c>
      <c r="W353" s="26">
        <v>893</v>
      </c>
      <c r="X353" s="26">
        <v>25</v>
      </c>
      <c r="Y353" s="26" t="s">
        <v>31</v>
      </c>
      <c r="Z353" s="26" t="s">
        <v>31</v>
      </c>
      <c r="AA353" s="26" t="s">
        <v>31</v>
      </c>
      <c r="AB353" s="26" t="s">
        <v>31</v>
      </c>
      <c r="AC353" s="26" t="s">
        <v>31</v>
      </c>
      <c r="AD353" s="26" t="s">
        <v>31</v>
      </c>
      <c r="AE353" s="26" t="s">
        <v>31</v>
      </c>
      <c r="AF353" s="26" t="s">
        <v>31</v>
      </c>
      <c r="AG353" s="26">
        <v>1355</v>
      </c>
      <c r="AH353" s="26">
        <v>69</v>
      </c>
    </row>
    <row r="354" spans="1:34" x14ac:dyDescent="0.2">
      <c r="A354" s="10">
        <f t="shared" si="24"/>
        <v>2024</v>
      </c>
      <c r="B354" s="10">
        <f t="shared" si="25"/>
        <v>9</v>
      </c>
      <c r="D354" s="10" t="s">
        <v>91</v>
      </c>
      <c r="E354" s="25" t="d">
        <v>2024-09-01</v>
      </c>
      <c r="F354" s="26">
        <v>476449</v>
      </c>
      <c r="G354" s="26">
        <v>56174</v>
      </c>
      <c r="H354" s="26">
        <v>82867240</v>
      </c>
      <c r="I354" s="26">
        <v>4936999</v>
      </c>
      <c r="J354" s="26">
        <v>469268</v>
      </c>
      <c r="K354" s="26">
        <v>31941</v>
      </c>
      <c r="L354" s="26">
        <v>1100000</v>
      </c>
      <c r="M354" s="26">
        <v>0</v>
      </c>
      <c r="N354" s="26">
        <v>7100000</v>
      </c>
      <c r="O354" s="26">
        <v>200000</v>
      </c>
      <c r="P354" s="26" t="s">
        <v>31</v>
      </c>
      <c r="Q354" s="26" t="s">
        <v>31</v>
      </c>
      <c r="R354" s="26" t="s">
        <v>31</v>
      </c>
      <c r="S354" s="26" t="s">
        <v>31</v>
      </c>
      <c r="T354" s="26">
        <v>256923</v>
      </c>
      <c r="U354" s="26">
        <v>0</v>
      </c>
      <c r="V354" s="26">
        <v>0</v>
      </c>
      <c r="W354" s="26">
        <v>896</v>
      </c>
      <c r="X354" s="26">
        <v>3</v>
      </c>
      <c r="Y354" s="26" t="s">
        <v>31</v>
      </c>
      <c r="Z354" s="26" t="s">
        <v>31</v>
      </c>
      <c r="AA354" s="26" t="s">
        <v>31</v>
      </c>
      <c r="AB354" s="26" t="s">
        <v>31</v>
      </c>
      <c r="AC354" s="26" t="s">
        <v>31</v>
      </c>
      <c r="AD354" s="26" t="s">
        <v>31</v>
      </c>
      <c r="AE354" s="26" t="s">
        <v>31</v>
      </c>
      <c r="AF354" s="26" t="s">
        <v>31</v>
      </c>
      <c r="AG354" s="26">
        <v>1395</v>
      </c>
      <c r="AH354" s="26">
        <v>40</v>
      </c>
    </row>
    <row r="355" spans="1:34" x14ac:dyDescent="0.2">
      <c r="A355" s="10">
        <f t="shared" si="24"/>
        <v>2024</v>
      </c>
      <c r="B355" s="10">
        <f t="shared" si="25"/>
        <v>10</v>
      </c>
      <c r="D355" s="10" t="s">
        <v>91</v>
      </c>
      <c r="E355" s="25" t="d">
        <v>2024-10-01</v>
      </c>
      <c r="F355" s="26">
        <v>490377</v>
      </c>
      <c r="G355" s="26">
        <v>13928</v>
      </c>
      <c r="H355" s="26">
        <v>87696710</v>
      </c>
      <c r="I355" s="26">
        <v>4793493</v>
      </c>
      <c r="J355" s="26">
        <v>430609</v>
      </c>
      <c r="K355" s="26">
        <v>-38659</v>
      </c>
      <c r="L355" s="26">
        <v>1100000</v>
      </c>
      <c r="M355" s="26">
        <v>0</v>
      </c>
      <c r="N355" s="26">
        <v>7100000</v>
      </c>
      <c r="O355" s="26">
        <v>0</v>
      </c>
      <c r="P355" s="26" t="s">
        <v>31</v>
      </c>
      <c r="Q355" s="26" t="s">
        <v>31</v>
      </c>
      <c r="R355" s="26" t="s">
        <v>31</v>
      </c>
      <c r="S355" s="26" t="s">
        <v>31</v>
      </c>
      <c r="T355" s="26">
        <v>256923</v>
      </c>
      <c r="U355" s="26">
        <v>0</v>
      </c>
      <c r="V355" s="26">
        <v>0</v>
      </c>
      <c r="W355" s="26">
        <v>907</v>
      </c>
      <c r="X355" s="26">
        <v>11</v>
      </c>
      <c r="Y355" s="26" t="s">
        <v>31</v>
      </c>
      <c r="Z355" s="26" t="s">
        <v>31</v>
      </c>
      <c r="AA355" s="26" t="s">
        <v>31</v>
      </c>
      <c r="AB355" s="26" t="s">
        <v>31</v>
      </c>
      <c r="AC355" s="26" t="s">
        <v>31</v>
      </c>
      <c r="AD355" s="26" t="s">
        <v>31</v>
      </c>
      <c r="AE355" s="26" t="s">
        <v>31</v>
      </c>
      <c r="AF355" s="26" t="s">
        <v>31</v>
      </c>
      <c r="AG355" s="26">
        <v>1446</v>
      </c>
      <c r="AH355" s="26">
        <v>51</v>
      </c>
    </row>
    <row r="356" spans="1:34" x14ac:dyDescent="0.2">
      <c r="A356" s="10">
        <f t="shared" si="24"/>
        <v>2024</v>
      </c>
      <c r="B356" s="10">
        <f t="shared" si="25"/>
        <v>11</v>
      </c>
      <c r="D356" s="10" t="s">
        <v>91</v>
      </c>
      <c r="E356" s="25" t="d">
        <v>2024-11-01</v>
      </c>
      <c r="F356" s="26">
        <v>500724</v>
      </c>
      <c r="G356" s="26">
        <v>10347</v>
      </c>
      <c r="H356" s="26">
        <v>92448488</v>
      </c>
      <c r="I356" s="26">
        <v>4602096</v>
      </c>
      <c r="J356" s="26">
        <v>426048</v>
      </c>
      <c r="K356" s="26">
        <v>-4561</v>
      </c>
      <c r="L356" s="26">
        <v>1100000</v>
      </c>
      <c r="M356" s="26">
        <v>0</v>
      </c>
      <c r="N356" s="26">
        <v>7100000</v>
      </c>
      <c r="O356" s="26">
        <v>0</v>
      </c>
      <c r="P356" s="26" t="s">
        <v>31</v>
      </c>
      <c r="Q356" s="26" t="s">
        <v>31</v>
      </c>
      <c r="R356" s="26" t="s">
        <v>31</v>
      </c>
      <c r="S356" s="26" t="s">
        <v>31</v>
      </c>
      <c r="T356" s="26">
        <v>256923</v>
      </c>
      <c r="U356" s="26">
        <v>0</v>
      </c>
      <c r="V356" s="26">
        <v>0</v>
      </c>
      <c r="W356" s="26">
        <v>909</v>
      </c>
      <c r="X356" s="26">
        <v>2</v>
      </c>
      <c r="Y356" s="26" t="s">
        <v>31</v>
      </c>
      <c r="Z356" s="26" t="s">
        <v>31</v>
      </c>
      <c r="AA356" s="26" t="s">
        <v>31</v>
      </c>
      <c r="AB356" s="26" t="s">
        <v>31</v>
      </c>
      <c r="AC356" s="26" t="s">
        <v>31</v>
      </c>
      <c r="AD356" s="26" t="s">
        <v>31</v>
      </c>
      <c r="AE356" s="26" t="s">
        <v>31</v>
      </c>
      <c r="AF356" s="26" t="s">
        <v>31</v>
      </c>
      <c r="AG356" s="26">
        <v>1484</v>
      </c>
      <c r="AH356" s="26">
        <v>38</v>
      </c>
    </row>
    <row r="357" spans="1:34" x14ac:dyDescent="0.2">
      <c r="A357" s="10">
        <f t="shared" si="24"/>
        <v>2024</v>
      </c>
      <c r="B357" s="10">
        <f t="shared" si="25"/>
        <v>12</v>
      </c>
      <c r="D357" s="10" t="s">
        <v>91</v>
      </c>
      <c r="E357" s="25" t="d">
        <v>2024-12-01</v>
      </c>
      <c r="F357" s="26">
        <v>510294</v>
      </c>
      <c r="G357" s="26">
        <v>9570</v>
      </c>
      <c r="H357" s="26">
        <v>96533161</v>
      </c>
      <c r="I357" s="26">
        <v>4029174</v>
      </c>
      <c r="J357" s="26">
        <v>385976</v>
      </c>
      <c r="K357" s="26">
        <v>-40072</v>
      </c>
      <c r="L357" s="26">
        <v>1200000</v>
      </c>
      <c r="M357" s="26">
        <v>100000</v>
      </c>
      <c r="N357" s="26">
        <v>7400000</v>
      </c>
      <c r="O357" s="26">
        <v>300000</v>
      </c>
      <c r="P357" s="26" t="s">
        <v>31</v>
      </c>
      <c r="Q357" s="26" t="s">
        <v>31</v>
      </c>
      <c r="R357" s="26" t="s">
        <v>31</v>
      </c>
      <c r="S357" s="26" t="s">
        <v>31</v>
      </c>
      <c r="T357" s="26">
        <v>256923</v>
      </c>
      <c r="U357" s="26">
        <v>0</v>
      </c>
      <c r="V357" s="26">
        <v>0</v>
      </c>
      <c r="W357" s="26">
        <v>910</v>
      </c>
      <c r="X357" s="26">
        <v>1</v>
      </c>
      <c r="Y357" s="26" t="s">
        <v>31</v>
      </c>
      <c r="Z357" s="26" t="s">
        <v>31</v>
      </c>
      <c r="AA357" s="26" t="s">
        <v>31</v>
      </c>
      <c r="AB357" s="26" t="s">
        <v>31</v>
      </c>
      <c r="AC357" s="26" t="s">
        <v>31</v>
      </c>
      <c r="AD357" s="26" t="s">
        <v>31</v>
      </c>
      <c r="AE357" s="26" t="s">
        <v>31</v>
      </c>
      <c r="AF357" s="26" t="s">
        <v>31</v>
      </c>
      <c r="AG357" s="26">
        <v>1508</v>
      </c>
      <c r="AH357" s="26">
        <v>24</v>
      </c>
    </row>
    <row r="358" spans="1:34" x14ac:dyDescent="0.2">
      <c r="A358" s="10">
        <f t="shared" si="24"/>
        <v>2025</v>
      </c>
      <c r="B358" s="10">
        <f t="shared" si="25"/>
        <v>1</v>
      </c>
      <c r="D358" s="10" t="s">
        <v>91</v>
      </c>
      <c r="E358" s="25" t="d">
        <v>2025-01-01</v>
      </c>
      <c r="F358" s="26">
        <v>524718</v>
      </c>
      <c r="G358" s="26">
        <v>14424</v>
      </c>
      <c r="H358" s="26">
        <v>101400413</v>
      </c>
      <c r="I358" s="26">
        <v>4847061</v>
      </c>
      <c r="J358" s="26">
        <v>398464</v>
      </c>
      <c r="K358" s="26">
        <v>12488</v>
      </c>
      <c r="L358" s="26">
        <v>1200000</v>
      </c>
      <c r="M358" s="26">
        <v>0</v>
      </c>
      <c r="N358" s="26">
        <v>7700000</v>
      </c>
      <c r="O358" s="26">
        <v>300000</v>
      </c>
      <c r="P358" s="26" t="s">
        <v>31</v>
      </c>
      <c r="Q358" s="26" t="s">
        <v>31</v>
      </c>
      <c r="R358" s="26" t="s">
        <v>31</v>
      </c>
      <c r="S358" s="26" t="s">
        <v>31</v>
      </c>
      <c r="T358" s="26">
        <v>278458</v>
      </c>
      <c r="U358" s="26">
        <v>21535</v>
      </c>
      <c r="V358" s="26">
        <v>0</v>
      </c>
      <c r="W358" s="26">
        <v>913</v>
      </c>
      <c r="X358" s="26">
        <v>3</v>
      </c>
      <c r="Y358" s="26" t="s">
        <v>31</v>
      </c>
      <c r="Z358" s="26" t="s">
        <v>31</v>
      </c>
      <c r="AA358" s="26" t="s">
        <v>31</v>
      </c>
      <c r="AB358" s="26" t="s">
        <v>31</v>
      </c>
      <c r="AC358" s="26" t="s">
        <v>31</v>
      </c>
      <c r="AD358" s="26" t="s">
        <v>31</v>
      </c>
      <c r="AE358" s="26" t="s">
        <v>31</v>
      </c>
      <c r="AF358" s="26" t="s">
        <v>31</v>
      </c>
      <c r="AG358" s="26">
        <v>1540</v>
      </c>
      <c r="AH358" s="26">
        <v>32</v>
      </c>
    </row>
    <row r="359" spans="1:34" x14ac:dyDescent="0.2">
      <c r="A359" s="10">
        <f t="shared" si="24"/>
        <v>2025</v>
      </c>
      <c r="B359" s="10">
        <f t="shared" si="25"/>
        <v>2</v>
      </c>
      <c r="D359" s="10" t="s">
        <v>91</v>
      </c>
      <c r="E359" s="25" t="d">
        <v>2025-02-01</v>
      </c>
      <c r="F359" s="26">
        <v>535346</v>
      </c>
      <c r="G359" s="26">
        <v>10628</v>
      </c>
      <c r="H359" s="26">
        <v>105479338</v>
      </c>
      <c r="I359" s="26">
        <v>4078925</v>
      </c>
      <c r="J359" s="26">
        <v>323628</v>
      </c>
      <c r="K359" s="26">
        <v>-74836</v>
      </c>
      <c r="L359" s="26">
        <v>1200000</v>
      </c>
      <c r="M359" s="26">
        <v>0</v>
      </c>
      <c r="N359" s="26">
        <v>7900000</v>
      </c>
      <c r="O359" s="26">
        <v>200000</v>
      </c>
      <c r="P359" s="26" t="s">
        <v>31</v>
      </c>
      <c r="Q359" s="26" t="s">
        <v>31</v>
      </c>
      <c r="R359" s="26" t="s">
        <v>31</v>
      </c>
      <c r="S359" s="26" t="s">
        <v>31</v>
      </c>
      <c r="T359" s="26">
        <v>278458</v>
      </c>
      <c r="U359" s="26">
        <v>0</v>
      </c>
      <c r="V359" s="26">
        <v>0</v>
      </c>
      <c r="W359" s="26">
        <v>913</v>
      </c>
      <c r="X359" s="26">
        <v>0</v>
      </c>
      <c r="Y359" s="26" t="s">
        <v>31</v>
      </c>
      <c r="Z359" s="26" t="s">
        <v>31</v>
      </c>
      <c r="AA359" s="26" t="s">
        <v>31</v>
      </c>
      <c r="AB359" s="26" t="s">
        <v>31</v>
      </c>
      <c r="AC359" s="26" t="s">
        <v>31</v>
      </c>
      <c r="AD359" s="26" t="s">
        <v>31</v>
      </c>
      <c r="AE359" s="26" t="s">
        <v>31</v>
      </c>
      <c r="AF359" s="26" t="s">
        <v>31</v>
      </c>
      <c r="AG359" s="26">
        <v>1578</v>
      </c>
      <c r="AH359" s="26">
        <v>38</v>
      </c>
    </row>
    <row r="360" spans="1:34" x14ac:dyDescent="0.2">
      <c r="A360" s="10">
        <f t="shared" si="24"/>
        <v>2025</v>
      </c>
      <c r="B360" s="10">
        <f t="shared" si="25"/>
        <v>3</v>
      </c>
      <c r="D360" s="10" t="s">
        <v>91</v>
      </c>
      <c r="E360" s="25" t="d">
        <v>2025-03-01</v>
      </c>
      <c r="F360" s="26">
        <v>543204</v>
      </c>
      <c r="G360" s="26">
        <v>7858</v>
      </c>
      <c r="H360" s="26">
        <v>111143124</v>
      </c>
      <c r="I360" s="26">
        <v>5459031</v>
      </c>
      <c r="J360" s="26">
        <v>358736</v>
      </c>
      <c r="K360" s="26">
        <v>35108</v>
      </c>
      <c r="L360" s="26">
        <v>1200000</v>
      </c>
      <c r="M360" s="26">
        <v>0</v>
      </c>
      <c r="N360" s="26">
        <v>7900000</v>
      </c>
      <c r="O360" s="26">
        <v>0</v>
      </c>
      <c r="P360" s="26" t="s">
        <v>31</v>
      </c>
      <c r="Q360" s="26" t="s">
        <v>31</v>
      </c>
      <c r="R360" s="26" t="s">
        <v>31</v>
      </c>
      <c r="S360" s="26" t="s">
        <v>31</v>
      </c>
      <c r="T360" s="26">
        <v>278458</v>
      </c>
      <c r="U360" s="26">
        <v>0</v>
      </c>
      <c r="V360" s="26">
        <v>0</v>
      </c>
      <c r="W360" s="26">
        <v>919</v>
      </c>
      <c r="X360" s="26">
        <v>6</v>
      </c>
      <c r="Y360" s="26" t="s">
        <v>31</v>
      </c>
      <c r="Z360" s="26" t="s">
        <v>31</v>
      </c>
      <c r="AA360" s="26" t="s">
        <v>31</v>
      </c>
      <c r="AB360" s="26" t="s">
        <v>31</v>
      </c>
      <c r="AC360" s="26" t="s">
        <v>31</v>
      </c>
      <c r="AD360" s="26" t="s">
        <v>31</v>
      </c>
      <c r="AE360" s="26" t="s">
        <v>31</v>
      </c>
      <c r="AF360" s="26" t="s">
        <v>31</v>
      </c>
      <c r="AG360" s="26">
        <v>1599</v>
      </c>
      <c r="AH360" s="26">
        <v>21</v>
      </c>
    </row>
    <row r="361" spans="1:34" x14ac:dyDescent="0.2">
      <c r="A361" s="10">
        <f t="shared" si="24"/>
        <v>2025</v>
      </c>
      <c r="B361" s="10">
        <f t="shared" si="25"/>
        <v>4</v>
      </c>
      <c r="D361" s="10" t="s">
        <v>91</v>
      </c>
      <c r="E361" s="25" t="d">
        <v>2025-04-01</v>
      </c>
      <c r="F361" s="26">
        <v>549868</v>
      </c>
      <c r="G361" s="26">
        <v>6664</v>
      </c>
      <c r="H361" s="26">
        <v>117078129</v>
      </c>
      <c r="I361" s="26">
        <v>5935459</v>
      </c>
      <c r="J361" s="26">
        <v>320275</v>
      </c>
      <c r="K361" s="26">
        <v>-38461</v>
      </c>
      <c r="L361" s="26">
        <v>1200000</v>
      </c>
      <c r="M361" s="26">
        <v>0</v>
      </c>
      <c r="N361" s="26">
        <v>7900000</v>
      </c>
      <c r="O361" s="26">
        <v>0</v>
      </c>
      <c r="P361" s="26" t="s">
        <v>31</v>
      </c>
      <c r="Q361" s="26" t="s">
        <v>31</v>
      </c>
      <c r="R361" s="26" t="s">
        <v>31</v>
      </c>
      <c r="S361" s="26" t="s">
        <v>31</v>
      </c>
      <c r="T361" s="26">
        <v>278458</v>
      </c>
      <c r="U361" s="26">
        <v>0</v>
      </c>
      <c r="V361" s="26">
        <v>0</v>
      </c>
      <c r="W361" s="26">
        <v>920</v>
      </c>
      <c r="X361" s="26">
        <v>1</v>
      </c>
      <c r="Y361" s="26" t="s">
        <v>31</v>
      </c>
      <c r="Z361" s="26" t="s">
        <v>31</v>
      </c>
      <c r="AA361" s="26" t="s">
        <v>31</v>
      </c>
      <c r="AB361" s="26" t="s">
        <v>31</v>
      </c>
      <c r="AC361" s="26" t="s">
        <v>31</v>
      </c>
      <c r="AD361" s="26" t="s">
        <v>31</v>
      </c>
      <c r="AE361" s="26" t="s">
        <v>31</v>
      </c>
      <c r="AF361" s="26" t="s">
        <v>31</v>
      </c>
      <c r="AG361" s="26">
        <v>1642</v>
      </c>
      <c r="AH361" s="26">
        <v>43</v>
      </c>
    </row>
    <row r="362" spans="1:34" x14ac:dyDescent="0.2">
      <c r="A362" s="10">
        <f t="shared" si="24"/>
        <v>2025</v>
      </c>
      <c r="B362" s="10">
        <f t="shared" si="25"/>
        <v>5</v>
      </c>
      <c r="D362" s="10" t="s">
        <v>91</v>
      </c>
      <c r="E362" s="25" t="d">
        <v>2025-05-01</v>
      </c>
      <c r="F362" s="26">
        <v>557915</v>
      </c>
      <c r="G362" s="26">
        <v>8047</v>
      </c>
      <c r="H362" s="26">
        <v>121877389</v>
      </c>
      <c r="I362" s="26">
        <v>4795745</v>
      </c>
      <c r="J362" s="26">
        <v>296840</v>
      </c>
      <c r="K362" s="26">
        <v>-23435</v>
      </c>
      <c r="L362" s="26">
        <v>1200000</v>
      </c>
      <c r="M362" s="26">
        <v>0</v>
      </c>
      <c r="N362" s="26">
        <v>7900000</v>
      </c>
      <c r="O362" s="26">
        <v>0</v>
      </c>
      <c r="P362" s="26" t="s">
        <v>31</v>
      </c>
      <c r="Q362" s="26" t="s">
        <v>31</v>
      </c>
      <c r="R362" s="26" t="s">
        <v>31</v>
      </c>
      <c r="S362" s="26" t="s">
        <v>31</v>
      </c>
      <c r="T362" s="26">
        <v>278458</v>
      </c>
      <c r="U362" s="26">
        <v>0</v>
      </c>
      <c r="V362" s="26">
        <v>0</v>
      </c>
      <c r="W362" s="26">
        <v>928</v>
      </c>
      <c r="X362" s="26">
        <v>8</v>
      </c>
      <c r="Y362" s="26" t="s">
        <v>31</v>
      </c>
      <c r="Z362" s="26" t="s">
        <v>31</v>
      </c>
      <c r="AA362" s="26" t="s">
        <v>31</v>
      </c>
      <c r="AB362" s="26" t="s">
        <v>31</v>
      </c>
      <c r="AC362" s="26" t="s">
        <v>31</v>
      </c>
      <c r="AD362" s="26" t="s">
        <v>31</v>
      </c>
      <c r="AE362" s="26" t="s">
        <v>31</v>
      </c>
      <c r="AF362" s="26" t="s">
        <v>31</v>
      </c>
      <c r="AG362" s="26">
        <v>1677</v>
      </c>
      <c r="AH362" s="26">
        <v>35</v>
      </c>
    </row>
    <row r="363" spans="1:34" x14ac:dyDescent="0.2">
      <c r="A363" s="10">
        <f t="shared" si="24"/>
        <v>2025</v>
      </c>
      <c r="B363" s="10">
        <f t="shared" si="25"/>
        <v>6</v>
      </c>
      <c r="D363" s="10" t="s">
        <v>91</v>
      </c>
      <c r="E363" s="25" t="d">
        <v>2025-06-01</v>
      </c>
      <c r="F363" s="26">
        <v>565262</v>
      </c>
      <c r="G363" s="26">
        <v>7347</v>
      </c>
      <c r="H363" s="26">
        <v>126774255</v>
      </c>
      <c r="I363" s="26">
        <v>4896866</v>
      </c>
      <c r="J363" s="26">
        <v>273489</v>
      </c>
      <c r="K363" s="26">
        <v>-23351</v>
      </c>
      <c r="L363" s="26">
        <v>1200000</v>
      </c>
      <c r="M363" s="26">
        <v>0</v>
      </c>
      <c r="N363" s="26">
        <v>7900000</v>
      </c>
      <c r="O363" s="26">
        <v>0</v>
      </c>
      <c r="P363" s="26" t="s">
        <v>31</v>
      </c>
      <c r="Q363" s="26" t="s">
        <v>31</v>
      </c>
      <c r="R363" s="26" t="s">
        <v>31</v>
      </c>
      <c r="S363" s="26" t="s">
        <v>31</v>
      </c>
      <c r="T363" s="26">
        <v>278458</v>
      </c>
      <c r="U363" s="26">
        <v>0</v>
      </c>
      <c r="V363" s="26">
        <v>0</v>
      </c>
      <c r="W363" s="26">
        <v>939</v>
      </c>
      <c r="X363" s="26">
        <v>11</v>
      </c>
      <c r="Y363" s="26" t="s">
        <v>31</v>
      </c>
      <c r="Z363" s="26" t="s">
        <v>31</v>
      </c>
      <c r="AA363" s="26" t="s">
        <v>31</v>
      </c>
      <c r="AB363" s="26" t="s">
        <v>31</v>
      </c>
      <c r="AC363" s="26" t="s">
        <v>31</v>
      </c>
      <c r="AD363" s="26" t="s">
        <v>31</v>
      </c>
      <c r="AE363" s="26" t="s">
        <v>31</v>
      </c>
      <c r="AF363" s="26" t="s">
        <v>31</v>
      </c>
      <c r="AG363" s="26">
        <v>1712</v>
      </c>
      <c r="AH363" s="26">
        <v>35</v>
      </c>
    </row>
    <row r="364" spans="1:34" x14ac:dyDescent="0.2">
      <c r="A364" s="10">
        <f t="shared" si="24"/>
        <v>2025</v>
      </c>
      <c r="B364" s="10">
        <f t="shared" si="25"/>
        <v>7</v>
      </c>
      <c r="D364" s="10" t="s">
        <v>91</v>
      </c>
      <c r="E364" s="25" t="d">
        <v>2025-07-01</v>
      </c>
      <c r="F364" s="26">
        <v>572379</v>
      </c>
      <c r="G364" s="26">
        <v>7117</v>
      </c>
      <c r="H364" s="26">
        <v>131199741</v>
      </c>
      <c r="I364" s="26">
        <v>4425486</v>
      </c>
      <c r="J364" s="26">
        <v>279494</v>
      </c>
      <c r="K364" s="26">
        <v>6005</v>
      </c>
      <c r="L364" s="26">
        <v>1290000</v>
      </c>
      <c r="M364" s="26">
        <v>90000</v>
      </c>
      <c r="N364" s="26">
        <v>8760000</v>
      </c>
      <c r="O364" s="26">
        <v>860000</v>
      </c>
      <c r="P364" s="26" t="s">
        <v>31</v>
      </c>
      <c r="Q364" s="26" t="s">
        <v>31</v>
      </c>
      <c r="R364" s="26" t="s">
        <v>31</v>
      </c>
      <c r="S364" s="26" t="s">
        <v>31</v>
      </c>
      <c r="T364" s="26">
        <v>291065</v>
      </c>
      <c r="U364" s="26">
        <v>12607</v>
      </c>
      <c r="V364" s="26">
        <v>0</v>
      </c>
      <c r="W364" s="26">
        <v>953</v>
      </c>
      <c r="X364" s="26">
        <v>14</v>
      </c>
      <c r="Y364" s="26" t="s">
        <v>31</v>
      </c>
      <c r="Z364" s="26" t="s">
        <v>31</v>
      </c>
      <c r="AA364" s="26" t="s">
        <v>31</v>
      </c>
      <c r="AB364" s="26" t="s">
        <v>31</v>
      </c>
      <c r="AC364" s="26" t="s">
        <v>31</v>
      </c>
      <c r="AD364" s="26" t="s">
        <v>31</v>
      </c>
      <c r="AE364" s="26" t="s">
        <v>31</v>
      </c>
      <c r="AF364" s="26" t="s">
        <v>31</v>
      </c>
      <c r="AG364" s="26">
        <v>1742</v>
      </c>
      <c r="AH364" s="26">
        <v>30</v>
      </c>
    </row>
    <row r="365" spans="1:34" x14ac:dyDescent="0.2">
      <c r="A365" s="10">
        <f t="shared" si="24"/>
        <v>2025</v>
      </c>
      <c r="B365" s="10">
        <f t="shared" si="25"/>
        <v>8</v>
      </c>
      <c r="D365" s="10" t="s">
        <v>91</v>
      </c>
      <c r="E365" s="25" t="d">
        <v>2025-08-01</v>
      </c>
      <c r="F365" s="26">
        <v>579828</v>
      </c>
      <c r="G365" s="26">
        <v>7449</v>
      </c>
      <c r="H365" s="26">
        <v>135328972</v>
      </c>
      <c r="I365" s="26">
        <v>4125000</v>
      </c>
      <c r="J365" s="26">
        <v>261883</v>
      </c>
      <c r="K365" s="26">
        <v>-17611</v>
      </c>
      <c r="L365" s="26">
        <v>1500000</v>
      </c>
      <c r="M365" s="26">
        <v>210000</v>
      </c>
      <c r="N365" s="26">
        <v>10900000</v>
      </c>
      <c r="O365" s="26">
        <v>2140000</v>
      </c>
      <c r="P365" s="26" t="s">
        <v>31</v>
      </c>
      <c r="Q365" s="26" t="s">
        <v>31</v>
      </c>
      <c r="R365" s="26" t="s">
        <v>31</v>
      </c>
      <c r="S365" s="26" t="s">
        <v>31</v>
      </c>
      <c r="T365" s="26">
        <v>290685</v>
      </c>
      <c r="U365" s="26">
        <v>-380</v>
      </c>
      <c r="V365" s="26">
        <v>527</v>
      </c>
      <c r="W365" s="26">
        <v>970</v>
      </c>
      <c r="X365" s="26">
        <v>17</v>
      </c>
      <c r="Y365" s="26" t="s">
        <v>31</v>
      </c>
      <c r="Z365" s="26" t="s">
        <v>31</v>
      </c>
      <c r="AA365" s="26" t="s">
        <v>31</v>
      </c>
      <c r="AB365" s="26" t="s">
        <v>31</v>
      </c>
      <c r="AC365" s="26" t="s">
        <v>31</v>
      </c>
      <c r="AD365" s="26" t="s">
        <v>31</v>
      </c>
      <c r="AE365" s="26" t="s">
        <v>31</v>
      </c>
      <c r="AF365" s="26" t="s">
        <v>31</v>
      </c>
      <c r="AG365" s="26">
        <v>1776</v>
      </c>
      <c r="AH365" s="26">
        <v>34</v>
      </c>
    </row>
    <row r="366" spans="1:34" x14ac:dyDescent="0.2">
      <c r="A366" s="10">
        <f t="shared" si="24"/>
        <v>2025</v>
      </c>
      <c r="B366" s="10">
        <f t="shared" si="25"/>
        <v>9</v>
      </c>
      <c r="D366" s="10" t="s">
        <v>91</v>
      </c>
      <c r="E366" s="25" t="d">
        <v>2025-09-01</v>
      </c>
      <c r="F366" s="26">
        <v>587351</v>
      </c>
      <c r="G366" s="26">
        <v>7523</v>
      </c>
      <c r="H366" s="26">
        <v>139127146</v>
      </c>
      <c r="I366" s="26">
        <v>3783532</v>
      </c>
      <c r="J366" s="26">
        <v>259894</v>
      </c>
      <c r="K366" s="26">
        <v>-1989</v>
      </c>
      <c r="L366" s="26">
        <v>1500000</v>
      </c>
      <c r="M366" s="26">
        <v>0</v>
      </c>
      <c r="N366" s="26">
        <v>11400000</v>
      </c>
      <c r="O366" s="26">
        <v>500000</v>
      </c>
      <c r="P366" s="26" t="s">
        <v>31</v>
      </c>
      <c r="Q366" s="26" t="s">
        <v>31</v>
      </c>
      <c r="R366" s="26" t="s">
        <v>31</v>
      </c>
      <c r="S366" s="26" t="s">
        <v>31</v>
      </c>
      <c r="T366" s="26">
        <v>290053</v>
      </c>
      <c r="U366" s="26">
        <v>-632</v>
      </c>
      <c r="V366" s="26">
        <v>307</v>
      </c>
      <c r="W366" s="26">
        <v>1035</v>
      </c>
      <c r="X366" s="26">
        <v>65</v>
      </c>
      <c r="Y366" s="26" t="s">
        <v>31</v>
      </c>
      <c r="Z366" s="26" t="s">
        <v>31</v>
      </c>
      <c r="AA366" s="26" t="s">
        <v>31</v>
      </c>
      <c r="AB366" s="26" t="s">
        <v>31</v>
      </c>
      <c r="AC366" s="26" t="s">
        <v>31</v>
      </c>
      <c r="AD366" s="26" t="s">
        <v>31</v>
      </c>
      <c r="AE366" s="26" t="s">
        <v>31</v>
      </c>
      <c r="AF366" s="26" t="s">
        <v>31</v>
      </c>
      <c r="AG366" s="26">
        <v>1810</v>
      </c>
      <c r="AH366" s="26">
        <v>34</v>
      </c>
    </row>
    <row r="367" spans="1:34" x14ac:dyDescent="0.2">
      <c r="A367" s="10">
        <f t="shared" si="24"/>
        <v>2025</v>
      </c>
      <c r="B367" s="10">
        <f t="shared" si="25"/>
        <v>10</v>
      </c>
      <c r="D367" s="10" t="s">
        <v>91</v>
      </c>
      <c r="E367" s="25" t="d">
        <v>2025-10-01</v>
      </c>
      <c r="F367" s="26">
        <v>594893</v>
      </c>
      <c r="G367" s="26">
        <v>7542</v>
      </c>
      <c r="H367" s="26">
        <v>143078371</v>
      </c>
      <c r="I367" s="26">
        <v>3755287</v>
      </c>
      <c r="J367" s="26">
        <v>430813</v>
      </c>
      <c r="K367" s="26">
        <v>170919</v>
      </c>
      <c r="L367" s="26">
        <v>1600000</v>
      </c>
      <c r="M367" s="26">
        <v>100000</v>
      </c>
      <c r="N367" s="26">
        <v>11600000</v>
      </c>
      <c r="O367" s="26">
        <v>200000</v>
      </c>
      <c r="P367" s="26" t="s">
        <v>31</v>
      </c>
      <c r="Q367" s="26" t="s">
        <v>31</v>
      </c>
      <c r="R367" s="26" t="s">
        <v>31</v>
      </c>
      <c r="S367" s="26" t="s">
        <v>31</v>
      </c>
      <c r="T367" s="26">
        <v>290141</v>
      </c>
      <c r="U367" s="26">
        <v>88</v>
      </c>
      <c r="V367" s="26">
        <v>2348</v>
      </c>
      <c r="W367" s="26">
        <v>1130</v>
      </c>
      <c r="X367" s="26">
        <v>95</v>
      </c>
      <c r="Y367" s="26" t="s">
        <v>31</v>
      </c>
      <c r="Z367" s="26" t="s">
        <v>31</v>
      </c>
      <c r="AA367" s="26" t="s">
        <v>31</v>
      </c>
      <c r="AB367" s="26" t="s">
        <v>31</v>
      </c>
      <c r="AC367" s="26" t="s">
        <v>31</v>
      </c>
      <c r="AD367" s="26" t="s">
        <v>31</v>
      </c>
      <c r="AE367" s="26" t="s">
        <v>31</v>
      </c>
      <c r="AF367" s="26" t="s">
        <v>31</v>
      </c>
      <c r="AG367" s="26">
        <v>1834</v>
      </c>
      <c r="AH367" s="26">
        <v>24</v>
      </c>
    </row>
    <row r="368" spans="1:34" x14ac:dyDescent="0.2">
      <c r="A368" s="10">
        <f t="shared" si="24"/>
        <v>2025</v>
      </c>
      <c r="B368" s="10">
        <f t="shared" si="25"/>
        <v>11</v>
      </c>
      <c r="D368" s="10" t="s">
        <v>91</v>
      </c>
      <c r="E368" s="25" t="d">
        <v>2025-11-01</v>
      </c>
      <c r="F368" s="26">
        <v>604137</v>
      </c>
      <c r="G368" s="26">
        <v>9244</v>
      </c>
      <c r="H368" s="26">
        <v>139365432</v>
      </c>
      <c r="I368" s="26">
        <v>5441888</v>
      </c>
      <c r="J368" s="26">
        <v>799804</v>
      </c>
      <c r="K368" s="26">
        <v>368991</v>
      </c>
      <c r="L368" s="26">
        <v>1600000</v>
      </c>
      <c r="M368" s="26">
        <v>0</v>
      </c>
      <c r="N368" s="26">
        <v>11700000</v>
      </c>
      <c r="O368" s="26">
        <v>100000</v>
      </c>
      <c r="P368" s="26" t="s">
        <v>31</v>
      </c>
      <c r="Q368" s="26" t="s">
        <v>31</v>
      </c>
      <c r="R368" s="26" t="s">
        <v>31</v>
      </c>
      <c r="S368" s="26" t="s">
        <v>31</v>
      </c>
      <c r="T368" s="26">
        <v>290141</v>
      </c>
      <c r="U368" s="26">
        <v>0</v>
      </c>
      <c r="V368" s="26">
        <v>0</v>
      </c>
      <c r="W368" s="26">
        <v>1209</v>
      </c>
      <c r="X368" s="26">
        <v>81</v>
      </c>
      <c r="Y368" s="26" t="s">
        <v>31</v>
      </c>
      <c r="Z368" s="26" t="s">
        <v>31</v>
      </c>
      <c r="AA368" s="26" t="s">
        <v>31</v>
      </c>
      <c r="AB368" s="26" t="s">
        <v>31</v>
      </c>
      <c r="AC368" s="26" t="s">
        <v>31</v>
      </c>
      <c r="AD368" s="26" t="s">
        <v>31</v>
      </c>
      <c r="AE368" s="26" t="s">
        <v>31</v>
      </c>
      <c r="AF368" s="26" t="s">
        <v>31</v>
      </c>
      <c r="AG368" s="26">
        <v>1869</v>
      </c>
      <c r="AH368" s="26">
        <v>35</v>
      </c>
    </row>
    <row r="369" spans="1:34" x14ac:dyDescent="0.2">
      <c r="A369" s="10">
        <f t="shared" si="24"/>
        <v>2025</v>
      </c>
      <c r="B369" s="10">
        <f t="shared" si="25"/>
        <v>12</v>
      </c>
      <c r="D369" s="10" t="s">
        <v>91</v>
      </c>
      <c r="E369" s="25" t="d">
        <v>2025-12-01</v>
      </c>
      <c r="F369" s="26">
        <v>623372</v>
      </c>
      <c r="G369" s="26">
        <v>19235</v>
      </c>
      <c r="H369" s="26">
        <v>145008500</v>
      </c>
      <c r="I369" s="26">
        <v>5637062</v>
      </c>
      <c r="J369" s="26">
        <v>921468</v>
      </c>
      <c r="K369" s="26">
        <v>121664</v>
      </c>
      <c r="L369" s="26">
        <v>1600000</v>
      </c>
      <c r="M369" s="26">
        <v>0</v>
      </c>
      <c r="N369" s="26">
        <v>11800000</v>
      </c>
      <c r="O369" s="26">
        <v>100000</v>
      </c>
      <c r="P369" s="26" t="s">
        <v>31</v>
      </c>
      <c r="Q369" s="26" t="s">
        <v>31</v>
      </c>
      <c r="R369" s="26" t="s">
        <v>31</v>
      </c>
      <c r="S369" s="26" t="s">
        <v>31</v>
      </c>
      <c r="T369" s="26">
        <v>290141</v>
      </c>
      <c r="U369" s="26">
        <v>0</v>
      </c>
      <c r="V369" s="26">
        <v>0</v>
      </c>
      <c r="W369" s="26">
        <v>1317</v>
      </c>
      <c r="X369" s="26">
        <v>108</v>
      </c>
      <c r="Y369" s="26" t="s">
        <v>31</v>
      </c>
      <c r="Z369" s="26" t="s">
        <v>31</v>
      </c>
      <c r="AA369" s="26" t="s">
        <v>31</v>
      </c>
      <c r="AB369" s="26" t="s">
        <v>31</v>
      </c>
      <c r="AC369" s="26" t="s">
        <v>31</v>
      </c>
      <c r="AD369" s="26" t="s">
        <v>31</v>
      </c>
      <c r="AE369" s="26" t="s">
        <v>31</v>
      </c>
      <c r="AF369" s="26" t="s">
        <v>31</v>
      </c>
      <c r="AG369" s="26">
        <v>1897</v>
      </c>
      <c r="AH369" s="26">
        <v>28</v>
      </c>
    </row>
    <row r="370" spans="1:34" x14ac:dyDescent="0.2">
      <c r="A370" s="10">
        <f t="shared" si="24"/>
        <v>2026</v>
      </c>
      <c r="B370" s="10">
        <f t="shared" si="25"/>
        <v>1</v>
      </c>
      <c r="D370" s="10" t="s">
        <v>91</v>
      </c>
      <c r="E370" s="25" t="d">
        <v>2026-01-01</v>
      </c>
      <c r="F370" s="26">
        <v>651509</v>
      </c>
      <c r="G370" s="26">
        <v>28137</v>
      </c>
      <c r="H370" s="26">
        <v>164203186</v>
      </c>
      <c r="I370" s="26">
        <v>7120901</v>
      </c>
      <c r="J370" s="26">
        <v>1227036</v>
      </c>
      <c r="K370" s="26">
        <v>305568</v>
      </c>
      <c r="L370" s="26">
        <v>1600000</v>
      </c>
      <c r="M370" s="26">
        <v>0</v>
      </c>
      <c r="N370" s="26">
        <v>11800000</v>
      </c>
      <c r="O370" s="26">
        <v>0</v>
      </c>
      <c r="P370" s="26" t="s">
        <v>31</v>
      </c>
      <c r="Q370" s="26" t="s">
        <v>31</v>
      </c>
      <c r="R370" s="26" t="s">
        <v>31</v>
      </c>
      <c r="S370" s="26" t="s">
        <v>31</v>
      </c>
      <c r="T370" s="26">
        <v>290141</v>
      </c>
      <c r="U370" s="26">
        <v>0</v>
      </c>
      <c r="V370" s="26">
        <v>0</v>
      </c>
      <c r="W370" s="26">
        <v>1423</v>
      </c>
      <c r="X370" s="26">
        <v>106</v>
      </c>
      <c r="Y370" s="26" t="s">
        <v>31</v>
      </c>
      <c r="Z370" s="26" t="s">
        <v>31</v>
      </c>
      <c r="AA370" s="26" t="s">
        <v>31</v>
      </c>
      <c r="AB370" s="26" t="s">
        <v>31</v>
      </c>
      <c r="AC370" s="26" t="s">
        <v>31</v>
      </c>
      <c r="AD370" s="26" t="s">
        <v>31</v>
      </c>
      <c r="AE370" s="26" t="s">
        <v>31</v>
      </c>
      <c r="AF370" s="26" t="s">
        <v>31</v>
      </c>
      <c r="AG370" s="26">
        <v>1935</v>
      </c>
      <c r="AH370" s="26">
        <v>38</v>
      </c>
    </row>
    <row r="371" spans="1:34" x14ac:dyDescent="0.2">
      <c r="A371" s="10">
        <f t="shared" si="24"/>
        <v>2026</v>
      </c>
      <c r="B371" s="10">
        <f t="shared" si="25"/>
        <v>2</v>
      </c>
      <c r="D371" s="10" t="s">
        <v>91</v>
      </c>
      <c r="E371" s="25" t="d">
        <v>2026-02-01</v>
      </c>
      <c r="F371" s="26">
        <v>673305</v>
      </c>
      <c r="G371" s="26">
        <v>21796</v>
      </c>
      <c r="H371" s="26">
        <v>169669448</v>
      </c>
      <c r="I371" s="26">
        <v>5460021</v>
      </c>
      <c r="J371" s="26">
        <v>923213</v>
      </c>
      <c r="K371" s="26">
        <v>-303823</v>
      </c>
      <c r="L371" s="26">
        <v>1600000</v>
      </c>
      <c r="M371" s="26">
        <v>0</v>
      </c>
      <c r="N371" s="26">
        <v>11800000</v>
      </c>
      <c r="O371" s="26">
        <v>0</v>
      </c>
      <c r="P371" s="26" t="s">
        <v>31</v>
      </c>
      <c r="Q371" s="26" t="s">
        <v>31</v>
      </c>
      <c r="R371" s="26" t="s">
        <v>31</v>
      </c>
      <c r="S371" s="26" t="s">
        <v>31</v>
      </c>
      <c r="T371" s="26">
        <v>290141</v>
      </c>
      <c r="U371" s="26">
        <v>0</v>
      </c>
      <c r="V371" s="26">
        <v>0</v>
      </c>
      <c r="W371" s="26">
        <v>1541</v>
      </c>
      <c r="X371" s="26">
        <v>118</v>
      </c>
      <c r="Y371" s="26" t="s">
        <v>31</v>
      </c>
      <c r="Z371" s="26" t="s">
        <v>31</v>
      </c>
      <c r="AA371" s="26" t="s">
        <v>31</v>
      </c>
      <c r="AB371" s="26" t="s">
        <v>31</v>
      </c>
      <c r="AC371" s="26" t="s">
        <v>31</v>
      </c>
      <c r="AD371" s="26" t="s">
        <v>31</v>
      </c>
      <c r="AE371" s="26" t="s">
        <v>31</v>
      </c>
      <c r="AF371" s="26" t="s">
        <v>31</v>
      </c>
      <c r="AG371" s="26">
        <v>1961</v>
      </c>
      <c r="AH371" s="26">
        <v>26</v>
      </c>
    </row>
    <row r="372" spans="1:34" x14ac:dyDescent="0.2">
      <c r="A372" s="10">
        <f t="shared" si="24"/>
        <v>2026</v>
      </c>
      <c r="B372" s="10">
        <f t="shared" si="25"/>
        <v>3</v>
      </c>
      <c r="D372" s="10" t="s">
        <v>91</v>
      </c>
      <c r="E372" s="25" t="d">
        <v>2026-03-01</v>
      </c>
      <c r="F372" s="26">
        <v>697253</v>
      </c>
      <c r="G372" s="26">
        <v>23948</v>
      </c>
      <c r="H372" s="26">
        <v>176026699</v>
      </c>
      <c r="I372" s="26">
        <v>6314644</v>
      </c>
      <c r="J372" s="26">
        <v>1328977</v>
      </c>
      <c r="K372" s="26">
        <v>405764</v>
      </c>
      <c r="L372" s="26">
        <v>1600000</v>
      </c>
      <c r="M372" s="26">
        <v>0</v>
      </c>
      <c r="N372" s="26">
        <v>11800000</v>
      </c>
      <c r="O372" s="26">
        <v>0</v>
      </c>
      <c r="P372" s="26" t="s">
        <v>31</v>
      </c>
      <c r="Q372" s="26" t="s">
        <v>31</v>
      </c>
      <c r="R372" s="26" t="s">
        <v>31</v>
      </c>
      <c r="S372" s="26" t="s">
        <v>31</v>
      </c>
      <c r="T372" s="26">
        <v>290141</v>
      </c>
      <c r="U372" s="26">
        <v>0</v>
      </c>
      <c r="V372" s="26">
        <v>0</v>
      </c>
      <c r="W372" s="26">
        <v>1629</v>
      </c>
      <c r="X372" s="26">
        <v>88</v>
      </c>
      <c r="Y372" s="26" t="s">
        <v>31</v>
      </c>
      <c r="Z372" s="26" t="s">
        <v>31</v>
      </c>
      <c r="AA372" s="26" t="s">
        <v>31</v>
      </c>
      <c r="AB372" s="26" t="s">
        <v>31</v>
      </c>
      <c r="AC372" s="26" t="s">
        <v>31</v>
      </c>
      <c r="AD372" s="26" t="s">
        <v>31</v>
      </c>
      <c r="AE372" s="26" t="s">
        <v>31</v>
      </c>
      <c r="AF372" s="26" t="s">
        <v>31</v>
      </c>
      <c r="AG372" s="26">
        <v>1990</v>
      </c>
      <c r="AH372" s="26">
        <v>29</v>
      </c>
    </row>
    <row r="373" spans="1:34" x14ac:dyDescent="0.2">
      <c r="A373" s="10">
        <f t="shared" si="24"/>
        <v>2026</v>
      </c>
      <c r="B373" s="10">
        <f t="shared" si="25"/>
        <v>4</v>
      </c>
      <c r="D373" s="10" t="s">
        <v>91</v>
      </c>
      <c r="E373" s="25" t="d">
        <v>2026-04-01</v>
      </c>
      <c r="F373" s="26">
        <v>730714</v>
      </c>
      <c r="G373" s="26">
        <v>33461</v>
      </c>
      <c r="H373" s="26">
        <v>182990665</v>
      </c>
      <c r="I373" s="26">
        <v>6968034</v>
      </c>
      <c r="J373" s="26">
        <v>1497840</v>
      </c>
      <c r="K373" s="26">
        <v>168863</v>
      </c>
      <c r="L373" s="26">
        <v>1685532</v>
      </c>
      <c r="M373" s="26">
        <v>82049</v>
      </c>
      <c r="N373" s="26">
        <v>13490799</v>
      </c>
      <c r="O373" s="26">
        <v>128574</v>
      </c>
      <c r="P373" s="26" t="s">
        <v>31</v>
      </c>
      <c r="Q373" s="26" t="s">
        <v>31</v>
      </c>
      <c r="R373" s="26" t="s">
        <v>31</v>
      </c>
      <c r="S373" s="26" t="s">
        <v>31</v>
      </c>
      <c r="T373" s="26">
        <v>341930</v>
      </c>
      <c r="U373" s="26">
        <v>51789</v>
      </c>
      <c r="V373" s="26">
        <v>37722</v>
      </c>
      <c r="W373" s="26">
        <v>1727</v>
      </c>
      <c r="X373" s="26">
        <v>98</v>
      </c>
      <c r="Y373" s="26">
        <v>12182676</v>
      </c>
      <c r="Z373" s="26">
        <v>87674</v>
      </c>
      <c r="AA373" s="26" t="s">
        <v>31</v>
      </c>
      <c r="AB373" s="26" t="s">
        <v>31</v>
      </c>
      <c r="AC373" s="26" t="s">
        <v>31</v>
      </c>
      <c r="AD373" s="26" t="s">
        <v>31</v>
      </c>
      <c r="AE373" s="26" t="s">
        <v>31</v>
      </c>
      <c r="AF373" s="26" t="s">
        <v>31</v>
      </c>
      <c r="AG373" s="26">
        <v>2032</v>
      </c>
      <c r="AH373" s="26">
        <v>42</v>
      </c>
    </row>
    <row r="374" spans="1:34" x14ac:dyDescent="0.2">
      <c r="A374" s="10">
        <f t="shared" si="24"/>
        <v>2026</v>
      </c>
      <c r="B374" s="10">
        <f t="shared" si="25"/>
        <v>5</v>
      </c>
      <c r="D374" s="10" t="s">
        <v>91</v>
      </c>
      <c r="E374" s="25" t="d">
        <v>2026-05-01</v>
      </c>
      <c r="F374" s="26">
        <v>755355</v>
      </c>
      <c r="G374" s="26">
        <v>24641</v>
      </c>
      <c r="H374" s="26">
        <v>189040180</v>
      </c>
      <c r="I374" s="26">
        <v>6046373</v>
      </c>
      <c r="J374" s="26">
        <v>1296472</v>
      </c>
      <c r="K374" s="26">
        <v>-201368</v>
      </c>
      <c r="L374" s="26">
        <v>1699443</v>
      </c>
      <c r="M374" s="26">
        <v>13911</v>
      </c>
      <c r="N374" s="26">
        <v>13644346</v>
      </c>
      <c r="O374" s="26">
        <v>153547</v>
      </c>
      <c r="P374" s="26" t="s">
        <v>31</v>
      </c>
      <c r="Q374" s="26" t="s">
        <v>31</v>
      </c>
      <c r="R374" s="26" t="s">
        <v>31</v>
      </c>
      <c r="S374" s="26" t="s">
        <v>31</v>
      </c>
      <c r="T374" s="26">
        <v>357112</v>
      </c>
      <c r="U374" s="26">
        <v>15182</v>
      </c>
      <c r="V374" s="26">
        <v>52266</v>
      </c>
      <c r="W374" s="26">
        <v>1818</v>
      </c>
      <c r="X374" s="26">
        <v>91</v>
      </c>
      <c r="Y374" s="26">
        <v>12238940</v>
      </c>
      <c r="Z374" s="26">
        <v>56264</v>
      </c>
      <c r="AA374" s="26" t="s">
        <v>31</v>
      </c>
      <c r="AB374" s="26" t="s">
        <v>31</v>
      </c>
      <c r="AC374" s="26" t="s">
        <v>31</v>
      </c>
      <c r="AD374" s="26" t="s">
        <v>31</v>
      </c>
      <c r="AE374" s="26" t="s">
        <v>31</v>
      </c>
      <c r="AF374" s="26" t="s">
        <v>31</v>
      </c>
      <c r="AG374" s="26">
        <v>2082</v>
      </c>
      <c r="AH374" s="26">
        <v>50</v>
      </c>
    </row>
    <row r="375" spans="1:34" x14ac:dyDescent="0.2">
      <c r="A375" s="10">
        <f t="shared" si="24"/>
        <v>2026</v>
      </c>
      <c r="B375" s="10">
        <f t="shared" si="25"/>
        <v>6</v>
      </c>
      <c r="D375" s="10" t="s">
        <v>91</v>
      </c>
      <c r="E375" s="25" t="d">
        <v>2026-06-01</v>
      </c>
      <c r="F375" s="26">
        <v>780255</v>
      </c>
      <c r="G375" s="26">
        <v>24900</v>
      </c>
      <c r="H375" s="26">
        <v>194119736</v>
      </c>
      <c r="I375" s="26">
        <v>5046190</v>
      </c>
      <c r="J375" s="26">
        <v>1133849</v>
      </c>
      <c r="K375" s="26">
        <v>-162623</v>
      </c>
      <c r="L375" s="26">
        <v>1714110</v>
      </c>
      <c r="M375" s="26">
        <v>14667</v>
      </c>
      <c r="N375" s="26">
        <v>13814395</v>
      </c>
      <c r="O375" s="26">
        <v>170049</v>
      </c>
      <c r="P375" s="26" t="s">
        <v>31</v>
      </c>
      <c r="Q375" s="26" t="s">
        <v>31</v>
      </c>
      <c r="R375" s="26" t="s">
        <v>31</v>
      </c>
      <c r="S375" s="26" t="s">
        <v>31</v>
      </c>
      <c r="T375" s="26">
        <v>368775</v>
      </c>
      <c r="U375" s="26">
        <v>11663</v>
      </c>
      <c r="V375" s="26">
        <v>25118</v>
      </c>
      <c r="W375" s="26">
        <v>1921</v>
      </c>
      <c r="X375" s="26">
        <v>103</v>
      </c>
      <c r="Y375" s="26">
        <v>12582130</v>
      </c>
      <c r="Z375" s="26">
        <v>343190</v>
      </c>
      <c r="AA375" s="26" t="s">
        <v>31</v>
      </c>
      <c r="AB375" s="26" t="s">
        <v>31</v>
      </c>
      <c r="AC375" s="26" t="s">
        <v>31</v>
      </c>
      <c r="AD375" s="26" t="s">
        <v>31</v>
      </c>
      <c r="AE375" s="26" t="s">
        <v>31</v>
      </c>
      <c r="AF375" s="26" t="s">
        <v>31</v>
      </c>
      <c r="AG375" s="26">
        <v>2149</v>
      </c>
      <c r="AH375" s="26">
        <v>67</v>
      </c>
    </row>
    <row r="376" spans="1:34" x14ac:dyDescent="0.2">
      <c r="A376" s="10">
        <f t="shared" si="24"/>
        <v>2026</v>
      </c>
      <c r="B376" s="10">
        <f t="shared" si="25"/>
        <v>7</v>
      </c>
      <c r="D376" s="10" t="s">
        <v>91</v>
      </c>
      <c r="E376" s="25" t="d">
        <v>2026-07-01</v>
      </c>
      <c r="F376" s="26">
        <v>802257</v>
      </c>
      <c r="G376" s="26">
        <v>22002</v>
      </c>
      <c r="H376" s="26">
        <v>198570357</v>
      </c>
      <c r="I376" s="26">
        <v>4438721</v>
      </c>
      <c r="J376" s="26">
        <v>1000659</v>
      </c>
      <c r="K376" s="26">
        <v>-133190</v>
      </c>
      <c r="L376" s="26">
        <v>1744802</v>
      </c>
      <c r="M376" s="26">
        <v>30692</v>
      </c>
      <c r="N376" s="26">
        <v>14178835</v>
      </c>
      <c r="O376" s="26">
        <v>364440</v>
      </c>
      <c r="P376" s="26" t="s">
        <v>31</v>
      </c>
      <c r="Q376" s="26" t="s">
        <v>31</v>
      </c>
      <c r="R376" s="26" t="s">
        <v>31</v>
      </c>
      <c r="S376" s="26" t="s">
        <v>31</v>
      </c>
      <c r="T376" s="26">
        <v>369943</v>
      </c>
      <c r="U376" s="26">
        <v>1168</v>
      </c>
      <c r="V376" s="26">
        <v>7854</v>
      </c>
      <c r="W376" s="26">
        <v>2013</v>
      </c>
      <c r="X376" s="26">
        <v>92</v>
      </c>
      <c r="Y376" s="26">
        <v>12730396</v>
      </c>
      <c r="Z376" s="26">
        <v>148266</v>
      </c>
      <c r="AA376" s="26" t="s">
        <v>31</v>
      </c>
      <c r="AB376" s="26" t="s">
        <v>31</v>
      </c>
      <c r="AC376" s="26" t="s">
        <v>31</v>
      </c>
      <c r="AD376" s="26" t="s">
        <v>31</v>
      </c>
      <c r="AE376" s="26" t="s">
        <v>31</v>
      </c>
      <c r="AF376" s="26" t="s">
        <v>31</v>
      </c>
      <c r="AG376" s="26">
        <v>2194</v>
      </c>
      <c r="AH376" s="26">
        <v>45</v>
      </c>
    </row>
    <row r="377" spans="1:34" x14ac:dyDescent="0.2">
      <c r="A377" s="10">
        <f t="shared" ref="A377:A401" si="26">YEAR(E377)</f>
        <v>2024</v>
      </c>
      <c r="B377" s="10">
        <f t="shared" ref="B377:B401" si="27">MONTH(E377)</f>
        <v>7</v>
      </c>
      <c r="D377" s="10" t="s">
        <v>121</v>
      </c>
      <c r="E377" s="25" t="d">
        <v>2024-07-01</v>
      </c>
      <c r="F377" s="26">
        <v>58965</v>
      </c>
      <c r="G377" s="26">
        <v>9373</v>
      </c>
      <c r="H377" s="26">
        <v>47167532</v>
      </c>
      <c r="I377" s="26">
        <v>2344426</v>
      </c>
      <c r="J377" s="26">
        <v>429339</v>
      </c>
      <c r="K377" s="26">
        <v>-39150</v>
      </c>
      <c r="L377" s="26">
        <v>247000</v>
      </c>
      <c r="M377" s="26">
        <v>14500</v>
      </c>
      <c r="N377" s="26">
        <v>3700000</v>
      </c>
      <c r="O377" s="26">
        <v>300000</v>
      </c>
      <c r="P377" s="26">
        <v>17</v>
      </c>
      <c r="Q377" s="26">
        <v>1</v>
      </c>
      <c r="R377" s="26" t="s">
        <v>31</v>
      </c>
      <c r="S377" s="26" t="s">
        <v>31</v>
      </c>
      <c r="T377" s="26">
        <v>108952</v>
      </c>
      <c r="U377" s="26">
        <v>6262</v>
      </c>
      <c r="V377" s="26">
        <v>29000</v>
      </c>
      <c r="W377" s="26">
        <v>15</v>
      </c>
      <c r="X377" s="26">
        <v>1</v>
      </c>
      <c r="Y377" s="26" t="s">
        <v>31</v>
      </c>
      <c r="Z377" s="26" t="s">
        <v>31</v>
      </c>
      <c r="AA377" s="26" t="s">
        <v>31</v>
      </c>
      <c r="AB377" s="26" t="s">
        <v>31</v>
      </c>
      <c r="AC377" s="26">
        <v>22</v>
      </c>
      <c r="AD377" s="26">
        <v>0</v>
      </c>
      <c r="AE377" s="26" t="s">
        <v>31</v>
      </c>
      <c r="AF377" s="26" t="s">
        <v>31</v>
      </c>
      <c r="AG377" s="26">
        <v>300</v>
      </c>
      <c r="AH377" s="26">
        <v>15</v>
      </c>
    </row>
    <row r="378" spans="1:34" x14ac:dyDescent="0.2">
      <c r="A378" s="10">
        <f t="shared" si="26"/>
        <v>2024</v>
      </c>
      <c r="B378" s="10">
        <f t="shared" si="27"/>
        <v>8</v>
      </c>
      <c r="D378" s="10" t="s">
        <v>121</v>
      </c>
      <c r="E378" s="25" t="d">
        <v>2024-08-01</v>
      </c>
      <c r="F378" s="26">
        <v>69865</v>
      </c>
      <c r="G378" s="26">
        <v>10900</v>
      </c>
      <c r="H378" s="26">
        <v>50040760</v>
      </c>
      <c r="I378" s="26">
        <v>2591076</v>
      </c>
      <c r="J378" s="26">
        <v>561278</v>
      </c>
      <c r="K378" s="26">
        <v>131939</v>
      </c>
      <c r="L378" s="26">
        <v>267000</v>
      </c>
      <c r="M378" s="26">
        <v>20000</v>
      </c>
      <c r="N378" s="26">
        <v>4200000</v>
      </c>
      <c r="O378" s="26">
        <v>500000</v>
      </c>
      <c r="P378" s="26">
        <v>18</v>
      </c>
      <c r="Q378" s="26">
        <v>1</v>
      </c>
      <c r="R378" s="26" t="s">
        <v>31</v>
      </c>
      <c r="S378" s="26" t="s">
        <v>31</v>
      </c>
      <c r="T378" s="26">
        <v>112535</v>
      </c>
      <c r="U378" s="26">
        <v>3583</v>
      </c>
      <c r="V378" s="26">
        <v>18000</v>
      </c>
      <c r="W378" s="26">
        <v>24</v>
      </c>
      <c r="X378" s="26">
        <v>9</v>
      </c>
      <c r="Y378" s="26" t="s">
        <v>31</v>
      </c>
      <c r="Z378" s="26" t="s">
        <v>31</v>
      </c>
      <c r="AA378" s="26" t="s">
        <v>31</v>
      </c>
      <c r="AB378" s="26" t="s">
        <v>31</v>
      </c>
      <c r="AC378" s="26">
        <v>21</v>
      </c>
      <c r="AD378" s="26">
        <v>-1</v>
      </c>
      <c r="AE378" s="26" t="s">
        <v>31</v>
      </c>
      <c r="AF378" s="26" t="s">
        <v>31</v>
      </c>
      <c r="AG378" s="26">
        <v>317</v>
      </c>
      <c r="AH378" s="26">
        <v>17</v>
      </c>
    </row>
    <row r="379" spans="1:34" x14ac:dyDescent="0.2">
      <c r="A379" s="10">
        <f t="shared" si="26"/>
        <v>2024</v>
      </c>
      <c r="B379" s="10">
        <f t="shared" si="27"/>
        <v>9</v>
      </c>
      <c r="D379" s="10" t="s">
        <v>121</v>
      </c>
      <c r="E379" s="25" t="d">
        <v>2024-09-01</v>
      </c>
      <c r="F379" s="26">
        <v>75652</v>
      </c>
      <c r="G379" s="26">
        <v>5787</v>
      </c>
      <c r="H379" s="26">
        <v>53588132</v>
      </c>
      <c r="I379" s="26">
        <v>3488478</v>
      </c>
      <c r="J379" s="26">
        <v>654364</v>
      </c>
      <c r="K379" s="26">
        <v>93086</v>
      </c>
      <c r="L379" s="26">
        <v>277400</v>
      </c>
      <c r="M379" s="26">
        <v>10400</v>
      </c>
      <c r="N379" s="26">
        <v>4500000</v>
      </c>
      <c r="O379" s="26">
        <v>300000</v>
      </c>
      <c r="P379" s="26">
        <v>18</v>
      </c>
      <c r="Q379" s="26">
        <v>0</v>
      </c>
      <c r="R379" s="26" t="s">
        <v>31</v>
      </c>
      <c r="S379" s="26" t="s">
        <v>31</v>
      </c>
      <c r="T379" s="26">
        <v>116620</v>
      </c>
      <c r="U379" s="26">
        <v>4085</v>
      </c>
      <c r="V379" s="26">
        <v>10000</v>
      </c>
      <c r="W379" s="26">
        <v>38</v>
      </c>
      <c r="X379" s="26">
        <v>14</v>
      </c>
      <c r="Y379" s="26" t="s">
        <v>31</v>
      </c>
      <c r="Z379" s="26" t="s">
        <v>31</v>
      </c>
      <c r="AA379" s="26" t="s">
        <v>31</v>
      </c>
      <c r="AB379" s="26" t="s">
        <v>31</v>
      </c>
      <c r="AC379" s="26">
        <v>21</v>
      </c>
      <c r="AD379" s="26">
        <v>0</v>
      </c>
      <c r="AE379" s="26" t="s">
        <v>31</v>
      </c>
      <c r="AF379" s="26" t="s">
        <v>31</v>
      </c>
      <c r="AG379" s="26">
        <v>370</v>
      </c>
      <c r="AH379" s="26">
        <v>53</v>
      </c>
    </row>
    <row r="380" spans="1:34" x14ac:dyDescent="0.2">
      <c r="A380" s="10">
        <f t="shared" si="26"/>
        <v>2024</v>
      </c>
      <c r="B380" s="10">
        <f t="shared" si="27"/>
        <v>10</v>
      </c>
      <c r="D380" s="10" t="s">
        <v>121</v>
      </c>
      <c r="E380" s="25" t="d">
        <v>2024-10-01</v>
      </c>
      <c r="F380" s="26">
        <v>83821</v>
      </c>
      <c r="G380" s="26">
        <v>8169</v>
      </c>
      <c r="H380" s="26">
        <v>57191833</v>
      </c>
      <c r="I380" s="26">
        <v>3476763</v>
      </c>
      <c r="J380" s="26">
        <v>711387</v>
      </c>
      <c r="K380" s="26">
        <v>57023</v>
      </c>
      <c r="L380" s="26">
        <v>287000</v>
      </c>
      <c r="M380" s="26">
        <v>9600</v>
      </c>
      <c r="N380" s="26">
        <v>4700000</v>
      </c>
      <c r="O380" s="26">
        <v>200000</v>
      </c>
      <c r="P380" s="26">
        <v>18</v>
      </c>
      <c r="Q380" s="26">
        <v>0</v>
      </c>
      <c r="R380" s="26" t="s">
        <v>31</v>
      </c>
      <c r="S380" s="26" t="s">
        <v>31</v>
      </c>
      <c r="T380" s="26">
        <v>119227</v>
      </c>
      <c r="U380" s="26">
        <v>2607</v>
      </c>
      <c r="V380" s="26">
        <v>0</v>
      </c>
      <c r="W380" s="26">
        <v>53</v>
      </c>
      <c r="X380" s="26">
        <v>15</v>
      </c>
      <c r="Y380" s="26" t="s">
        <v>31</v>
      </c>
      <c r="Z380" s="26" t="s">
        <v>31</v>
      </c>
      <c r="AA380" s="26" t="s">
        <v>31</v>
      </c>
      <c r="AB380" s="26" t="s">
        <v>31</v>
      </c>
      <c r="AC380" s="26">
        <v>21</v>
      </c>
      <c r="AD380" s="26">
        <v>0</v>
      </c>
      <c r="AE380" s="26" t="s">
        <v>31</v>
      </c>
      <c r="AF380" s="26" t="s">
        <v>31</v>
      </c>
      <c r="AG380" s="26">
        <v>411</v>
      </c>
      <c r="AH380" s="26">
        <v>41</v>
      </c>
    </row>
    <row r="381" spans="1:34" x14ac:dyDescent="0.2">
      <c r="A381" s="10">
        <f t="shared" si="26"/>
        <v>2024</v>
      </c>
      <c r="B381" s="10">
        <f t="shared" si="27"/>
        <v>11</v>
      </c>
      <c r="D381" s="10" t="s">
        <v>121</v>
      </c>
      <c r="E381" s="25" t="d">
        <v>2024-11-01</v>
      </c>
      <c r="F381" s="26">
        <v>94311</v>
      </c>
      <c r="G381" s="26">
        <v>10490</v>
      </c>
      <c r="H381" s="26">
        <v>60733361</v>
      </c>
      <c r="I381" s="26">
        <v>3523315</v>
      </c>
      <c r="J381" s="26">
        <v>678570</v>
      </c>
      <c r="K381" s="26">
        <v>-32817</v>
      </c>
      <c r="L381" s="26">
        <v>287000</v>
      </c>
      <c r="M381" s="26">
        <v>0</v>
      </c>
      <c r="N381" s="26">
        <v>4700000</v>
      </c>
      <c r="O381" s="26">
        <v>0</v>
      </c>
      <c r="P381" s="26">
        <v>18</v>
      </c>
      <c r="Q381" s="26">
        <v>0</v>
      </c>
      <c r="R381" s="26" t="s">
        <v>31</v>
      </c>
      <c r="S381" s="26" t="s">
        <v>31</v>
      </c>
      <c r="T381" s="26">
        <v>122409</v>
      </c>
      <c r="U381" s="26">
        <v>3182</v>
      </c>
      <c r="V381" s="26">
        <v>682</v>
      </c>
      <c r="W381" s="26">
        <v>69</v>
      </c>
      <c r="X381" s="26">
        <v>16</v>
      </c>
      <c r="Y381" s="26" t="s">
        <v>31</v>
      </c>
      <c r="Z381" s="26" t="s">
        <v>31</v>
      </c>
      <c r="AA381" s="26" t="s">
        <v>31</v>
      </c>
      <c r="AB381" s="26" t="s">
        <v>31</v>
      </c>
      <c r="AC381" s="26">
        <v>21</v>
      </c>
      <c r="AD381" s="26">
        <v>0</v>
      </c>
      <c r="AE381" s="26">
        <v>2508</v>
      </c>
      <c r="AF381" s="26">
        <v>0</v>
      </c>
      <c r="AG381" s="26">
        <v>459</v>
      </c>
      <c r="AH381" s="26">
        <v>48</v>
      </c>
    </row>
    <row r="382" spans="1:34" x14ac:dyDescent="0.2">
      <c r="A382" s="10">
        <f t="shared" si="26"/>
        <v>2024</v>
      </c>
      <c r="B382" s="10">
        <f t="shared" si="27"/>
        <v>12</v>
      </c>
      <c r="D382" s="10" t="s">
        <v>121</v>
      </c>
      <c r="E382" s="25" t="d">
        <v>2024-12-01</v>
      </c>
      <c r="F382" s="26">
        <v>104710</v>
      </c>
      <c r="G382" s="26">
        <v>10399</v>
      </c>
      <c r="H382" s="26">
        <v>64057739</v>
      </c>
      <c r="I382" s="26">
        <v>3262181</v>
      </c>
      <c r="J382" s="26">
        <v>701932</v>
      </c>
      <c r="K382" s="26">
        <v>23362</v>
      </c>
      <c r="L382" s="26">
        <v>309600</v>
      </c>
      <c r="M382" s="26">
        <v>22600</v>
      </c>
      <c r="N382" s="26">
        <v>5200000</v>
      </c>
      <c r="O382" s="26">
        <v>500000</v>
      </c>
      <c r="P382" s="26">
        <v>18</v>
      </c>
      <c r="Q382" s="26">
        <v>0</v>
      </c>
      <c r="R382" s="26" t="s">
        <v>31</v>
      </c>
      <c r="S382" s="26" t="s">
        <v>31</v>
      </c>
      <c r="T382" s="26">
        <v>122347</v>
      </c>
      <c r="U382" s="26">
        <v>-62</v>
      </c>
      <c r="V382" s="26">
        <v>14397</v>
      </c>
      <c r="W382" s="26">
        <v>83</v>
      </c>
      <c r="X382" s="26">
        <v>14</v>
      </c>
      <c r="Y382" s="26" t="s">
        <v>31</v>
      </c>
      <c r="Z382" s="26" t="s">
        <v>31</v>
      </c>
      <c r="AA382" s="26" t="s">
        <v>31</v>
      </c>
      <c r="AB382" s="26" t="s">
        <v>31</v>
      </c>
      <c r="AC382" s="26">
        <v>21</v>
      </c>
      <c r="AD382" s="26">
        <v>0</v>
      </c>
      <c r="AE382" s="26">
        <v>2513</v>
      </c>
      <c r="AF382" s="26">
        <v>5</v>
      </c>
      <c r="AG382" s="26">
        <v>506</v>
      </c>
      <c r="AH382" s="26">
        <v>47</v>
      </c>
    </row>
    <row r="383" spans="1:34" x14ac:dyDescent="0.2">
      <c r="A383" s="10">
        <f t="shared" si="26"/>
        <v>2025</v>
      </c>
      <c r="B383" s="10">
        <f t="shared" si="27"/>
        <v>1</v>
      </c>
      <c r="D383" s="10" t="s">
        <v>121</v>
      </c>
      <c r="E383" s="25" t="d">
        <v>2025-01-01</v>
      </c>
      <c r="F383" s="26">
        <v>116681</v>
      </c>
      <c r="G383" s="26">
        <v>11971</v>
      </c>
      <c r="H383" s="26">
        <v>68085667</v>
      </c>
      <c r="I383" s="26">
        <v>3957105</v>
      </c>
      <c r="J383" s="26">
        <v>829890</v>
      </c>
      <c r="K383" s="26">
        <v>127958</v>
      </c>
      <c r="L383" s="26">
        <v>331500</v>
      </c>
      <c r="M383" s="26">
        <v>21900</v>
      </c>
      <c r="N383" s="26">
        <v>5800000</v>
      </c>
      <c r="O383" s="26">
        <v>600000</v>
      </c>
      <c r="P383" s="26">
        <v>18</v>
      </c>
      <c r="Q383" s="26">
        <v>0</v>
      </c>
      <c r="R383" s="26" t="s">
        <v>31</v>
      </c>
      <c r="S383" s="26" t="s">
        <v>31</v>
      </c>
      <c r="T383" s="26">
        <v>125392</v>
      </c>
      <c r="U383" s="26">
        <v>3045</v>
      </c>
      <c r="V383" s="26">
        <v>8526</v>
      </c>
      <c r="W383" s="26">
        <v>94</v>
      </c>
      <c r="X383" s="26">
        <v>11</v>
      </c>
      <c r="Y383" s="26" t="s">
        <v>31</v>
      </c>
      <c r="Z383" s="26" t="s">
        <v>31</v>
      </c>
      <c r="AA383" s="26" t="s">
        <v>31</v>
      </c>
      <c r="AB383" s="26" t="s">
        <v>31</v>
      </c>
      <c r="AC383" s="26">
        <v>21</v>
      </c>
      <c r="AD383" s="26">
        <v>0</v>
      </c>
      <c r="AE383" s="26">
        <v>2517</v>
      </c>
      <c r="AF383" s="26">
        <v>4</v>
      </c>
      <c r="AG383" s="26">
        <v>556</v>
      </c>
      <c r="AH383" s="26">
        <v>50</v>
      </c>
    </row>
    <row r="384" spans="1:34" x14ac:dyDescent="0.2">
      <c r="A384" s="10">
        <f t="shared" si="26"/>
        <v>2025</v>
      </c>
      <c r="B384" s="10">
        <f t="shared" si="27"/>
        <v>2</v>
      </c>
      <c r="D384" s="10" t="s">
        <v>121</v>
      </c>
      <c r="E384" s="25" t="d">
        <v>2025-02-01</v>
      </c>
      <c r="F384" s="26">
        <v>126298</v>
      </c>
      <c r="G384" s="26">
        <v>9617</v>
      </c>
      <c r="H384" s="26">
        <v>70966891</v>
      </c>
      <c r="I384" s="26">
        <v>2881224</v>
      </c>
      <c r="J384" s="26">
        <v>550666</v>
      </c>
      <c r="K384" s="26">
        <v>-279224</v>
      </c>
      <c r="L384" s="26">
        <v>354820</v>
      </c>
      <c r="M384" s="26">
        <v>23320</v>
      </c>
      <c r="N384" s="26">
        <v>6190000</v>
      </c>
      <c r="O384" s="26">
        <v>390000</v>
      </c>
      <c r="P384" s="26">
        <v>18</v>
      </c>
      <c r="Q384" s="26">
        <v>0</v>
      </c>
      <c r="R384" s="26" t="s">
        <v>31</v>
      </c>
      <c r="S384" s="26" t="s">
        <v>31</v>
      </c>
      <c r="T384" s="26">
        <v>133853</v>
      </c>
      <c r="U384" s="26">
        <v>8461</v>
      </c>
      <c r="V384" s="26">
        <v>7769</v>
      </c>
      <c r="W384" s="26">
        <v>104</v>
      </c>
      <c r="X384" s="26">
        <v>10</v>
      </c>
      <c r="Y384" s="26" t="s">
        <v>31</v>
      </c>
      <c r="Z384" s="26" t="s">
        <v>31</v>
      </c>
      <c r="AA384" s="26" t="s">
        <v>31</v>
      </c>
      <c r="AB384" s="26" t="s">
        <v>31</v>
      </c>
      <c r="AC384" s="26">
        <v>23</v>
      </c>
      <c r="AD384" s="26">
        <v>2</v>
      </c>
      <c r="AE384" s="26">
        <v>2520</v>
      </c>
      <c r="AF384" s="26">
        <v>3</v>
      </c>
      <c r="AG384" s="26">
        <v>600</v>
      </c>
      <c r="AH384" s="26">
        <v>44</v>
      </c>
    </row>
    <row r="385" spans="1:34" x14ac:dyDescent="0.2">
      <c r="A385" s="10">
        <f t="shared" si="26"/>
        <v>2025</v>
      </c>
      <c r="B385" s="10">
        <f t="shared" si="27"/>
        <v>3</v>
      </c>
      <c r="D385" s="10" t="s">
        <v>121</v>
      </c>
      <c r="E385" s="25" t="d">
        <v>2025-03-01</v>
      </c>
      <c r="F385" s="26">
        <v>138309</v>
      </c>
      <c r="G385" s="26">
        <v>12011</v>
      </c>
      <c r="H385" s="26">
        <v>76124298</v>
      </c>
      <c r="I385" s="26">
        <v>4887030</v>
      </c>
      <c r="J385" s="26">
        <v>1123763</v>
      </c>
      <c r="K385" s="26">
        <v>573097</v>
      </c>
      <c r="L385" s="26">
        <v>354820</v>
      </c>
      <c r="M385" s="26">
        <v>0</v>
      </c>
      <c r="N385" s="26">
        <v>6190000</v>
      </c>
      <c r="O385" s="26">
        <v>0</v>
      </c>
      <c r="P385" s="26">
        <v>18</v>
      </c>
      <c r="Q385" s="26">
        <v>0</v>
      </c>
      <c r="R385" s="26" t="s">
        <v>31</v>
      </c>
      <c r="S385" s="26" t="s">
        <v>31</v>
      </c>
      <c r="T385" s="26">
        <v>141986</v>
      </c>
      <c r="U385" s="26">
        <v>8133</v>
      </c>
      <c r="V385" s="26">
        <v>3179</v>
      </c>
      <c r="W385" s="26">
        <v>116</v>
      </c>
      <c r="X385" s="26">
        <v>12</v>
      </c>
      <c r="Y385" s="26" t="s">
        <v>31</v>
      </c>
      <c r="Z385" s="26" t="s">
        <v>31</v>
      </c>
      <c r="AA385" s="26" t="s">
        <v>31</v>
      </c>
      <c r="AB385" s="26" t="s">
        <v>31</v>
      </c>
      <c r="AC385" s="26">
        <v>23</v>
      </c>
      <c r="AD385" s="26">
        <v>0</v>
      </c>
      <c r="AE385" s="26">
        <v>2522</v>
      </c>
      <c r="AF385" s="26">
        <v>2</v>
      </c>
      <c r="AG385" s="26">
        <v>644</v>
      </c>
      <c r="AH385" s="26">
        <v>44</v>
      </c>
    </row>
    <row r="386" spans="1:34" x14ac:dyDescent="0.2">
      <c r="A386" s="10">
        <f t="shared" si="26"/>
        <v>2025</v>
      </c>
      <c r="B386" s="10">
        <f t="shared" si="27"/>
        <v>4</v>
      </c>
      <c r="D386" s="10" t="s">
        <v>121</v>
      </c>
      <c r="E386" s="25" t="d">
        <v>2025-04-01</v>
      </c>
      <c r="F386" s="26">
        <v>157469</v>
      </c>
      <c r="G386" s="26">
        <v>19160</v>
      </c>
      <c r="H386" s="26">
        <v>84228630</v>
      </c>
      <c r="I386" s="26">
        <v>6804393</v>
      </c>
      <c r="J386" s="26">
        <v>1464556</v>
      </c>
      <c r="K386" s="26">
        <v>340793</v>
      </c>
      <c r="L386" s="26">
        <v>354820</v>
      </c>
      <c r="M386" s="26">
        <v>0</v>
      </c>
      <c r="N386" s="26">
        <v>6190000</v>
      </c>
      <c r="O386" s="26">
        <v>0</v>
      </c>
      <c r="P386" s="26">
        <v>38</v>
      </c>
      <c r="Q386" s="26">
        <v>20</v>
      </c>
      <c r="R386" s="26" t="s">
        <v>31</v>
      </c>
      <c r="S386" s="26" t="s">
        <v>31</v>
      </c>
      <c r="T386" s="26">
        <v>147461</v>
      </c>
      <c r="U386" s="26">
        <v>5475</v>
      </c>
      <c r="V386" s="26">
        <v>58012</v>
      </c>
      <c r="W386" s="26">
        <v>126</v>
      </c>
      <c r="X386" s="26">
        <v>10</v>
      </c>
      <c r="Y386" s="26" t="s">
        <v>31</v>
      </c>
      <c r="Z386" s="26" t="s">
        <v>31</v>
      </c>
      <c r="AA386" s="26" t="s">
        <v>31</v>
      </c>
      <c r="AB386" s="26" t="s">
        <v>31</v>
      </c>
      <c r="AC386" s="26">
        <v>23</v>
      </c>
      <c r="AD386" s="26">
        <v>0</v>
      </c>
      <c r="AE386" s="26">
        <v>2528</v>
      </c>
      <c r="AF386" s="26">
        <v>6</v>
      </c>
      <c r="AG386" s="26">
        <v>742</v>
      </c>
      <c r="AH386" s="26">
        <v>98</v>
      </c>
    </row>
    <row r="387" spans="1:34" x14ac:dyDescent="0.2">
      <c r="A387" s="10">
        <f t="shared" si="26"/>
        <v>2025</v>
      </c>
      <c r="B387" s="10">
        <f t="shared" si="27"/>
        <v>5</v>
      </c>
      <c r="D387" s="10" t="s">
        <v>121</v>
      </c>
      <c r="E387" s="25" t="d">
        <v>2025-05-01</v>
      </c>
      <c r="F387" s="26">
        <v>173179</v>
      </c>
      <c r="G387" s="26">
        <v>15710</v>
      </c>
      <c r="H387" s="26">
        <v>99269503</v>
      </c>
      <c r="I387" s="26">
        <v>14961155</v>
      </c>
      <c r="J387" s="26">
        <v>1833040</v>
      </c>
      <c r="K387" s="26">
        <v>368484</v>
      </c>
      <c r="L387" s="26">
        <v>354820</v>
      </c>
      <c r="M387" s="26">
        <v>0</v>
      </c>
      <c r="N387" s="26">
        <v>6190000</v>
      </c>
      <c r="O387" s="26">
        <v>0</v>
      </c>
      <c r="P387" s="26">
        <v>51</v>
      </c>
      <c r="Q387" s="26">
        <v>13</v>
      </c>
      <c r="R387" s="26">
        <v>1307</v>
      </c>
      <c r="S387" s="26">
        <v>17</v>
      </c>
      <c r="T387" s="26">
        <v>157745</v>
      </c>
      <c r="U387" s="26">
        <v>10284</v>
      </c>
      <c r="V387" s="26">
        <v>38141</v>
      </c>
      <c r="W387" s="26">
        <v>133</v>
      </c>
      <c r="X387" s="26">
        <v>7</v>
      </c>
      <c r="Y387" s="26" t="s">
        <v>31</v>
      </c>
      <c r="Z387" s="26" t="s">
        <v>31</v>
      </c>
      <c r="AA387" s="26" t="s">
        <v>31</v>
      </c>
      <c r="AB387" s="26" t="s">
        <v>31</v>
      </c>
      <c r="AC387" s="26">
        <v>23</v>
      </c>
      <c r="AD387" s="26">
        <v>0</v>
      </c>
      <c r="AE387" s="26">
        <v>2531</v>
      </c>
      <c r="AF387" s="26">
        <v>3</v>
      </c>
      <c r="AG387" s="26">
        <v>841</v>
      </c>
      <c r="AH387" s="26">
        <v>99</v>
      </c>
    </row>
    <row r="388" spans="1:34" x14ac:dyDescent="0.2">
      <c r="A388" s="10">
        <f t="shared" si="26"/>
        <v>2025</v>
      </c>
      <c r="B388" s="10">
        <f t="shared" si="27"/>
        <v>6</v>
      </c>
      <c r="D388" s="10" t="s">
        <v>121</v>
      </c>
      <c r="E388" s="25" t="d">
        <v>2025-06-01</v>
      </c>
      <c r="F388" s="26">
        <v>190397</v>
      </c>
      <c r="G388" s="26">
        <v>17218</v>
      </c>
      <c r="H388" s="26">
        <v>114426285</v>
      </c>
      <c r="I388" s="26">
        <v>15133611</v>
      </c>
      <c r="J388" s="26">
        <v>1795736</v>
      </c>
      <c r="K388" s="26">
        <v>-37304</v>
      </c>
      <c r="L388" s="26">
        <v>354820</v>
      </c>
      <c r="M388" s="26">
        <v>0</v>
      </c>
      <c r="N388" s="26">
        <v>6190000</v>
      </c>
      <c r="O388" s="26">
        <v>0</v>
      </c>
      <c r="P388" s="26">
        <v>52</v>
      </c>
      <c r="Q388" s="26">
        <v>1</v>
      </c>
      <c r="R388" s="26">
        <v>1337</v>
      </c>
      <c r="S388" s="26">
        <v>30</v>
      </c>
      <c r="T388" s="26">
        <v>166404</v>
      </c>
      <c r="U388" s="26">
        <v>8659</v>
      </c>
      <c r="V388" s="26">
        <v>39279</v>
      </c>
      <c r="W388" s="26">
        <v>185</v>
      </c>
      <c r="X388" s="26">
        <v>52</v>
      </c>
      <c r="Y388" s="26" t="s">
        <v>31</v>
      </c>
      <c r="Z388" s="26" t="s">
        <v>31</v>
      </c>
      <c r="AA388" s="26" t="s">
        <v>31</v>
      </c>
      <c r="AB388" s="26" t="s">
        <v>31</v>
      </c>
      <c r="AC388" s="26">
        <v>23</v>
      </c>
      <c r="AD388" s="26">
        <v>0</v>
      </c>
      <c r="AE388" s="26">
        <v>2551</v>
      </c>
      <c r="AF388" s="26">
        <v>20</v>
      </c>
      <c r="AG388" s="26">
        <v>952</v>
      </c>
      <c r="AH388" s="26">
        <v>111</v>
      </c>
    </row>
    <row r="389" spans="1:34" x14ac:dyDescent="0.2">
      <c r="A389" s="10">
        <f t="shared" si="26"/>
        <v>2025</v>
      </c>
      <c r="B389" s="10">
        <f t="shared" si="27"/>
        <v>7</v>
      </c>
      <c r="D389" s="10" t="s">
        <v>121</v>
      </c>
      <c r="E389" s="25" t="d">
        <v>2025-07-01</v>
      </c>
      <c r="F389" s="26">
        <v>211452</v>
      </c>
      <c r="G389" s="26">
        <v>21055</v>
      </c>
      <c r="H389" s="26">
        <v>127948206</v>
      </c>
      <c r="I389" s="26">
        <v>13468722</v>
      </c>
      <c r="J389" s="26">
        <v>2053068</v>
      </c>
      <c r="K389" s="26">
        <v>257332</v>
      </c>
      <c r="L389" s="26">
        <v>418470</v>
      </c>
      <c r="M389" s="26">
        <v>63650</v>
      </c>
      <c r="N389" s="26">
        <v>7180000</v>
      </c>
      <c r="O389" s="26">
        <v>990000</v>
      </c>
      <c r="P389" s="26">
        <v>55</v>
      </c>
      <c r="Q389" s="26">
        <v>3</v>
      </c>
      <c r="R389" s="26">
        <v>1377</v>
      </c>
      <c r="S389" s="26">
        <v>40</v>
      </c>
      <c r="T389" s="26">
        <v>177602</v>
      </c>
      <c r="U389" s="26">
        <v>11198</v>
      </c>
      <c r="V389" s="26">
        <v>11066</v>
      </c>
      <c r="W389" s="26">
        <v>215</v>
      </c>
      <c r="X389" s="26">
        <v>30</v>
      </c>
      <c r="Y389" s="26" t="s">
        <v>31</v>
      </c>
      <c r="Z389" s="26" t="s">
        <v>31</v>
      </c>
      <c r="AA389" s="26" t="s">
        <v>31</v>
      </c>
      <c r="AB389" s="26" t="s">
        <v>31</v>
      </c>
      <c r="AC389" s="26">
        <v>23</v>
      </c>
      <c r="AD389" s="26">
        <v>0</v>
      </c>
      <c r="AE389" s="26">
        <v>2551</v>
      </c>
      <c r="AF389" s="26">
        <v>0</v>
      </c>
      <c r="AG389" s="26">
        <v>1081</v>
      </c>
      <c r="AH389" s="26">
        <v>129</v>
      </c>
    </row>
    <row r="390" spans="1:34" x14ac:dyDescent="0.2">
      <c r="A390" s="10">
        <f t="shared" si="26"/>
        <v>2025</v>
      </c>
      <c r="B390" s="10">
        <f t="shared" si="27"/>
        <v>8</v>
      </c>
      <c r="D390" s="10" t="s">
        <v>121</v>
      </c>
      <c r="E390" s="25" t="d">
        <v>2025-08-01</v>
      </c>
      <c r="F390" s="26">
        <v>236942</v>
      </c>
      <c r="G390" s="26">
        <v>25490</v>
      </c>
      <c r="H390" s="26">
        <v>145699334</v>
      </c>
      <c r="I390" s="26">
        <v>17738815</v>
      </c>
      <c r="J390" s="26">
        <v>2200834</v>
      </c>
      <c r="K390" s="26">
        <v>147766</v>
      </c>
      <c r="L390" s="26">
        <v>429280</v>
      </c>
      <c r="M390" s="26">
        <v>10810</v>
      </c>
      <c r="N390" s="26">
        <v>7180000</v>
      </c>
      <c r="O390" s="26">
        <v>0</v>
      </c>
      <c r="P390" s="26">
        <v>69</v>
      </c>
      <c r="Q390" s="26">
        <v>14</v>
      </c>
      <c r="R390" s="26">
        <v>1463</v>
      </c>
      <c r="S390" s="26">
        <v>86</v>
      </c>
      <c r="T390" s="26">
        <v>189316</v>
      </c>
      <c r="U390" s="26">
        <v>11714</v>
      </c>
      <c r="V390" s="26">
        <v>2845</v>
      </c>
      <c r="W390" s="26">
        <v>265</v>
      </c>
      <c r="X390" s="26">
        <v>50</v>
      </c>
      <c r="Y390" s="26" t="s">
        <v>31</v>
      </c>
      <c r="Z390" s="26" t="s">
        <v>31</v>
      </c>
      <c r="AA390" s="26" t="s">
        <v>31</v>
      </c>
      <c r="AB390" s="26" t="s">
        <v>31</v>
      </c>
      <c r="AC390" s="26">
        <v>23</v>
      </c>
      <c r="AD390" s="26">
        <v>0</v>
      </c>
      <c r="AE390" s="26">
        <v>2559</v>
      </c>
      <c r="AF390" s="26">
        <v>8</v>
      </c>
      <c r="AG390" s="26">
        <v>1271</v>
      </c>
      <c r="AH390" s="26">
        <v>190</v>
      </c>
    </row>
    <row r="391" spans="1:34" x14ac:dyDescent="0.2">
      <c r="A391" s="10">
        <f t="shared" si="26"/>
        <v>2025</v>
      </c>
      <c r="B391" s="10">
        <f t="shared" si="27"/>
        <v>9</v>
      </c>
      <c r="D391" s="10" t="s">
        <v>121</v>
      </c>
      <c r="E391" s="25" t="d">
        <v>2025-09-01</v>
      </c>
      <c r="F391" s="26">
        <v>264057</v>
      </c>
      <c r="G391" s="26">
        <v>27115</v>
      </c>
      <c r="H391" s="26">
        <v>158243820</v>
      </c>
      <c r="I391" s="26">
        <v>12335173</v>
      </c>
      <c r="J391" s="26">
        <v>2297767</v>
      </c>
      <c r="K391" s="26">
        <v>96933</v>
      </c>
      <c r="L391" s="26">
        <v>437300</v>
      </c>
      <c r="M391" s="26">
        <v>8020</v>
      </c>
      <c r="N391" s="26">
        <v>7800000</v>
      </c>
      <c r="O391" s="26">
        <v>620000</v>
      </c>
      <c r="P391" s="26">
        <v>68</v>
      </c>
      <c r="Q391" s="26">
        <v>-1</v>
      </c>
      <c r="R391" s="26">
        <v>1577</v>
      </c>
      <c r="S391" s="26">
        <v>114</v>
      </c>
      <c r="T391" s="26">
        <v>189316</v>
      </c>
      <c r="U391" s="26">
        <v>0</v>
      </c>
      <c r="V391" s="26">
        <v>0</v>
      </c>
      <c r="W391" s="26">
        <v>318</v>
      </c>
      <c r="X391" s="26">
        <v>53</v>
      </c>
      <c r="Y391" s="26" t="s">
        <v>31</v>
      </c>
      <c r="Z391" s="26" t="s">
        <v>31</v>
      </c>
      <c r="AA391" s="26" t="s">
        <v>31</v>
      </c>
      <c r="AB391" s="26" t="s">
        <v>31</v>
      </c>
      <c r="AC391" s="26">
        <v>23</v>
      </c>
      <c r="AD391" s="26">
        <v>0</v>
      </c>
      <c r="AE391" s="26">
        <v>2560</v>
      </c>
      <c r="AF391" s="26">
        <v>1</v>
      </c>
      <c r="AG391" s="26">
        <v>1437</v>
      </c>
      <c r="AH391" s="26">
        <v>166</v>
      </c>
    </row>
    <row r="392" spans="1:34" x14ac:dyDescent="0.2">
      <c r="A392" s="10">
        <f t="shared" si="26"/>
        <v>2025</v>
      </c>
      <c r="B392" s="10">
        <f t="shared" si="27"/>
        <v>10</v>
      </c>
      <c r="D392" s="10" t="s">
        <v>121</v>
      </c>
      <c r="E392" s="25" t="d">
        <v>2025-10-01</v>
      </c>
      <c r="F392" s="26">
        <v>288317</v>
      </c>
      <c r="G392" s="26">
        <v>24260</v>
      </c>
      <c r="H392" s="26">
        <v>175946429</v>
      </c>
      <c r="I392" s="26">
        <v>17630270</v>
      </c>
      <c r="J392" s="26">
        <v>2343970</v>
      </c>
      <c r="K392" s="26">
        <v>46203</v>
      </c>
      <c r="L392" s="26">
        <v>437300</v>
      </c>
      <c r="M392" s="26">
        <v>0</v>
      </c>
      <c r="N392" s="26">
        <v>7800000</v>
      </c>
      <c r="O392" s="26">
        <v>0</v>
      </c>
      <c r="P392" s="26">
        <v>69</v>
      </c>
      <c r="Q392" s="26">
        <v>1</v>
      </c>
      <c r="R392" s="26">
        <v>1684</v>
      </c>
      <c r="S392" s="26">
        <v>107</v>
      </c>
      <c r="T392" s="26">
        <v>204824</v>
      </c>
      <c r="U392" s="26">
        <v>15508</v>
      </c>
      <c r="V392" s="26">
        <v>6387</v>
      </c>
      <c r="W392" s="26">
        <v>395</v>
      </c>
      <c r="X392" s="26">
        <v>77</v>
      </c>
      <c r="Y392" s="26" t="s">
        <v>31</v>
      </c>
      <c r="Z392" s="26" t="s">
        <v>31</v>
      </c>
      <c r="AA392" s="26" t="s">
        <v>31</v>
      </c>
      <c r="AB392" s="26" t="s">
        <v>31</v>
      </c>
      <c r="AC392" s="26">
        <v>23</v>
      </c>
      <c r="AD392" s="26">
        <v>0</v>
      </c>
      <c r="AE392" s="26">
        <v>2563</v>
      </c>
      <c r="AF392" s="26">
        <v>3</v>
      </c>
      <c r="AG392" s="26">
        <v>1585</v>
      </c>
      <c r="AH392" s="26">
        <v>148</v>
      </c>
    </row>
    <row r="393" spans="1:34" x14ac:dyDescent="0.2">
      <c r="A393" s="10">
        <f t="shared" si="26"/>
        <v>2025</v>
      </c>
      <c r="B393" s="10">
        <f t="shared" si="27"/>
        <v>11</v>
      </c>
      <c r="D393" s="10" t="s">
        <v>121</v>
      </c>
      <c r="E393" s="25" t="d">
        <v>2025-11-01</v>
      </c>
      <c r="F393" s="26">
        <v>314924</v>
      </c>
      <c r="G393" s="26">
        <v>26607</v>
      </c>
      <c r="H393" s="26">
        <v>186607122</v>
      </c>
      <c r="I393" s="26">
        <v>10415481</v>
      </c>
      <c r="J393" s="26">
        <v>2155684</v>
      </c>
      <c r="K393" s="26">
        <v>-188286</v>
      </c>
      <c r="L393" s="26">
        <v>462700</v>
      </c>
      <c r="M393" s="26">
        <v>25400</v>
      </c>
      <c r="N393" s="26">
        <v>8800000</v>
      </c>
      <c r="O393" s="26">
        <v>1000000</v>
      </c>
      <c r="P393" s="26">
        <v>69</v>
      </c>
      <c r="Q393" s="26">
        <v>0</v>
      </c>
      <c r="R393" s="26">
        <v>1738</v>
      </c>
      <c r="S393" s="26">
        <v>53</v>
      </c>
      <c r="T393" s="26">
        <v>204824</v>
      </c>
      <c r="U393" s="26">
        <v>0</v>
      </c>
      <c r="V393" s="26">
        <v>0</v>
      </c>
      <c r="W393" s="26">
        <v>514</v>
      </c>
      <c r="X393" s="26">
        <v>125</v>
      </c>
      <c r="Y393" s="26" t="s">
        <v>31</v>
      </c>
      <c r="Z393" s="26" t="s">
        <v>31</v>
      </c>
      <c r="AA393" s="26" t="s">
        <v>31</v>
      </c>
      <c r="AB393" s="26" t="s">
        <v>31</v>
      </c>
      <c r="AC393" s="26">
        <v>23</v>
      </c>
      <c r="AD393" s="26">
        <v>0</v>
      </c>
      <c r="AE393" s="26">
        <v>2563</v>
      </c>
      <c r="AF393" s="26">
        <v>0</v>
      </c>
      <c r="AG393" s="26">
        <v>1719</v>
      </c>
      <c r="AH393" s="26">
        <v>134</v>
      </c>
    </row>
    <row r="394" spans="1:34" x14ac:dyDescent="0.2">
      <c r="A394" s="10">
        <f t="shared" si="26"/>
        <v>2025</v>
      </c>
      <c r="B394" s="10">
        <f t="shared" si="27"/>
        <v>12</v>
      </c>
      <c r="D394" s="10" t="s">
        <v>121</v>
      </c>
      <c r="E394" s="25" t="d">
        <v>2025-12-01</v>
      </c>
      <c r="F394" s="26">
        <v>329159</v>
      </c>
      <c r="G394" s="26">
        <v>14235</v>
      </c>
      <c r="H394" s="26">
        <v>200332365</v>
      </c>
      <c r="I394" s="26">
        <v>13544564</v>
      </c>
      <c r="J394" s="26">
        <v>2137261</v>
      </c>
      <c r="K394" s="26">
        <v>-18423</v>
      </c>
      <c r="L394" s="26">
        <v>467800</v>
      </c>
      <c r="M394" s="26">
        <v>5100</v>
      </c>
      <c r="N394" s="26">
        <v>8900000</v>
      </c>
      <c r="O394" s="26">
        <v>100000</v>
      </c>
      <c r="P394" s="26">
        <v>68</v>
      </c>
      <c r="Q394" s="26">
        <v>-1</v>
      </c>
      <c r="R394" s="26">
        <v>1806</v>
      </c>
      <c r="S394" s="26">
        <v>63</v>
      </c>
      <c r="T394" s="26">
        <v>204824</v>
      </c>
      <c r="U394" s="26">
        <v>0</v>
      </c>
      <c r="V394" s="26">
        <v>0</v>
      </c>
      <c r="W394" s="26">
        <v>611</v>
      </c>
      <c r="X394" s="26">
        <v>97</v>
      </c>
      <c r="Y394" s="26" t="s">
        <v>31</v>
      </c>
      <c r="Z394" s="26" t="s">
        <v>31</v>
      </c>
      <c r="AA394" s="26" t="s">
        <v>31</v>
      </c>
      <c r="AB394" s="26" t="s">
        <v>31</v>
      </c>
      <c r="AC394" s="26">
        <v>23</v>
      </c>
      <c r="AD394" s="26">
        <v>0</v>
      </c>
      <c r="AE394" s="26">
        <v>2564</v>
      </c>
      <c r="AF394" s="26">
        <v>1</v>
      </c>
      <c r="AG394" s="26">
        <v>1842</v>
      </c>
      <c r="AH394" s="26">
        <v>123</v>
      </c>
    </row>
    <row r="395" spans="1:34" x14ac:dyDescent="0.2">
      <c r="A395" s="10">
        <f t="shared" si="26"/>
        <v>2026</v>
      </c>
      <c r="B395" s="10">
        <f t="shared" si="27"/>
        <v>1</v>
      </c>
      <c r="D395" s="10" t="s">
        <v>121</v>
      </c>
      <c r="E395" s="25" t="d">
        <v>2026-01-01</v>
      </c>
      <c r="F395" s="26">
        <v>357275</v>
      </c>
      <c r="G395" s="26">
        <v>28116</v>
      </c>
      <c r="H395" s="26">
        <v>215412886</v>
      </c>
      <c r="I395" s="26">
        <v>14887031</v>
      </c>
      <c r="J395" s="26">
        <v>2700767</v>
      </c>
      <c r="K395" s="26">
        <v>563506</v>
      </c>
      <c r="L395" s="26">
        <v>482530</v>
      </c>
      <c r="M395" s="26">
        <v>14730</v>
      </c>
      <c r="N395" s="26">
        <v>9300000</v>
      </c>
      <c r="O395" s="26">
        <v>400000</v>
      </c>
      <c r="P395" s="26">
        <v>77</v>
      </c>
      <c r="Q395" s="26">
        <v>9</v>
      </c>
      <c r="R395" s="26">
        <v>1917</v>
      </c>
      <c r="S395" s="26">
        <v>111</v>
      </c>
      <c r="T395" s="26">
        <v>204824</v>
      </c>
      <c r="U395" s="26">
        <v>0</v>
      </c>
      <c r="V395" s="26">
        <v>0</v>
      </c>
      <c r="W395" s="26">
        <v>725</v>
      </c>
      <c r="X395" s="26">
        <v>114</v>
      </c>
      <c r="Y395" s="26" t="s">
        <v>31</v>
      </c>
      <c r="Z395" s="26" t="s">
        <v>31</v>
      </c>
      <c r="AA395" s="26" t="s">
        <v>31</v>
      </c>
      <c r="AB395" s="26" t="s">
        <v>31</v>
      </c>
      <c r="AC395" s="26">
        <v>23</v>
      </c>
      <c r="AD395" s="26">
        <v>0</v>
      </c>
      <c r="AE395" s="26">
        <v>2570</v>
      </c>
      <c r="AF395" s="26">
        <v>6</v>
      </c>
      <c r="AG395" s="26">
        <v>1986</v>
      </c>
      <c r="AH395" s="26">
        <v>144</v>
      </c>
    </row>
    <row r="396" spans="1:34" x14ac:dyDescent="0.2">
      <c r="A396" s="10">
        <f t="shared" si="26"/>
        <v>2026</v>
      </c>
      <c r="B396" s="10">
        <f t="shared" si="27"/>
        <v>2</v>
      </c>
      <c r="D396" s="10" t="s">
        <v>121</v>
      </c>
      <c r="E396" s="25" t="d">
        <v>2026-02-01</v>
      </c>
      <c r="F396" s="26">
        <v>377164</v>
      </c>
      <c r="G396" s="26">
        <v>19889</v>
      </c>
      <c r="H396" s="26">
        <v>226990576</v>
      </c>
      <c r="I396" s="26">
        <v>11544568</v>
      </c>
      <c r="J396" s="26">
        <v>2134959</v>
      </c>
      <c r="K396" s="26">
        <v>-565808</v>
      </c>
      <c r="L396" s="26">
        <v>494540</v>
      </c>
      <c r="M396" s="26">
        <v>12010</v>
      </c>
      <c r="N396" s="26">
        <v>9300000</v>
      </c>
      <c r="O396" s="26">
        <v>0</v>
      </c>
      <c r="P396" s="26">
        <v>81</v>
      </c>
      <c r="Q396" s="26">
        <v>4</v>
      </c>
      <c r="R396" s="26">
        <v>1993</v>
      </c>
      <c r="S396" s="26">
        <v>76</v>
      </c>
      <c r="T396" s="26">
        <v>204824</v>
      </c>
      <c r="U396" s="26">
        <v>0</v>
      </c>
      <c r="V396" s="26">
        <v>0</v>
      </c>
      <c r="W396" s="26">
        <v>867</v>
      </c>
      <c r="X396" s="26">
        <v>142</v>
      </c>
      <c r="Y396" s="26" t="s">
        <v>31</v>
      </c>
      <c r="Z396" s="26" t="s">
        <v>31</v>
      </c>
      <c r="AA396" s="26" t="s">
        <v>31</v>
      </c>
      <c r="AB396" s="26" t="s">
        <v>31</v>
      </c>
      <c r="AC396" s="26">
        <v>23</v>
      </c>
      <c r="AD396" s="26">
        <v>0</v>
      </c>
      <c r="AE396" s="26">
        <v>2570</v>
      </c>
      <c r="AF396" s="26">
        <v>0</v>
      </c>
      <c r="AG396" s="26">
        <v>2088</v>
      </c>
      <c r="AH396" s="26">
        <v>102</v>
      </c>
    </row>
    <row r="397" spans="1:34" x14ac:dyDescent="0.2">
      <c r="A397" s="10">
        <f t="shared" si="26"/>
        <v>2026</v>
      </c>
      <c r="B397" s="10">
        <f t="shared" si="27"/>
        <v>3</v>
      </c>
      <c r="D397" s="10" t="s">
        <v>121</v>
      </c>
      <c r="E397" s="25" t="d">
        <v>2026-03-01</v>
      </c>
      <c r="F397" s="26">
        <v>397364</v>
      </c>
      <c r="G397" s="26">
        <v>20200</v>
      </c>
      <c r="H397" s="26">
        <v>237634529</v>
      </c>
      <c r="I397" s="26">
        <v>10546837</v>
      </c>
      <c r="J397" s="26">
        <v>2176559</v>
      </c>
      <c r="K397" s="26">
        <v>41600</v>
      </c>
      <c r="L397" s="26">
        <v>518020</v>
      </c>
      <c r="M397" s="26">
        <v>23480</v>
      </c>
      <c r="N397" s="26">
        <v>9300000</v>
      </c>
      <c r="O397" s="26">
        <v>0</v>
      </c>
      <c r="P397" s="26">
        <v>81</v>
      </c>
      <c r="Q397" s="26">
        <v>0</v>
      </c>
      <c r="R397" s="26">
        <v>2050</v>
      </c>
      <c r="S397" s="26">
        <v>57</v>
      </c>
      <c r="T397" s="26">
        <v>204824</v>
      </c>
      <c r="U397" s="26">
        <v>0</v>
      </c>
      <c r="V397" s="26">
        <v>0</v>
      </c>
      <c r="W397" s="26">
        <v>968</v>
      </c>
      <c r="X397" s="26">
        <v>101</v>
      </c>
      <c r="Y397" s="26" t="s">
        <v>31</v>
      </c>
      <c r="Z397" s="26" t="s">
        <v>31</v>
      </c>
      <c r="AA397" s="26" t="s">
        <v>31</v>
      </c>
      <c r="AB397" s="26" t="s">
        <v>31</v>
      </c>
      <c r="AC397" s="26">
        <v>24</v>
      </c>
      <c r="AD397" s="26">
        <v>1</v>
      </c>
      <c r="AE397" s="26">
        <v>2572</v>
      </c>
      <c r="AF397" s="26">
        <v>2</v>
      </c>
      <c r="AG397" s="26">
        <v>2200</v>
      </c>
      <c r="AH397" s="26">
        <v>112</v>
      </c>
    </row>
    <row r="398" spans="1:34" x14ac:dyDescent="0.2">
      <c r="A398" s="10">
        <f t="shared" si="26"/>
        <v>2026</v>
      </c>
      <c r="B398" s="10">
        <f t="shared" si="27"/>
        <v>4</v>
      </c>
      <c r="D398" s="10" t="s">
        <v>121</v>
      </c>
      <c r="E398" s="25" t="d">
        <v>2026-04-01</v>
      </c>
      <c r="F398" s="26">
        <v>419993</v>
      </c>
      <c r="G398" s="26">
        <v>22629</v>
      </c>
      <c r="H398" s="26">
        <v>249037882</v>
      </c>
      <c r="I398" s="26">
        <v>11304400</v>
      </c>
      <c r="J398" s="26">
        <v>2250119</v>
      </c>
      <c r="K398" s="26">
        <v>73560</v>
      </c>
      <c r="L398" s="26">
        <v>530317</v>
      </c>
      <c r="M398" s="26">
        <v>12297</v>
      </c>
      <c r="N398" s="26">
        <v>9300000</v>
      </c>
      <c r="O398" s="26">
        <v>0</v>
      </c>
      <c r="P398" s="26">
        <v>133</v>
      </c>
      <c r="Q398" s="26">
        <v>52</v>
      </c>
      <c r="R398" s="26">
        <v>2189</v>
      </c>
      <c r="S398" s="26">
        <v>139</v>
      </c>
      <c r="T398" s="26">
        <v>274368</v>
      </c>
      <c r="U398" s="26">
        <v>69544</v>
      </c>
      <c r="V398" s="26">
        <v>95501</v>
      </c>
      <c r="W398" s="26">
        <v>1098</v>
      </c>
      <c r="X398" s="26">
        <v>130</v>
      </c>
      <c r="Y398" s="26">
        <v>15474640</v>
      </c>
      <c r="Z398" s="26">
        <v>232345</v>
      </c>
      <c r="AA398" s="26" t="s">
        <v>31</v>
      </c>
      <c r="AB398" s="26" t="s">
        <v>31</v>
      </c>
      <c r="AC398" s="26">
        <v>30</v>
      </c>
      <c r="AD398" s="26">
        <v>6</v>
      </c>
      <c r="AE398" s="26">
        <v>2578</v>
      </c>
      <c r="AF398" s="26">
        <v>6</v>
      </c>
      <c r="AG398" s="26">
        <v>2329</v>
      </c>
      <c r="AH398" s="26">
        <v>129</v>
      </c>
    </row>
    <row r="399" spans="1:34" x14ac:dyDescent="0.2">
      <c r="A399" s="10">
        <f t="shared" si="26"/>
        <v>2026</v>
      </c>
      <c r="B399" s="10">
        <f t="shared" si="27"/>
        <v>5</v>
      </c>
      <c r="D399" s="10" t="s">
        <v>121</v>
      </c>
      <c r="E399" s="25" t="d">
        <v>2026-05-01</v>
      </c>
      <c r="F399" s="26">
        <v>442078</v>
      </c>
      <c r="G399" s="26">
        <v>22085</v>
      </c>
      <c r="H399" s="26">
        <v>262915560</v>
      </c>
      <c r="I399" s="26">
        <v>13741976</v>
      </c>
      <c r="J399" s="26">
        <v>2491708</v>
      </c>
      <c r="K399" s="26">
        <v>241589</v>
      </c>
      <c r="L399" s="26">
        <v>530317</v>
      </c>
      <c r="M399" s="26">
        <v>0</v>
      </c>
      <c r="N399" s="26">
        <v>9300000</v>
      </c>
      <c r="O399" s="26">
        <v>0</v>
      </c>
      <c r="P399" s="26">
        <v>135</v>
      </c>
      <c r="Q399" s="26">
        <v>2</v>
      </c>
      <c r="R399" s="26">
        <v>2248</v>
      </c>
      <c r="S399" s="26">
        <v>59</v>
      </c>
      <c r="T399" s="26">
        <v>297736</v>
      </c>
      <c r="U399" s="26">
        <v>23368</v>
      </c>
      <c r="V399" s="26">
        <v>195555</v>
      </c>
      <c r="W399" s="26">
        <v>1289</v>
      </c>
      <c r="X399" s="26">
        <v>191</v>
      </c>
      <c r="Y399" s="26">
        <v>15529562</v>
      </c>
      <c r="Z399" s="26">
        <v>54922</v>
      </c>
      <c r="AA399" s="26" t="s">
        <v>31</v>
      </c>
      <c r="AB399" s="26" t="s">
        <v>31</v>
      </c>
      <c r="AC399" s="26">
        <v>33</v>
      </c>
      <c r="AD399" s="26">
        <v>3</v>
      </c>
      <c r="AE399" s="26">
        <v>2593</v>
      </c>
      <c r="AF399" s="26">
        <v>15</v>
      </c>
      <c r="AG399" s="26">
        <v>2456</v>
      </c>
      <c r="AH399" s="26">
        <v>127</v>
      </c>
    </row>
    <row r="400" spans="1:34" x14ac:dyDescent="0.2">
      <c r="A400" s="10">
        <f t="shared" si="26"/>
        <v>2026</v>
      </c>
      <c r="B400" s="10">
        <f t="shared" si="27"/>
        <v>6</v>
      </c>
      <c r="D400" s="10" t="s">
        <v>121</v>
      </c>
      <c r="E400" s="25" t="d">
        <v>2026-06-01</v>
      </c>
      <c r="F400" s="26">
        <v>470273</v>
      </c>
      <c r="G400" s="26">
        <v>28195</v>
      </c>
      <c r="H400" s="26">
        <v>275566413</v>
      </c>
      <c r="I400" s="26">
        <v>12555514</v>
      </c>
      <c r="J400" s="26">
        <v>2405388</v>
      </c>
      <c r="K400" s="26">
        <v>-86320</v>
      </c>
      <c r="L400" s="26">
        <v>530317</v>
      </c>
      <c r="M400" s="26">
        <v>0</v>
      </c>
      <c r="N400" s="26">
        <v>9300000</v>
      </c>
      <c r="O400" s="26">
        <v>0</v>
      </c>
      <c r="P400" s="26">
        <v>136</v>
      </c>
      <c r="Q400" s="26">
        <v>1</v>
      </c>
      <c r="R400" s="26">
        <v>2307</v>
      </c>
      <c r="S400" s="26">
        <v>59</v>
      </c>
      <c r="T400" s="26">
        <v>311862</v>
      </c>
      <c r="U400" s="26">
        <v>14126</v>
      </c>
      <c r="V400" s="26">
        <v>61090</v>
      </c>
      <c r="W400" s="26">
        <v>1650</v>
      </c>
      <c r="X400" s="26">
        <v>361</v>
      </c>
      <c r="Y400" s="26">
        <v>16092681</v>
      </c>
      <c r="Z400" s="26">
        <v>563119</v>
      </c>
      <c r="AA400" s="26" t="s">
        <v>31</v>
      </c>
      <c r="AB400" s="26" t="s">
        <v>31</v>
      </c>
      <c r="AC400" s="26">
        <v>33</v>
      </c>
      <c r="AD400" s="26">
        <v>0</v>
      </c>
      <c r="AE400" s="26">
        <v>2595</v>
      </c>
      <c r="AF400" s="26">
        <v>2</v>
      </c>
      <c r="AG400" s="26">
        <v>2605</v>
      </c>
      <c r="AH400" s="26">
        <v>149</v>
      </c>
    </row>
    <row r="401" spans="1:34" x14ac:dyDescent="0.2">
      <c r="A401" s="10">
        <f t="shared" si="26"/>
        <v>2026</v>
      </c>
      <c r="B401" s="10">
        <f t="shared" si="27"/>
        <v>7</v>
      </c>
      <c r="D401" s="10" t="s">
        <v>121</v>
      </c>
      <c r="E401" s="25" t="d">
        <v>2026-07-01</v>
      </c>
      <c r="F401" s="26">
        <v>491635</v>
      </c>
      <c r="G401" s="26">
        <v>21362</v>
      </c>
      <c r="H401" s="26">
        <v>286537146</v>
      </c>
      <c r="I401" s="26">
        <v>10947160</v>
      </c>
      <c r="J401" s="26">
        <v>2281763</v>
      </c>
      <c r="K401" s="26">
        <v>-123625</v>
      </c>
      <c r="L401" s="26">
        <v>530317</v>
      </c>
      <c r="M401" s="26">
        <v>0</v>
      </c>
      <c r="N401" s="26">
        <v>9300000</v>
      </c>
      <c r="O401" s="26">
        <v>0</v>
      </c>
      <c r="P401" s="26">
        <v>137</v>
      </c>
      <c r="Q401" s="26">
        <v>1</v>
      </c>
      <c r="R401" s="26">
        <v>2344</v>
      </c>
      <c r="S401" s="26">
        <v>37</v>
      </c>
      <c r="T401" s="26">
        <v>320092</v>
      </c>
      <c r="U401" s="26">
        <v>8230</v>
      </c>
      <c r="V401" s="26">
        <v>148058</v>
      </c>
      <c r="W401" s="26">
        <v>2058</v>
      </c>
      <c r="X401" s="26">
        <v>408</v>
      </c>
      <c r="Y401" s="26">
        <v>16343013</v>
      </c>
      <c r="Z401" s="26">
        <v>250332</v>
      </c>
      <c r="AA401" s="26" t="s">
        <v>31</v>
      </c>
      <c r="AB401" s="26" t="s">
        <v>31</v>
      </c>
      <c r="AC401" s="26">
        <v>34</v>
      </c>
      <c r="AD401" s="26">
        <v>1</v>
      </c>
      <c r="AE401" s="26">
        <v>2599</v>
      </c>
      <c r="AF401" s="26">
        <v>4</v>
      </c>
      <c r="AG401" s="26">
        <v>2740</v>
      </c>
      <c r="AH401" s="26">
        <v>135</v>
      </c>
    </row>
    <row r="402" spans="1:34" x14ac:dyDescent="0.2">
      <c r="A402" s="10">
        <f t="shared" ref="A402" si="28">YEAR(E402)</f>
        <v>2024</v>
      </c>
      <c r="B402" s="10">
        <f t="shared" ref="B402" si="29">MONTH(E402)</f>
        <v>7</v>
      </c>
      <c r="D402" s="10" t="s">
        <v>125</v>
      </c>
      <c r="E402" s="25" t="d">
        <v>2024-07-01</v>
      </c>
      <c r="F402" s="26">
        <v>262070</v>
      </c>
      <c r="G402" s="26">
        <v>24184</v>
      </c>
      <c r="H402" s="26">
        <v>55336394</v>
      </c>
      <c r="I402" s="26">
        <v>1466461</v>
      </c>
      <c r="J402" s="26">
        <v>579997</v>
      </c>
      <c r="K402" s="26">
        <v>-44083</v>
      </c>
      <c r="L402" s="26">
        <v>1100000</v>
      </c>
      <c r="M402" s="26">
        <v>0</v>
      </c>
      <c r="N402" s="26">
        <v>10700000</v>
      </c>
      <c r="O402" s="26">
        <v>0</v>
      </c>
      <c r="P402" s="26" t="s">
        <v>31</v>
      </c>
      <c r="Q402" s="26" t="s">
        <v>31</v>
      </c>
      <c r="R402" s="26" t="s">
        <v>31</v>
      </c>
      <c r="S402" s="26" t="s">
        <v>31</v>
      </c>
      <c r="T402" s="26">
        <v>353195</v>
      </c>
      <c r="U402" s="26">
        <v>8980</v>
      </c>
      <c r="V402" s="26">
        <v>39000</v>
      </c>
      <c r="W402" s="26">
        <v>756</v>
      </c>
      <c r="X402" s="26">
        <v>26</v>
      </c>
      <c r="Y402" s="26" t="s">
        <v>31</v>
      </c>
      <c r="Z402" s="26" t="s">
        <v>31</v>
      </c>
      <c r="AA402" s="26" t="s">
        <v>31</v>
      </c>
      <c r="AB402" s="26" t="s">
        <v>31</v>
      </c>
      <c r="AC402" s="26" t="s">
        <v>31</v>
      </c>
      <c r="AD402" s="26" t="s">
        <v>31</v>
      </c>
      <c r="AE402" s="26" t="s">
        <v>31</v>
      </c>
      <c r="AF402" s="26" t="s">
        <v>31</v>
      </c>
      <c r="AG402" s="26">
        <v>1329</v>
      </c>
      <c r="AH402" s="26">
        <v>42</v>
      </c>
    </row>
    <row r="403" spans="1:34" x14ac:dyDescent="0.2">
      <c r="A403" s="10">
        <f t="shared" ref="A403:A426" si="30">YEAR(E403)</f>
        <v>2024</v>
      </c>
      <c r="B403" s="10">
        <f t="shared" ref="B403:B426" si="31">MONTH(E403)</f>
        <v>8</v>
      </c>
      <c r="D403" s="10" t="s">
        <v>125</v>
      </c>
      <c r="E403" s="25" t="d">
        <v>2024-08-01</v>
      </c>
      <c r="F403" s="26">
        <v>289280</v>
      </c>
      <c r="G403" s="26">
        <v>27210</v>
      </c>
      <c r="H403" s="26">
        <v>56703385</v>
      </c>
      <c r="I403" s="26">
        <v>1366991</v>
      </c>
      <c r="J403" s="26">
        <v>538771</v>
      </c>
      <c r="K403" s="26">
        <v>-41226</v>
      </c>
      <c r="L403" s="26">
        <v>1200000</v>
      </c>
      <c r="M403" s="26">
        <v>100000</v>
      </c>
      <c r="N403" s="26">
        <v>11800000</v>
      </c>
      <c r="O403" s="26">
        <v>1100000</v>
      </c>
      <c r="P403" s="26" t="s">
        <v>31</v>
      </c>
      <c r="Q403" s="26" t="s">
        <v>31</v>
      </c>
      <c r="R403" s="26" t="s">
        <v>31</v>
      </c>
      <c r="S403" s="26" t="s">
        <v>31</v>
      </c>
      <c r="T403" s="26">
        <v>355963</v>
      </c>
      <c r="U403" s="26">
        <v>2768</v>
      </c>
      <c r="V403" s="26">
        <v>15000</v>
      </c>
      <c r="W403" s="26">
        <v>772</v>
      </c>
      <c r="X403" s="26">
        <v>16</v>
      </c>
      <c r="Y403" s="26" t="s">
        <v>31</v>
      </c>
      <c r="Z403" s="26" t="s">
        <v>31</v>
      </c>
      <c r="AA403" s="26" t="s">
        <v>31</v>
      </c>
      <c r="AB403" s="26" t="s">
        <v>31</v>
      </c>
      <c r="AC403" s="26" t="s">
        <v>31</v>
      </c>
      <c r="AD403" s="26" t="s">
        <v>31</v>
      </c>
      <c r="AE403" s="26" t="s">
        <v>31</v>
      </c>
      <c r="AF403" s="26" t="s">
        <v>31</v>
      </c>
      <c r="AG403" s="26">
        <v>1385</v>
      </c>
      <c r="AH403" s="26">
        <v>56</v>
      </c>
    </row>
    <row r="404" spans="1:34" x14ac:dyDescent="0.2">
      <c r="A404" s="10">
        <f t="shared" si="30"/>
        <v>2024</v>
      </c>
      <c r="B404" s="10">
        <f t="shared" si="31"/>
        <v>9</v>
      </c>
      <c r="D404" s="10" t="s">
        <v>125</v>
      </c>
      <c r="E404" s="25" t="d">
        <v>2024-09-01</v>
      </c>
      <c r="F404" s="26">
        <v>295214</v>
      </c>
      <c r="G404" s="26">
        <v>5934</v>
      </c>
      <c r="H404" s="26">
        <v>58142466</v>
      </c>
      <c r="I404" s="26">
        <v>1431773</v>
      </c>
      <c r="J404" s="26">
        <v>585758</v>
      </c>
      <c r="K404" s="26">
        <v>46987</v>
      </c>
      <c r="L404" s="26">
        <v>1200000</v>
      </c>
      <c r="M404" s="26">
        <v>0</v>
      </c>
      <c r="N404" s="26">
        <v>12100000</v>
      </c>
      <c r="O404" s="26">
        <v>300000</v>
      </c>
      <c r="P404" s="26" t="s">
        <v>31</v>
      </c>
      <c r="Q404" s="26" t="s">
        <v>31</v>
      </c>
      <c r="R404" s="26" t="s">
        <v>31</v>
      </c>
      <c r="S404" s="26" t="s">
        <v>31</v>
      </c>
      <c r="T404" s="26">
        <v>357783</v>
      </c>
      <c r="U404" s="26">
        <v>1820</v>
      </c>
      <c r="V404" s="26">
        <v>14000</v>
      </c>
      <c r="W404" s="26">
        <v>796</v>
      </c>
      <c r="X404" s="26">
        <v>24</v>
      </c>
      <c r="Y404" s="26" t="s">
        <v>31</v>
      </c>
      <c r="Z404" s="26" t="s">
        <v>31</v>
      </c>
      <c r="AA404" s="26" t="s">
        <v>31</v>
      </c>
      <c r="AB404" s="26" t="s">
        <v>31</v>
      </c>
      <c r="AC404" s="26" t="s">
        <v>31</v>
      </c>
      <c r="AD404" s="26" t="s">
        <v>31</v>
      </c>
      <c r="AE404" s="26" t="s">
        <v>31</v>
      </c>
      <c r="AF404" s="26" t="s">
        <v>31</v>
      </c>
      <c r="AG404" s="26">
        <v>1423</v>
      </c>
      <c r="AH404" s="26">
        <v>38</v>
      </c>
    </row>
    <row r="405" spans="1:34" x14ac:dyDescent="0.2">
      <c r="A405" s="10">
        <f t="shared" si="30"/>
        <v>2024</v>
      </c>
      <c r="B405" s="10">
        <f t="shared" si="31"/>
        <v>10</v>
      </c>
      <c r="D405" s="10" t="s">
        <v>125</v>
      </c>
      <c r="E405" s="25" t="d">
        <v>2024-10-01</v>
      </c>
      <c r="F405" s="26">
        <v>300357</v>
      </c>
      <c r="G405" s="26">
        <v>5143</v>
      </c>
      <c r="H405" s="26">
        <v>59872046</v>
      </c>
      <c r="I405" s="26">
        <v>1693603</v>
      </c>
      <c r="J405" s="26">
        <v>648262</v>
      </c>
      <c r="K405" s="26">
        <v>62504</v>
      </c>
      <c r="L405" s="26">
        <v>1200000</v>
      </c>
      <c r="M405" s="26">
        <v>0</v>
      </c>
      <c r="N405" s="26">
        <v>12100000</v>
      </c>
      <c r="O405" s="26">
        <v>0</v>
      </c>
      <c r="P405" s="26" t="s">
        <v>31</v>
      </c>
      <c r="Q405" s="26" t="s">
        <v>31</v>
      </c>
      <c r="R405" s="26" t="s">
        <v>31</v>
      </c>
      <c r="S405" s="26" t="s">
        <v>31</v>
      </c>
      <c r="T405" s="26">
        <v>364641</v>
      </c>
      <c r="U405" s="26">
        <v>6858</v>
      </c>
      <c r="V405" s="26">
        <v>43320</v>
      </c>
      <c r="W405" s="26">
        <v>835</v>
      </c>
      <c r="X405" s="26">
        <v>39</v>
      </c>
      <c r="Y405" s="26" t="s">
        <v>31</v>
      </c>
      <c r="Z405" s="26" t="s">
        <v>31</v>
      </c>
      <c r="AA405" s="26" t="s">
        <v>31</v>
      </c>
      <c r="AB405" s="26" t="s">
        <v>31</v>
      </c>
      <c r="AC405" s="26" t="s">
        <v>31</v>
      </c>
      <c r="AD405" s="26" t="s">
        <v>31</v>
      </c>
      <c r="AE405" s="26" t="s">
        <v>31</v>
      </c>
      <c r="AF405" s="26" t="s">
        <v>31</v>
      </c>
      <c r="AG405" s="26">
        <v>1468</v>
      </c>
      <c r="AH405" s="26">
        <v>45</v>
      </c>
    </row>
    <row r="406" spans="1:34" x14ac:dyDescent="0.2">
      <c r="A406" s="10">
        <f t="shared" si="30"/>
        <v>2024</v>
      </c>
      <c r="B406" s="10">
        <f t="shared" si="31"/>
        <v>11</v>
      </c>
      <c r="D406" s="10" t="s">
        <v>125</v>
      </c>
      <c r="E406" s="25" t="d">
        <v>2024-11-01</v>
      </c>
      <c r="F406" s="26">
        <v>306372</v>
      </c>
      <c r="G406" s="26">
        <v>6015</v>
      </c>
      <c r="H406" s="26">
        <v>61510007</v>
      </c>
      <c r="I406" s="26">
        <v>1637961</v>
      </c>
      <c r="J406" s="26">
        <v>638524</v>
      </c>
      <c r="K406" s="26">
        <v>-9738</v>
      </c>
      <c r="L406" s="26">
        <v>1200000</v>
      </c>
      <c r="M406" s="26">
        <v>0</v>
      </c>
      <c r="N406" s="26">
        <v>12100000</v>
      </c>
      <c r="O406" s="26">
        <v>0</v>
      </c>
      <c r="P406" s="26" t="s">
        <v>31</v>
      </c>
      <c r="Q406" s="26" t="s">
        <v>31</v>
      </c>
      <c r="R406" s="26" t="s">
        <v>31</v>
      </c>
      <c r="S406" s="26" t="s">
        <v>31</v>
      </c>
      <c r="T406" s="26">
        <v>368009</v>
      </c>
      <c r="U406" s="26">
        <v>3368</v>
      </c>
      <c r="V406" s="26">
        <v>62218</v>
      </c>
      <c r="W406" s="26">
        <v>857</v>
      </c>
      <c r="X406" s="26">
        <v>22</v>
      </c>
      <c r="Y406" s="26" t="s">
        <v>31</v>
      </c>
      <c r="Z406" s="26" t="s">
        <v>31</v>
      </c>
      <c r="AA406" s="26" t="s">
        <v>31</v>
      </c>
      <c r="AB406" s="26" t="s">
        <v>31</v>
      </c>
      <c r="AC406" s="26" t="s">
        <v>31</v>
      </c>
      <c r="AD406" s="26" t="s">
        <v>31</v>
      </c>
      <c r="AE406" s="26" t="s">
        <v>31</v>
      </c>
      <c r="AF406" s="26" t="s">
        <v>31</v>
      </c>
      <c r="AG406" s="26">
        <v>1521</v>
      </c>
      <c r="AH406" s="26">
        <v>53</v>
      </c>
    </row>
    <row r="407" spans="1:34" x14ac:dyDescent="0.2">
      <c r="A407" s="10">
        <f t="shared" si="30"/>
        <v>2024</v>
      </c>
      <c r="B407" s="10">
        <f t="shared" si="31"/>
        <v>12</v>
      </c>
      <c r="D407" s="10" t="s">
        <v>125</v>
      </c>
      <c r="E407" s="25" t="d">
        <v>2024-12-01</v>
      </c>
      <c r="F407" s="26">
        <v>311801</v>
      </c>
      <c r="G407" s="26">
        <v>5429</v>
      </c>
      <c r="H407" s="26">
        <v>62925908</v>
      </c>
      <c r="I407" s="26">
        <v>1410874</v>
      </c>
      <c r="J407" s="26">
        <v>581126</v>
      </c>
      <c r="K407" s="26">
        <v>-57398</v>
      </c>
      <c r="L407" s="26">
        <v>1200000</v>
      </c>
      <c r="M407" s="26">
        <v>0</v>
      </c>
      <c r="N407" s="26">
        <v>12400000</v>
      </c>
      <c r="O407" s="26">
        <v>300000</v>
      </c>
      <c r="P407" s="26" t="s">
        <v>31</v>
      </c>
      <c r="Q407" s="26" t="s">
        <v>31</v>
      </c>
      <c r="R407" s="26" t="s">
        <v>31</v>
      </c>
      <c r="S407" s="26" t="s">
        <v>31</v>
      </c>
      <c r="T407" s="26">
        <v>368009</v>
      </c>
      <c r="U407" s="26">
        <v>0</v>
      </c>
      <c r="V407" s="26">
        <v>0</v>
      </c>
      <c r="W407" s="26">
        <v>883</v>
      </c>
      <c r="X407" s="26">
        <v>26</v>
      </c>
      <c r="Y407" s="26" t="s">
        <v>31</v>
      </c>
      <c r="Z407" s="26" t="s">
        <v>31</v>
      </c>
      <c r="AA407" s="26" t="s">
        <v>31</v>
      </c>
      <c r="AB407" s="26" t="s">
        <v>31</v>
      </c>
      <c r="AC407" s="26" t="s">
        <v>31</v>
      </c>
      <c r="AD407" s="26" t="s">
        <v>31</v>
      </c>
      <c r="AE407" s="26" t="s">
        <v>31</v>
      </c>
      <c r="AF407" s="26" t="s">
        <v>31</v>
      </c>
      <c r="AG407" s="26">
        <v>1561</v>
      </c>
      <c r="AH407" s="26">
        <v>40</v>
      </c>
    </row>
    <row r="408" spans="1:34" x14ac:dyDescent="0.2">
      <c r="A408" s="10">
        <f t="shared" si="30"/>
        <v>2025</v>
      </c>
      <c r="B408" s="10">
        <f t="shared" si="31"/>
        <v>1</v>
      </c>
      <c r="D408" s="10" t="s">
        <v>125</v>
      </c>
      <c r="E408" s="25" t="d">
        <v>2025-01-01</v>
      </c>
      <c r="F408" s="26">
        <v>319029</v>
      </c>
      <c r="G408" s="26">
        <v>7228</v>
      </c>
      <c r="H408" s="26">
        <v>64537380</v>
      </c>
      <c r="I408" s="26">
        <v>1600174</v>
      </c>
      <c r="J408" s="26">
        <v>658557</v>
      </c>
      <c r="K408" s="26">
        <v>77431</v>
      </c>
      <c r="L408" s="26">
        <v>1200000</v>
      </c>
      <c r="M408" s="26">
        <v>0</v>
      </c>
      <c r="N408" s="26">
        <v>12500000</v>
      </c>
      <c r="O408" s="26">
        <v>100000</v>
      </c>
      <c r="P408" s="26" t="s">
        <v>31</v>
      </c>
      <c r="Q408" s="26" t="s">
        <v>31</v>
      </c>
      <c r="R408" s="26" t="s">
        <v>31</v>
      </c>
      <c r="S408" s="26" t="s">
        <v>31</v>
      </c>
      <c r="T408" s="26">
        <v>374012</v>
      </c>
      <c r="U408" s="26">
        <v>6003</v>
      </c>
      <c r="V408" s="26">
        <v>4148</v>
      </c>
      <c r="W408" s="26">
        <v>918</v>
      </c>
      <c r="X408" s="26">
        <v>35</v>
      </c>
      <c r="Y408" s="26" t="s">
        <v>31</v>
      </c>
      <c r="Z408" s="26" t="s">
        <v>31</v>
      </c>
      <c r="AA408" s="26" t="s">
        <v>31</v>
      </c>
      <c r="AB408" s="26" t="s">
        <v>31</v>
      </c>
      <c r="AC408" s="26" t="s">
        <v>31</v>
      </c>
      <c r="AD408" s="26" t="s">
        <v>31</v>
      </c>
      <c r="AE408" s="26" t="s">
        <v>31</v>
      </c>
      <c r="AF408" s="26" t="s">
        <v>31</v>
      </c>
      <c r="AG408" s="26">
        <v>1609</v>
      </c>
      <c r="AH408" s="26">
        <v>48</v>
      </c>
    </row>
    <row r="409" spans="1:34" x14ac:dyDescent="0.2">
      <c r="A409" s="10">
        <f t="shared" si="30"/>
        <v>2025</v>
      </c>
      <c r="B409" s="10">
        <f t="shared" si="31"/>
        <v>2</v>
      </c>
      <c r="D409" s="10" t="s">
        <v>125</v>
      </c>
      <c r="E409" s="25" t="d">
        <v>2025-02-01</v>
      </c>
      <c r="F409" s="26">
        <v>324230</v>
      </c>
      <c r="G409" s="26">
        <v>5201</v>
      </c>
      <c r="H409" s="26">
        <v>65954028</v>
      </c>
      <c r="I409" s="26">
        <v>1416676</v>
      </c>
      <c r="J409" s="26">
        <v>521965</v>
      </c>
      <c r="K409" s="26">
        <v>-136592</v>
      </c>
      <c r="L409" s="26">
        <v>1210000</v>
      </c>
      <c r="M409" s="26">
        <v>10000</v>
      </c>
      <c r="N409" s="26">
        <v>12510000</v>
      </c>
      <c r="O409" s="26">
        <v>10000</v>
      </c>
      <c r="P409" s="26" t="s">
        <v>31</v>
      </c>
      <c r="Q409" s="26" t="s">
        <v>31</v>
      </c>
      <c r="R409" s="26" t="s">
        <v>31</v>
      </c>
      <c r="S409" s="26" t="s">
        <v>31</v>
      </c>
      <c r="T409" s="26">
        <v>374518</v>
      </c>
      <c r="U409" s="26">
        <v>506</v>
      </c>
      <c r="V409" s="26">
        <v>2518</v>
      </c>
      <c r="W409" s="26">
        <v>955</v>
      </c>
      <c r="X409" s="26">
        <v>37</v>
      </c>
      <c r="Y409" s="26" t="s">
        <v>31</v>
      </c>
      <c r="Z409" s="26" t="s">
        <v>31</v>
      </c>
      <c r="AA409" s="26" t="s">
        <v>31</v>
      </c>
      <c r="AB409" s="26" t="s">
        <v>31</v>
      </c>
      <c r="AC409" s="26" t="s">
        <v>31</v>
      </c>
      <c r="AD409" s="26" t="s">
        <v>31</v>
      </c>
      <c r="AE409" s="26" t="s">
        <v>31</v>
      </c>
      <c r="AF409" s="26" t="s">
        <v>31</v>
      </c>
      <c r="AG409" s="26">
        <v>1655</v>
      </c>
      <c r="AH409" s="26">
        <v>46</v>
      </c>
    </row>
    <row r="410" spans="1:34" x14ac:dyDescent="0.2">
      <c r="A410" s="10">
        <f t="shared" si="30"/>
        <v>2025</v>
      </c>
      <c r="B410" s="10">
        <f t="shared" si="31"/>
        <v>3</v>
      </c>
      <c r="D410" s="10" t="s">
        <v>125</v>
      </c>
      <c r="E410" s="25" t="d">
        <v>2025-03-01</v>
      </c>
      <c r="F410" s="26">
        <v>328677</v>
      </c>
      <c r="G410" s="26">
        <v>4447</v>
      </c>
      <c r="H410" s="26">
        <v>67008613</v>
      </c>
      <c r="I410" s="26">
        <v>1054585</v>
      </c>
      <c r="J410" s="26">
        <v>463114</v>
      </c>
      <c r="K410" s="26">
        <v>-58851</v>
      </c>
      <c r="L410" s="26">
        <v>1210000</v>
      </c>
      <c r="M410" s="26">
        <v>0</v>
      </c>
      <c r="N410" s="26">
        <v>12510000</v>
      </c>
      <c r="O410" s="26">
        <v>0</v>
      </c>
      <c r="P410" s="26" t="s">
        <v>31</v>
      </c>
      <c r="Q410" s="26" t="s">
        <v>31</v>
      </c>
      <c r="R410" s="26" t="s">
        <v>31</v>
      </c>
      <c r="S410" s="26" t="s">
        <v>31</v>
      </c>
      <c r="T410" s="26">
        <v>374622</v>
      </c>
      <c r="U410" s="26">
        <v>104</v>
      </c>
      <c r="V410" s="26">
        <v>824</v>
      </c>
      <c r="W410" s="26">
        <v>986</v>
      </c>
      <c r="X410" s="26">
        <v>31</v>
      </c>
      <c r="Y410" s="26" t="s">
        <v>31</v>
      </c>
      <c r="Z410" s="26" t="s">
        <v>31</v>
      </c>
      <c r="AA410" s="26" t="s">
        <v>31</v>
      </c>
      <c r="AB410" s="26" t="s">
        <v>31</v>
      </c>
      <c r="AC410" s="26" t="s">
        <v>31</v>
      </c>
      <c r="AD410" s="26" t="s">
        <v>31</v>
      </c>
      <c r="AE410" s="26" t="s">
        <v>31</v>
      </c>
      <c r="AF410" s="26" t="s">
        <v>31</v>
      </c>
      <c r="AG410" s="26">
        <v>1680</v>
      </c>
      <c r="AH410" s="26">
        <v>25</v>
      </c>
    </row>
    <row r="411" spans="1:34" x14ac:dyDescent="0.2">
      <c r="A411" s="10">
        <f t="shared" si="30"/>
        <v>2025</v>
      </c>
      <c r="B411" s="10">
        <f t="shared" si="31"/>
        <v>4</v>
      </c>
      <c r="D411" s="10" t="s">
        <v>125</v>
      </c>
      <c r="E411" s="25" t="d">
        <v>2025-04-01</v>
      </c>
      <c r="F411" s="26">
        <v>334193</v>
      </c>
      <c r="G411" s="26">
        <v>5516</v>
      </c>
      <c r="H411" s="26">
        <v>68014732</v>
      </c>
      <c r="I411" s="26">
        <v>1006898</v>
      </c>
      <c r="J411" s="26">
        <v>428021</v>
      </c>
      <c r="K411" s="26">
        <v>-35093</v>
      </c>
      <c r="L411" s="26">
        <v>1210000</v>
      </c>
      <c r="M411" s="26">
        <v>0</v>
      </c>
      <c r="N411" s="26">
        <v>12510000</v>
      </c>
      <c r="O411" s="26">
        <v>0</v>
      </c>
      <c r="P411" s="26" t="s">
        <v>31</v>
      </c>
      <c r="Q411" s="26" t="s">
        <v>31</v>
      </c>
      <c r="R411" s="26" t="s">
        <v>31</v>
      </c>
      <c r="S411" s="26" t="s">
        <v>31</v>
      </c>
      <c r="T411" s="26">
        <v>376096</v>
      </c>
      <c r="U411" s="26">
        <v>1474</v>
      </c>
      <c r="V411" s="26">
        <v>29389</v>
      </c>
      <c r="W411" s="26">
        <v>1027</v>
      </c>
      <c r="X411" s="26">
        <v>41</v>
      </c>
      <c r="Y411" s="26" t="s">
        <v>31</v>
      </c>
      <c r="Z411" s="26" t="s">
        <v>31</v>
      </c>
      <c r="AA411" s="26" t="s">
        <v>31</v>
      </c>
      <c r="AB411" s="26" t="s">
        <v>31</v>
      </c>
      <c r="AC411" s="26" t="s">
        <v>31</v>
      </c>
      <c r="AD411" s="26" t="s">
        <v>31</v>
      </c>
      <c r="AE411" s="26" t="s">
        <v>31</v>
      </c>
      <c r="AF411" s="26" t="s">
        <v>31</v>
      </c>
      <c r="AG411" s="26">
        <v>1736</v>
      </c>
      <c r="AH411" s="26">
        <v>56</v>
      </c>
    </row>
    <row r="412" spans="1:34" x14ac:dyDescent="0.2">
      <c r="A412" s="10">
        <f t="shared" si="30"/>
        <v>2025</v>
      </c>
      <c r="B412" s="10">
        <f t="shared" si="31"/>
        <v>5</v>
      </c>
      <c r="D412" s="10" t="s">
        <v>125</v>
      </c>
      <c r="E412" s="25" t="d">
        <v>2025-05-01</v>
      </c>
      <c r="F412" s="26">
        <v>339582</v>
      </c>
      <c r="G412" s="26">
        <v>5389</v>
      </c>
      <c r="H412" s="26">
        <v>69017752</v>
      </c>
      <c r="I412" s="26">
        <v>1001478</v>
      </c>
      <c r="J412" s="26">
        <v>445366</v>
      </c>
      <c r="K412" s="26">
        <v>17345</v>
      </c>
      <c r="L412" s="26">
        <v>1210000</v>
      </c>
      <c r="M412" s="26">
        <v>0</v>
      </c>
      <c r="N412" s="26">
        <v>12510000</v>
      </c>
      <c r="O412" s="26">
        <v>0</v>
      </c>
      <c r="P412" s="26" t="s">
        <v>31</v>
      </c>
      <c r="Q412" s="26" t="s">
        <v>31</v>
      </c>
      <c r="R412" s="26" t="s">
        <v>31</v>
      </c>
      <c r="S412" s="26" t="s">
        <v>31</v>
      </c>
      <c r="T412" s="26">
        <v>379741</v>
      </c>
      <c r="U412" s="26">
        <v>3645</v>
      </c>
      <c r="V412" s="26">
        <v>26718</v>
      </c>
      <c r="W412" s="26">
        <v>1057</v>
      </c>
      <c r="X412" s="26">
        <v>30</v>
      </c>
      <c r="Y412" s="26" t="s">
        <v>31</v>
      </c>
      <c r="Z412" s="26" t="s">
        <v>31</v>
      </c>
      <c r="AA412" s="26" t="s">
        <v>31</v>
      </c>
      <c r="AB412" s="26" t="s">
        <v>31</v>
      </c>
      <c r="AC412" s="26" t="s">
        <v>31</v>
      </c>
      <c r="AD412" s="26" t="s">
        <v>31</v>
      </c>
      <c r="AE412" s="26" t="s">
        <v>31</v>
      </c>
      <c r="AF412" s="26" t="s">
        <v>31</v>
      </c>
      <c r="AG412" s="26">
        <v>1778</v>
      </c>
      <c r="AH412" s="26">
        <v>42</v>
      </c>
    </row>
    <row r="413" spans="1:34" x14ac:dyDescent="0.2">
      <c r="A413" s="10">
        <f t="shared" si="30"/>
        <v>2025</v>
      </c>
      <c r="B413" s="10">
        <f t="shared" si="31"/>
        <v>6</v>
      </c>
      <c r="D413" s="10" t="s">
        <v>125</v>
      </c>
      <c r="E413" s="25" t="d">
        <v>2025-06-01</v>
      </c>
      <c r="F413" s="26">
        <v>343744</v>
      </c>
      <c r="G413" s="26">
        <v>4162</v>
      </c>
      <c r="H413" s="26">
        <v>70143062</v>
      </c>
      <c r="I413" s="26">
        <v>1124210</v>
      </c>
      <c r="J413" s="26">
        <v>443400</v>
      </c>
      <c r="K413" s="26">
        <v>-1966</v>
      </c>
      <c r="L413" s="26">
        <v>1210000</v>
      </c>
      <c r="M413" s="26">
        <v>0</v>
      </c>
      <c r="N413" s="26">
        <v>12510000</v>
      </c>
      <c r="O413" s="26">
        <v>0</v>
      </c>
      <c r="P413" s="26" t="s">
        <v>31</v>
      </c>
      <c r="Q413" s="26" t="s">
        <v>31</v>
      </c>
      <c r="R413" s="26" t="s">
        <v>31</v>
      </c>
      <c r="S413" s="26" t="s">
        <v>31</v>
      </c>
      <c r="T413" s="26">
        <v>382894</v>
      </c>
      <c r="U413" s="26">
        <v>3153</v>
      </c>
      <c r="V413" s="26">
        <v>6850</v>
      </c>
      <c r="W413" s="26">
        <v>1214</v>
      </c>
      <c r="X413" s="26">
        <v>157</v>
      </c>
      <c r="Y413" s="26" t="s">
        <v>31</v>
      </c>
      <c r="Z413" s="26" t="s">
        <v>31</v>
      </c>
      <c r="AA413" s="26" t="s">
        <v>31</v>
      </c>
      <c r="AB413" s="26" t="s">
        <v>31</v>
      </c>
      <c r="AC413" s="26" t="s">
        <v>31</v>
      </c>
      <c r="AD413" s="26" t="s">
        <v>31</v>
      </c>
      <c r="AE413" s="26" t="s">
        <v>31</v>
      </c>
      <c r="AF413" s="26" t="s">
        <v>31</v>
      </c>
      <c r="AG413" s="26">
        <v>1820</v>
      </c>
      <c r="AH413" s="26">
        <v>42</v>
      </c>
    </row>
    <row r="414" spans="1:34" x14ac:dyDescent="0.2">
      <c r="A414" s="10">
        <f t="shared" si="30"/>
        <v>2025</v>
      </c>
      <c r="B414" s="10">
        <f t="shared" si="31"/>
        <v>7</v>
      </c>
      <c r="D414" s="10" t="s">
        <v>125</v>
      </c>
      <c r="E414" s="25" t="d">
        <v>2025-07-01</v>
      </c>
      <c r="F414" s="26">
        <v>347912</v>
      </c>
      <c r="G414" s="26">
        <v>4168</v>
      </c>
      <c r="H414" s="26">
        <v>71159654</v>
      </c>
      <c r="I414" s="26">
        <v>1020148</v>
      </c>
      <c r="J414" s="26">
        <v>429697</v>
      </c>
      <c r="K414" s="26">
        <v>-13703</v>
      </c>
      <c r="L414" s="26">
        <v>1210000</v>
      </c>
      <c r="M414" s="26">
        <v>0</v>
      </c>
      <c r="N414" s="26">
        <v>12510000</v>
      </c>
      <c r="O414" s="26">
        <v>0</v>
      </c>
      <c r="P414" s="26" t="s">
        <v>31</v>
      </c>
      <c r="Q414" s="26" t="s">
        <v>31</v>
      </c>
      <c r="R414" s="26" t="s">
        <v>31</v>
      </c>
      <c r="S414" s="26" t="s">
        <v>31</v>
      </c>
      <c r="T414" s="26">
        <v>384134</v>
      </c>
      <c r="U414" s="26">
        <v>1240</v>
      </c>
      <c r="V414" s="26">
        <v>6145</v>
      </c>
      <c r="W414" s="26">
        <v>1425</v>
      </c>
      <c r="X414" s="26">
        <v>211</v>
      </c>
      <c r="Y414" s="26" t="s">
        <v>31</v>
      </c>
      <c r="Z414" s="26" t="s">
        <v>31</v>
      </c>
      <c r="AA414" s="26" t="s">
        <v>31</v>
      </c>
      <c r="AB414" s="26" t="s">
        <v>31</v>
      </c>
      <c r="AC414" s="26" t="s">
        <v>31</v>
      </c>
      <c r="AD414" s="26" t="s">
        <v>31</v>
      </c>
      <c r="AE414" s="26" t="s">
        <v>31</v>
      </c>
      <c r="AF414" s="26" t="s">
        <v>31</v>
      </c>
      <c r="AG414" s="26">
        <v>1853</v>
      </c>
      <c r="AH414" s="26">
        <v>33</v>
      </c>
    </row>
    <row r="415" spans="1:34" x14ac:dyDescent="0.2">
      <c r="A415" s="10">
        <f t="shared" si="30"/>
        <v>2025</v>
      </c>
      <c r="B415" s="10">
        <f t="shared" si="31"/>
        <v>8</v>
      </c>
      <c r="D415" s="10" t="s">
        <v>125</v>
      </c>
      <c r="E415" s="25" t="d">
        <v>2025-08-01</v>
      </c>
      <c r="F415" s="26">
        <v>352052</v>
      </c>
      <c r="G415" s="26">
        <v>4140</v>
      </c>
      <c r="H415" s="26">
        <v>72143117</v>
      </c>
      <c r="I415" s="26">
        <v>981970</v>
      </c>
      <c r="J415" s="26">
        <v>421735</v>
      </c>
      <c r="K415" s="26">
        <v>-7962</v>
      </c>
      <c r="L415" s="26">
        <v>1300000</v>
      </c>
      <c r="M415" s="26">
        <v>90000</v>
      </c>
      <c r="N415" s="26">
        <v>13200000</v>
      </c>
      <c r="O415" s="26">
        <v>690000</v>
      </c>
      <c r="P415" s="26" t="s">
        <v>31</v>
      </c>
      <c r="Q415" s="26" t="s">
        <v>31</v>
      </c>
      <c r="R415" s="26" t="s">
        <v>31</v>
      </c>
      <c r="S415" s="26" t="s">
        <v>31</v>
      </c>
      <c r="T415" s="26">
        <v>384142</v>
      </c>
      <c r="U415" s="26">
        <v>8</v>
      </c>
      <c r="V415" s="26">
        <v>2435</v>
      </c>
      <c r="W415" s="26">
        <v>1679</v>
      </c>
      <c r="X415" s="26">
        <v>254</v>
      </c>
      <c r="Y415" s="26" t="s">
        <v>31</v>
      </c>
      <c r="Z415" s="26" t="s">
        <v>31</v>
      </c>
      <c r="AA415" s="26" t="s">
        <v>31</v>
      </c>
      <c r="AB415" s="26" t="s">
        <v>31</v>
      </c>
      <c r="AC415" s="26" t="s">
        <v>31</v>
      </c>
      <c r="AD415" s="26" t="s">
        <v>31</v>
      </c>
      <c r="AE415" s="26" t="s">
        <v>31</v>
      </c>
      <c r="AF415" s="26" t="s">
        <v>31</v>
      </c>
      <c r="AG415" s="26">
        <v>1892</v>
      </c>
      <c r="AH415" s="26">
        <v>39</v>
      </c>
    </row>
    <row r="416" spans="1:34" x14ac:dyDescent="0.2">
      <c r="A416" s="10">
        <f t="shared" si="30"/>
        <v>2025</v>
      </c>
      <c r="B416" s="10">
        <f t="shared" si="31"/>
        <v>9</v>
      </c>
      <c r="D416" s="10" t="s">
        <v>125</v>
      </c>
      <c r="E416" s="25" t="d">
        <v>2025-09-01</v>
      </c>
      <c r="F416" s="26">
        <v>356032</v>
      </c>
      <c r="G416" s="26">
        <v>3980</v>
      </c>
      <c r="H416" s="26">
        <v>73048414</v>
      </c>
      <c r="I416" s="26">
        <v>905297</v>
      </c>
      <c r="J416" s="26">
        <v>387869</v>
      </c>
      <c r="K416" s="26">
        <v>-33866</v>
      </c>
      <c r="L416" s="26">
        <v>1300000</v>
      </c>
      <c r="M416" s="26">
        <v>0</v>
      </c>
      <c r="N416" s="26">
        <v>13200000</v>
      </c>
      <c r="O416" s="26">
        <v>0</v>
      </c>
      <c r="P416" s="26" t="s">
        <v>31</v>
      </c>
      <c r="Q416" s="26" t="s">
        <v>31</v>
      </c>
      <c r="R416" s="26" t="s">
        <v>31</v>
      </c>
      <c r="S416" s="26" t="s">
        <v>31</v>
      </c>
      <c r="T416" s="26">
        <v>385343</v>
      </c>
      <c r="U416" s="26">
        <v>1201</v>
      </c>
      <c r="V416" s="26">
        <v>0</v>
      </c>
      <c r="W416" s="26">
        <v>1957</v>
      </c>
      <c r="X416" s="26">
        <v>278</v>
      </c>
      <c r="Y416" s="26" t="s">
        <v>31</v>
      </c>
      <c r="Z416" s="26" t="s">
        <v>31</v>
      </c>
      <c r="AA416" s="26" t="s">
        <v>31</v>
      </c>
      <c r="AB416" s="26" t="s">
        <v>31</v>
      </c>
      <c r="AC416" s="26" t="s">
        <v>31</v>
      </c>
      <c r="AD416" s="26" t="s">
        <v>31</v>
      </c>
      <c r="AE416" s="26" t="s">
        <v>31</v>
      </c>
      <c r="AF416" s="26" t="s">
        <v>31</v>
      </c>
      <c r="AG416" s="26">
        <v>1937</v>
      </c>
      <c r="AH416" s="26">
        <v>45</v>
      </c>
    </row>
    <row r="417" spans="1:34" x14ac:dyDescent="0.2">
      <c r="A417" s="10">
        <f t="shared" si="30"/>
        <v>2025</v>
      </c>
      <c r="B417" s="10">
        <f t="shared" si="31"/>
        <v>10</v>
      </c>
      <c r="D417" s="10" t="s">
        <v>125</v>
      </c>
      <c r="E417" s="25" t="d">
        <v>2025-10-01</v>
      </c>
      <c r="F417" s="26">
        <v>358447</v>
      </c>
      <c r="G417" s="26">
        <v>2415</v>
      </c>
      <c r="H417" s="26">
        <v>73825975</v>
      </c>
      <c r="I417" s="26">
        <v>778127</v>
      </c>
      <c r="J417" s="26">
        <v>344456</v>
      </c>
      <c r="K417" s="26">
        <v>-43413</v>
      </c>
      <c r="L417" s="26">
        <v>1300000</v>
      </c>
      <c r="M417" s="26">
        <v>0</v>
      </c>
      <c r="N417" s="26">
        <v>13500000</v>
      </c>
      <c r="O417" s="26">
        <v>300000</v>
      </c>
      <c r="P417" s="26" t="s">
        <v>31</v>
      </c>
      <c r="Q417" s="26" t="s">
        <v>31</v>
      </c>
      <c r="R417" s="26" t="s">
        <v>31</v>
      </c>
      <c r="S417" s="26" t="s">
        <v>31</v>
      </c>
      <c r="T417" s="26">
        <v>389962</v>
      </c>
      <c r="U417" s="26">
        <v>4619</v>
      </c>
      <c r="V417" s="26">
        <v>9091</v>
      </c>
      <c r="W417" s="26">
        <v>2214</v>
      </c>
      <c r="X417" s="26">
        <v>257</v>
      </c>
      <c r="Y417" s="26" t="s">
        <v>31</v>
      </c>
      <c r="Z417" s="26" t="s">
        <v>31</v>
      </c>
      <c r="AA417" s="26" t="s">
        <v>31</v>
      </c>
      <c r="AB417" s="26" t="s">
        <v>31</v>
      </c>
      <c r="AC417" s="26" t="s">
        <v>31</v>
      </c>
      <c r="AD417" s="26" t="s">
        <v>31</v>
      </c>
      <c r="AE417" s="26" t="s">
        <v>31</v>
      </c>
      <c r="AF417" s="26" t="s">
        <v>31</v>
      </c>
      <c r="AG417" s="26">
        <v>1958</v>
      </c>
      <c r="AH417" s="26">
        <v>21</v>
      </c>
    </row>
    <row r="418" spans="1:34" x14ac:dyDescent="0.2">
      <c r="A418" s="10">
        <f t="shared" si="30"/>
        <v>2025</v>
      </c>
      <c r="B418" s="10">
        <f t="shared" si="31"/>
        <v>11</v>
      </c>
      <c r="D418" s="10" t="s">
        <v>125</v>
      </c>
      <c r="E418" s="25" t="d">
        <v>2025-11-01</v>
      </c>
      <c r="F418" s="26">
        <v>362532</v>
      </c>
      <c r="G418" s="26">
        <v>4085</v>
      </c>
      <c r="H418" s="26">
        <v>65438831</v>
      </c>
      <c r="I418" s="26">
        <v>874826</v>
      </c>
      <c r="J418" s="26">
        <v>386513</v>
      </c>
      <c r="K418" s="26">
        <v>42057</v>
      </c>
      <c r="L418" s="26">
        <v>1300000</v>
      </c>
      <c r="M418" s="26">
        <v>0</v>
      </c>
      <c r="N418" s="26">
        <v>13800000</v>
      </c>
      <c r="O418" s="26">
        <v>300000</v>
      </c>
      <c r="P418" s="26" t="s">
        <v>31</v>
      </c>
      <c r="Q418" s="26" t="s">
        <v>31</v>
      </c>
      <c r="R418" s="26" t="s">
        <v>31</v>
      </c>
      <c r="S418" s="26" t="s">
        <v>31</v>
      </c>
      <c r="T418" s="26">
        <v>389962</v>
      </c>
      <c r="U418" s="26">
        <v>0</v>
      </c>
      <c r="V418" s="26">
        <v>0</v>
      </c>
      <c r="W418" s="26">
        <v>2362</v>
      </c>
      <c r="X418" s="26">
        <v>151</v>
      </c>
      <c r="Y418" s="26" t="s">
        <v>31</v>
      </c>
      <c r="Z418" s="26" t="s">
        <v>31</v>
      </c>
      <c r="AA418" s="26" t="s">
        <v>31</v>
      </c>
      <c r="AB418" s="26" t="s">
        <v>31</v>
      </c>
      <c r="AC418" s="26" t="s">
        <v>31</v>
      </c>
      <c r="AD418" s="26" t="s">
        <v>31</v>
      </c>
      <c r="AE418" s="26" t="s">
        <v>31</v>
      </c>
      <c r="AF418" s="26" t="s">
        <v>31</v>
      </c>
      <c r="AG418" s="26">
        <v>1982</v>
      </c>
      <c r="AH418" s="26">
        <v>24</v>
      </c>
    </row>
    <row r="419" spans="1:34" x14ac:dyDescent="0.2">
      <c r="A419" s="10">
        <f t="shared" si="30"/>
        <v>2025</v>
      </c>
      <c r="B419" s="10">
        <f t="shared" si="31"/>
        <v>12</v>
      </c>
      <c r="D419" s="10" t="s">
        <v>125</v>
      </c>
      <c r="E419" s="25" t="d">
        <v>2025-12-01</v>
      </c>
      <c r="F419" s="26">
        <v>367196</v>
      </c>
      <c r="G419" s="26">
        <v>4664</v>
      </c>
      <c r="H419" s="26">
        <v>66321303</v>
      </c>
      <c r="I419" s="26">
        <v>857704</v>
      </c>
      <c r="J419" s="26">
        <v>380751</v>
      </c>
      <c r="K419" s="26">
        <v>-5762</v>
      </c>
      <c r="L419" s="26">
        <v>1300000</v>
      </c>
      <c r="M419" s="26">
        <v>0</v>
      </c>
      <c r="N419" s="26">
        <v>14400000</v>
      </c>
      <c r="O419" s="26">
        <v>600000</v>
      </c>
      <c r="P419" s="26" t="s">
        <v>31</v>
      </c>
      <c r="Q419" s="26" t="s">
        <v>31</v>
      </c>
      <c r="R419" s="26" t="s">
        <v>31</v>
      </c>
      <c r="S419" s="26" t="s">
        <v>31</v>
      </c>
      <c r="T419" s="26">
        <v>389962</v>
      </c>
      <c r="U419" s="26">
        <v>0</v>
      </c>
      <c r="V419" s="26">
        <v>0</v>
      </c>
      <c r="W419" s="26">
        <v>2473</v>
      </c>
      <c r="X419" s="26">
        <v>111</v>
      </c>
      <c r="Y419" s="26" t="s">
        <v>31</v>
      </c>
      <c r="Z419" s="26" t="s">
        <v>31</v>
      </c>
      <c r="AA419" s="26" t="s">
        <v>31</v>
      </c>
      <c r="AB419" s="26" t="s">
        <v>31</v>
      </c>
      <c r="AC419" s="26" t="s">
        <v>31</v>
      </c>
      <c r="AD419" s="26" t="s">
        <v>31</v>
      </c>
      <c r="AE419" s="26" t="s">
        <v>31</v>
      </c>
      <c r="AF419" s="26" t="s">
        <v>31</v>
      </c>
      <c r="AG419" s="26">
        <v>1999</v>
      </c>
      <c r="AH419" s="26">
        <v>17</v>
      </c>
    </row>
    <row r="420" spans="1:34" x14ac:dyDescent="0.2">
      <c r="A420" s="10">
        <f t="shared" si="30"/>
        <v>2026</v>
      </c>
      <c r="B420" s="10">
        <f t="shared" si="31"/>
        <v>1</v>
      </c>
      <c r="D420" s="10" t="s">
        <v>125</v>
      </c>
      <c r="E420" s="25" t="d">
        <v>2026-01-01</v>
      </c>
      <c r="F420" s="26">
        <v>380917</v>
      </c>
      <c r="G420" s="26">
        <v>13721</v>
      </c>
      <c r="H420" s="26">
        <v>80432076</v>
      </c>
      <c r="I420" s="26">
        <v>1977197</v>
      </c>
      <c r="J420" s="26">
        <v>691422</v>
      </c>
      <c r="K420" s="26">
        <v>310671</v>
      </c>
      <c r="L420" s="26">
        <v>1300000</v>
      </c>
      <c r="M420" s="26">
        <v>0</v>
      </c>
      <c r="N420" s="26">
        <v>16300000</v>
      </c>
      <c r="O420" s="26">
        <v>1900000</v>
      </c>
      <c r="P420" s="26" t="s">
        <v>31</v>
      </c>
      <c r="Q420" s="26" t="s">
        <v>31</v>
      </c>
      <c r="R420" s="26" t="s">
        <v>31</v>
      </c>
      <c r="S420" s="26" t="s">
        <v>31</v>
      </c>
      <c r="T420" s="26">
        <v>389962</v>
      </c>
      <c r="U420" s="26">
        <v>0</v>
      </c>
      <c r="V420" s="26">
        <v>0</v>
      </c>
      <c r="W420" s="26">
        <v>2581</v>
      </c>
      <c r="X420" s="26">
        <v>108</v>
      </c>
      <c r="Y420" s="26" t="s">
        <v>31</v>
      </c>
      <c r="Z420" s="26" t="s">
        <v>31</v>
      </c>
      <c r="AA420" s="26" t="s">
        <v>31</v>
      </c>
      <c r="AB420" s="26" t="s">
        <v>31</v>
      </c>
      <c r="AC420" s="26" t="s">
        <v>31</v>
      </c>
      <c r="AD420" s="26" t="s">
        <v>31</v>
      </c>
      <c r="AE420" s="26" t="s">
        <v>31</v>
      </c>
      <c r="AF420" s="26" t="s">
        <v>31</v>
      </c>
      <c r="AG420" s="26">
        <v>2022</v>
      </c>
      <c r="AH420" s="26">
        <v>23</v>
      </c>
    </row>
    <row r="421" spans="1:34" x14ac:dyDescent="0.2">
      <c r="A421" s="10">
        <f t="shared" si="30"/>
        <v>2026</v>
      </c>
      <c r="B421" s="10">
        <f t="shared" si="31"/>
        <v>2</v>
      </c>
      <c r="D421" s="10" t="s">
        <v>125</v>
      </c>
      <c r="E421" s="25" t="d">
        <v>2026-02-01</v>
      </c>
      <c r="F421" s="26">
        <v>390958</v>
      </c>
      <c r="G421" s="26">
        <v>10041</v>
      </c>
      <c r="H421" s="26">
        <v>82345627</v>
      </c>
      <c r="I421" s="26">
        <v>1913551</v>
      </c>
      <c r="J421" s="26">
        <v>652634</v>
      </c>
      <c r="K421" s="26">
        <v>-38788</v>
      </c>
      <c r="L421" s="26">
        <v>1440000</v>
      </c>
      <c r="M421" s="26">
        <v>140000</v>
      </c>
      <c r="N421" s="26">
        <v>18300000</v>
      </c>
      <c r="O421" s="26">
        <v>2000000</v>
      </c>
      <c r="P421" s="26" t="s">
        <v>31</v>
      </c>
      <c r="Q421" s="26" t="s">
        <v>31</v>
      </c>
      <c r="R421" s="26" t="s">
        <v>31</v>
      </c>
      <c r="S421" s="26" t="s">
        <v>31</v>
      </c>
      <c r="T421" s="26">
        <v>389962</v>
      </c>
      <c r="U421" s="26">
        <v>0</v>
      </c>
      <c r="V421" s="26">
        <v>0</v>
      </c>
      <c r="W421" s="26">
        <v>2737</v>
      </c>
      <c r="X421" s="26">
        <v>156</v>
      </c>
      <c r="Y421" s="26" t="s">
        <v>31</v>
      </c>
      <c r="Z421" s="26" t="s">
        <v>31</v>
      </c>
      <c r="AA421" s="26" t="s">
        <v>31</v>
      </c>
      <c r="AB421" s="26" t="s">
        <v>31</v>
      </c>
      <c r="AC421" s="26" t="s">
        <v>31</v>
      </c>
      <c r="AD421" s="26" t="s">
        <v>31</v>
      </c>
      <c r="AE421" s="26" t="s">
        <v>31</v>
      </c>
      <c r="AF421" s="26" t="s">
        <v>31</v>
      </c>
      <c r="AG421" s="26">
        <v>2048</v>
      </c>
      <c r="AH421" s="26">
        <v>26</v>
      </c>
    </row>
    <row r="422" spans="1:34" x14ac:dyDescent="0.2">
      <c r="A422" s="10">
        <f t="shared" si="30"/>
        <v>2026</v>
      </c>
      <c r="B422" s="10">
        <f t="shared" si="31"/>
        <v>3</v>
      </c>
      <c r="D422" s="10" t="s">
        <v>125</v>
      </c>
      <c r="E422" s="25" t="d">
        <v>2026-03-01</v>
      </c>
      <c r="F422" s="26">
        <v>400558</v>
      </c>
      <c r="G422" s="26">
        <v>9600</v>
      </c>
      <c r="H422" s="26">
        <v>83836081</v>
      </c>
      <c r="I422" s="26">
        <v>1490454</v>
      </c>
      <c r="J422" s="26">
        <v>615577</v>
      </c>
      <c r="K422" s="26">
        <v>-37057</v>
      </c>
      <c r="L422" s="26">
        <v>1440000</v>
      </c>
      <c r="M422" s="26">
        <v>0</v>
      </c>
      <c r="N422" s="26">
        <v>18300000</v>
      </c>
      <c r="O422" s="26">
        <v>0</v>
      </c>
      <c r="P422" s="26" t="s">
        <v>31</v>
      </c>
      <c r="Q422" s="26" t="s">
        <v>31</v>
      </c>
      <c r="R422" s="26" t="s">
        <v>31</v>
      </c>
      <c r="S422" s="26" t="s">
        <v>31</v>
      </c>
      <c r="T422" s="26">
        <v>389962</v>
      </c>
      <c r="U422" s="26">
        <v>0</v>
      </c>
      <c r="V422" s="26">
        <v>0</v>
      </c>
      <c r="W422" s="26">
        <v>2841</v>
      </c>
      <c r="X422" s="26">
        <v>104</v>
      </c>
      <c r="Y422" s="26" t="s">
        <v>31</v>
      </c>
      <c r="Z422" s="26" t="s">
        <v>31</v>
      </c>
      <c r="AA422" s="26" t="s">
        <v>31</v>
      </c>
      <c r="AB422" s="26" t="s">
        <v>31</v>
      </c>
      <c r="AC422" s="26" t="s">
        <v>31</v>
      </c>
      <c r="AD422" s="26" t="s">
        <v>31</v>
      </c>
      <c r="AE422" s="26" t="s">
        <v>31</v>
      </c>
      <c r="AF422" s="26" t="s">
        <v>31</v>
      </c>
      <c r="AG422" s="26">
        <v>2074</v>
      </c>
      <c r="AH422" s="26">
        <v>26</v>
      </c>
    </row>
    <row r="423" spans="1:34" x14ac:dyDescent="0.2">
      <c r="A423" s="10">
        <f t="shared" si="30"/>
        <v>2026</v>
      </c>
      <c r="B423" s="10">
        <f t="shared" si="31"/>
        <v>4</v>
      </c>
      <c r="D423" s="10" t="s">
        <v>125</v>
      </c>
      <c r="E423" s="25" t="d">
        <v>2026-04-01</v>
      </c>
      <c r="F423" s="26">
        <v>413161</v>
      </c>
      <c r="G423" s="26">
        <v>12603</v>
      </c>
      <c r="H423" s="26">
        <v>85700428</v>
      </c>
      <c r="I423" s="26">
        <v>1787393</v>
      </c>
      <c r="J423" s="26">
        <v>690350</v>
      </c>
      <c r="K423" s="26">
        <v>74773</v>
      </c>
      <c r="L423" s="26">
        <v>1545762</v>
      </c>
      <c r="M423" s="26">
        <v>28213</v>
      </c>
      <c r="N423" s="26">
        <v>22933719</v>
      </c>
      <c r="O423" s="26">
        <v>1203301</v>
      </c>
      <c r="P423" s="26" t="s">
        <v>31</v>
      </c>
      <c r="Q423" s="26" t="s">
        <v>31</v>
      </c>
      <c r="R423" s="26" t="s">
        <v>31</v>
      </c>
      <c r="S423" s="26" t="s">
        <v>31</v>
      </c>
      <c r="T423" s="26">
        <v>497522</v>
      </c>
      <c r="U423" s="26">
        <v>107560</v>
      </c>
      <c r="V423" s="26">
        <v>27286</v>
      </c>
      <c r="W423" s="26">
        <v>2965</v>
      </c>
      <c r="X423" s="26">
        <v>124</v>
      </c>
      <c r="Y423" s="26">
        <v>7355189</v>
      </c>
      <c r="Z423" s="26">
        <v>28386</v>
      </c>
      <c r="AA423" s="26" t="s">
        <v>31</v>
      </c>
      <c r="AB423" s="26" t="s">
        <v>31</v>
      </c>
      <c r="AC423" s="26" t="s">
        <v>31</v>
      </c>
      <c r="AD423" s="26" t="s">
        <v>31</v>
      </c>
      <c r="AE423" s="26" t="s">
        <v>31</v>
      </c>
      <c r="AF423" s="26" t="s">
        <v>31</v>
      </c>
      <c r="AG423" s="26">
        <v>2109</v>
      </c>
      <c r="AH423" s="26">
        <v>35</v>
      </c>
    </row>
    <row r="424" spans="1:34" x14ac:dyDescent="0.2">
      <c r="A424" s="10">
        <f t="shared" si="30"/>
        <v>2026</v>
      </c>
      <c r="B424" s="10">
        <f t="shared" si="31"/>
        <v>5</v>
      </c>
      <c r="D424" s="10" t="s">
        <v>125</v>
      </c>
      <c r="E424" s="25" t="d">
        <v>2026-05-01</v>
      </c>
      <c r="F424" s="26">
        <v>420847</v>
      </c>
      <c r="G424" s="26">
        <v>7686</v>
      </c>
      <c r="H424" s="26">
        <v>87605939</v>
      </c>
      <c r="I424" s="26">
        <v>1905511</v>
      </c>
      <c r="J424" s="26">
        <v>719798</v>
      </c>
      <c r="K424" s="26">
        <v>29448</v>
      </c>
      <c r="L424" s="26">
        <v>1576014</v>
      </c>
      <c r="M424" s="26">
        <v>30252</v>
      </c>
      <c r="N424" s="26">
        <v>24367171</v>
      </c>
      <c r="O424" s="26">
        <v>1433452</v>
      </c>
      <c r="P424" s="26" t="s">
        <v>31</v>
      </c>
      <c r="Q424" s="26" t="s">
        <v>31</v>
      </c>
      <c r="R424" s="26" t="s">
        <v>31</v>
      </c>
      <c r="S424" s="26" t="s">
        <v>31</v>
      </c>
      <c r="T424" s="26">
        <v>509386</v>
      </c>
      <c r="U424" s="26">
        <v>11864</v>
      </c>
      <c r="V424" s="26">
        <v>84947</v>
      </c>
      <c r="W424" s="26">
        <v>3058</v>
      </c>
      <c r="X424" s="26">
        <v>93</v>
      </c>
      <c r="Y424" s="26">
        <v>7356857</v>
      </c>
      <c r="Z424" s="26">
        <v>1668</v>
      </c>
      <c r="AA424" s="26" t="s">
        <v>31</v>
      </c>
      <c r="AB424" s="26" t="s">
        <v>31</v>
      </c>
      <c r="AC424" s="26" t="s">
        <v>31</v>
      </c>
      <c r="AD424" s="26" t="s">
        <v>31</v>
      </c>
      <c r="AE424" s="26" t="s">
        <v>31</v>
      </c>
      <c r="AF424" s="26" t="s">
        <v>31</v>
      </c>
      <c r="AG424" s="26">
        <v>2141</v>
      </c>
      <c r="AH424" s="26">
        <v>32</v>
      </c>
    </row>
    <row r="425" spans="1:34" x14ac:dyDescent="0.2">
      <c r="A425" s="10">
        <f t="shared" si="30"/>
        <v>2026</v>
      </c>
      <c r="B425" s="10">
        <f t="shared" si="31"/>
        <v>6</v>
      </c>
      <c r="D425" s="10" t="s">
        <v>125</v>
      </c>
      <c r="E425" s="25" t="d">
        <v>2026-06-01</v>
      </c>
      <c r="F425" s="26">
        <v>427745</v>
      </c>
      <c r="G425" s="26">
        <v>6898</v>
      </c>
      <c r="H425" s="26">
        <v>89291302</v>
      </c>
      <c r="I425" s="26">
        <v>1632401</v>
      </c>
      <c r="J425" s="26">
        <v>610897</v>
      </c>
      <c r="K425" s="26">
        <v>-108901</v>
      </c>
      <c r="L425" s="26">
        <v>1614181</v>
      </c>
      <c r="M425" s="26">
        <v>38167</v>
      </c>
      <c r="N425" s="26">
        <v>25861471</v>
      </c>
      <c r="O425" s="26">
        <v>1494300</v>
      </c>
      <c r="P425" s="26" t="s">
        <v>31</v>
      </c>
      <c r="Q425" s="26" t="s">
        <v>31</v>
      </c>
      <c r="R425" s="26" t="s">
        <v>31</v>
      </c>
      <c r="S425" s="26" t="s">
        <v>31</v>
      </c>
      <c r="T425" s="26">
        <v>517981</v>
      </c>
      <c r="U425" s="26">
        <v>8595</v>
      </c>
      <c r="V425" s="26">
        <v>86817</v>
      </c>
      <c r="W425" s="26">
        <v>3174</v>
      </c>
      <c r="X425" s="26">
        <v>116</v>
      </c>
      <c r="Y425" s="26">
        <v>7454354</v>
      </c>
      <c r="Z425" s="26">
        <v>97497</v>
      </c>
      <c r="AA425" s="26" t="s">
        <v>31</v>
      </c>
      <c r="AB425" s="26" t="s">
        <v>31</v>
      </c>
      <c r="AC425" s="26" t="s">
        <v>31</v>
      </c>
      <c r="AD425" s="26" t="s">
        <v>31</v>
      </c>
      <c r="AE425" s="26" t="s">
        <v>31</v>
      </c>
      <c r="AF425" s="26" t="s">
        <v>31</v>
      </c>
      <c r="AG425" s="26">
        <v>2174</v>
      </c>
      <c r="AH425" s="26">
        <v>33</v>
      </c>
    </row>
    <row r="426" spans="1:34" x14ac:dyDescent="0.2">
      <c r="A426" s="10">
        <f t="shared" si="30"/>
        <v>2026</v>
      </c>
      <c r="B426" s="10">
        <f t="shared" si="31"/>
        <v>7</v>
      </c>
      <c r="D426" s="10" t="s">
        <v>125</v>
      </c>
      <c r="E426" s="25" t="d">
        <v>2026-07-01</v>
      </c>
      <c r="F426" s="26">
        <v>439293</v>
      </c>
      <c r="G426" s="26">
        <v>11548</v>
      </c>
      <c r="H426" s="26">
        <v>91612788</v>
      </c>
      <c r="I426" s="26">
        <v>2277478</v>
      </c>
      <c r="J426" s="26">
        <v>785092</v>
      </c>
      <c r="K426" s="26">
        <v>174195</v>
      </c>
      <c r="L426" s="26">
        <v>1639420</v>
      </c>
      <c r="M426" s="26">
        <v>25239</v>
      </c>
      <c r="N426" s="26">
        <v>26836581</v>
      </c>
      <c r="O426" s="26">
        <v>975110</v>
      </c>
      <c r="P426" s="26" t="s">
        <v>31</v>
      </c>
      <c r="Q426" s="26" t="s">
        <v>31</v>
      </c>
      <c r="R426" s="26" t="s">
        <v>31</v>
      </c>
      <c r="S426" s="26" t="s">
        <v>31</v>
      </c>
      <c r="T426" s="26">
        <v>530665</v>
      </c>
      <c r="U426" s="26">
        <v>12684</v>
      </c>
      <c r="V426" s="26">
        <v>57715</v>
      </c>
      <c r="W426" s="26">
        <v>3269</v>
      </c>
      <c r="X426" s="26">
        <v>95</v>
      </c>
      <c r="Y426" s="26">
        <v>7487973</v>
      </c>
      <c r="Z426" s="26">
        <v>33619</v>
      </c>
      <c r="AA426" s="26" t="s">
        <v>31</v>
      </c>
      <c r="AB426" s="26" t="s">
        <v>31</v>
      </c>
      <c r="AC426" s="26" t="s">
        <v>31</v>
      </c>
      <c r="AD426" s="26" t="s">
        <v>31</v>
      </c>
      <c r="AE426" s="26" t="s">
        <v>31</v>
      </c>
      <c r="AF426" s="26" t="s">
        <v>31</v>
      </c>
      <c r="AG426" s="26">
        <v>2209</v>
      </c>
      <c r="AH426" s="26">
        <v>35</v>
      </c>
    </row>
    <row r="427" spans="1:34" x14ac:dyDescent="0.2">
      <c r="A427" s="10">
        <f t="shared" ref="A427:A451" si="32">YEAR(E427)</f>
        <v>2024</v>
      </c>
      <c r="B427" s="10">
        <f t="shared" ref="B427:B451" si="33">MONTH(E427)</f>
        <v>7</v>
      </c>
      <c r="D427" s="10" t="s">
        <v>159</v>
      </c>
      <c r="E427" s="25" t="d">
        <v>2024-07-01</v>
      </c>
      <c r="F427" s="26">
        <v>60061</v>
      </c>
      <c r="G427" s="26">
        <v>7902</v>
      </c>
      <c r="H427" s="26">
        <v>13335851</v>
      </c>
      <c r="I427" s="26">
        <v>4082321</v>
      </c>
      <c r="J427" s="26">
        <v>1192163</v>
      </c>
      <c r="K427" s="26">
        <v>107872</v>
      </c>
      <c r="L427" s="26">
        <v>15000</v>
      </c>
      <c r="M427" s="26">
        <v>400</v>
      </c>
      <c r="N427" s="26">
        <v>89700</v>
      </c>
      <c r="O427" s="26">
        <v>3800</v>
      </c>
      <c r="P427" s="26" t="s">
        <v>31</v>
      </c>
      <c r="Q427" s="26" t="s">
        <v>31</v>
      </c>
      <c r="R427" s="26" t="s">
        <v>31</v>
      </c>
      <c r="S427" s="26" t="s">
        <v>31</v>
      </c>
      <c r="T427" s="26">
        <v>19522</v>
      </c>
      <c r="U427" s="26">
        <v>0</v>
      </c>
      <c r="V427" s="26">
        <v>0</v>
      </c>
      <c r="W427" s="26">
        <v>20</v>
      </c>
      <c r="X427" s="26">
        <v>1</v>
      </c>
      <c r="Y427" s="26" t="s">
        <v>31</v>
      </c>
      <c r="Z427" s="26" t="s">
        <v>31</v>
      </c>
      <c r="AA427" s="26" t="s">
        <v>31</v>
      </c>
      <c r="AB427" s="26" t="s">
        <v>31</v>
      </c>
      <c r="AC427" s="26" t="s">
        <v>31</v>
      </c>
      <c r="AD427" s="26" t="s">
        <v>31</v>
      </c>
      <c r="AE427" s="26" t="s">
        <v>31</v>
      </c>
      <c r="AF427" s="26" t="s">
        <v>31</v>
      </c>
      <c r="AG427" s="26">
        <v>186</v>
      </c>
      <c r="AH427" s="26">
        <v>37</v>
      </c>
    </row>
    <row r="428" spans="1:34" x14ac:dyDescent="0.2">
      <c r="A428" s="10">
        <f t="shared" si="32"/>
        <v>2024</v>
      </c>
      <c r="B428" s="10">
        <f t="shared" si="33"/>
        <v>8</v>
      </c>
      <c r="D428" s="10" t="s">
        <v>159</v>
      </c>
      <c r="E428" s="25" t="d">
        <v>2024-08-01</v>
      </c>
      <c r="F428" s="26">
        <v>68713</v>
      </c>
      <c r="G428" s="26">
        <v>8652</v>
      </c>
      <c r="H428" s="26">
        <v>16781595</v>
      </c>
      <c r="I428" s="26">
        <v>3443767</v>
      </c>
      <c r="J428" s="26">
        <v>1101812</v>
      </c>
      <c r="K428" s="26">
        <v>-90351</v>
      </c>
      <c r="L428" s="26">
        <v>15000</v>
      </c>
      <c r="M428" s="26">
        <v>0</v>
      </c>
      <c r="N428" s="26">
        <v>89700</v>
      </c>
      <c r="O428" s="26">
        <v>0</v>
      </c>
      <c r="P428" s="26" t="s">
        <v>31</v>
      </c>
      <c r="Q428" s="26" t="s">
        <v>31</v>
      </c>
      <c r="R428" s="26" t="s">
        <v>31</v>
      </c>
      <c r="S428" s="26" t="s">
        <v>31</v>
      </c>
      <c r="T428" s="26">
        <v>19522</v>
      </c>
      <c r="U428" s="26">
        <v>0</v>
      </c>
      <c r="V428" s="26">
        <v>0</v>
      </c>
      <c r="W428" s="26">
        <v>20</v>
      </c>
      <c r="X428" s="26">
        <v>0</v>
      </c>
      <c r="Y428" s="26" t="s">
        <v>31</v>
      </c>
      <c r="Z428" s="26" t="s">
        <v>31</v>
      </c>
      <c r="AA428" s="26" t="s">
        <v>31</v>
      </c>
      <c r="AB428" s="26" t="s">
        <v>31</v>
      </c>
      <c r="AC428" s="26" t="s">
        <v>31</v>
      </c>
      <c r="AD428" s="26" t="s">
        <v>31</v>
      </c>
      <c r="AE428" s="26" t="s">
        <v>31</v>
      </c>
      <c r="AF428" s="26" t="s">
        <v>31</v>
      </c>
      <c r="AG428" s="26">
        <v>242</v>
      </c>
      <c r="AH428" s="26">
        <v>56</v>
      </c>
    </row>
    <row r="429" spans="1:34" x14ac:dyDescent="0.2">
      <c r="A429" s="10">
        <f t="shared" si="32"/>
        <v>2024</v>
      </c>
      <c r="B429" s="10">
        <f t="shared" si="33"/>
        <v>9</v>
      </c>
      <c r="D429" s="10" t="s">
        <v>159</v>
      </c>
      <c r="E429" s="25" t="d">
        <v>2024-09-01</v>
      </c>
      <c r="F429" s="26">
        <v>72701</v>
      </c>
      <c r="G429" s="26">
        <v>3988</v>
      </c>
      <c r="H429" s="26">
        <v>20094673</v>
      </c>
      <c r="I429" s="26">
        <v>3294444</v>
      </c>
      <c r="J429" s="26">
        <v>1130102</v>
      </c>
      <c r="K429" s="26">
        <v>28290</v>
      </c>
      <c r="L429" s="26">
        <v>15000</v>
      </c>
      <c r="M429" s="26">
        <v>0</v>
      </c>
      <c r="N429" s="26">
        <v>89700</v>
      </c>
      <c r="O429" s="26">
        <v>0</v>
      </c>
      <c r="P429" s="26" t="s">
        <v>31</v>
      </c>
      <c r="Q429" s="26" t="s">
        <v>31</v>
      </c>
      <c r="R429" s="26" t="s">
        <v>31</v>
      </c>
      <c r="S429" s="26" t="s">
        <v>31</v>
      </c>
      <c r="T429" s="26">
        <v>19522</v>
      </c>
      <c r="U429" s="26">
        <v>0</v>
      </c>
      <c r="V429" s="26">
        <v>0</v>
      </c>
      <c r="W429" s="26">
        <v>20</v>
      </c>
      <c r="X429" s="26">
        <v>0</v>
      </c>
      <c r="Y429" s="26" t="s">
        <v>31</v>
      </c>
      <c r="Z429" s="26" t="s">
        <v>31</v>
      </c>
      <c r="AA429" s="26" t="s">
        <v>31</v>
      </c>
      <c r="AB429" s="26" t="s">
        <v>31</v>
      </c>
      <c r="AC429" s="26" t="s">
        <v>31</v>
      </c>
      <c r="AD429" s="26" t="s">
        <v>31</v>
      </c>
      <c r="AE429" s="26" t="s">
        <v>31</v>
      </c>
      <c r="AF429" s="26" t="s">
        <v>31</v>
      </c>
      <c r="AG429" s="26">
        <v>289</v>
      </c>
      <c r="AH429" s="26">
        <v>47</v>
      </c>
    </row>
    <row r="430" spans="1:34" x14ac:dyDescent="0.2">
      <c r="A430" s="10">
        <f t="shared" si="32"/>
        <v>2024</v>
      </c>
      <c r="B430" s="10">
        <f t="shared" si="33"/>
        <v>10</v>
      </c>
      <c r="D430" s="10" t="s">
        <v>159</v>
      </c>
      <c r="E430" s="25" t="d">
        <v>2024-10-01</v>
      </c>
      <c r="F430" s="26">
        <v>79532</v>
      </c>
      <c r="G430" s="26">
        <v>6831</v>
      </c>
      <c r="H430" s="26">
        <v>23347543</v>
      </c>
      <c r="I430" s="26">
        <v>3247404</v>
      </c>
      <c r="J430" s="26">
        <v>1135602</v>
      </c>
      <c r="K430" s="26">
        <v>5500</v>
      </c>
      <c r="L430" s="26">
        <v>15000</v>
      </c>
      <c r="M430" s="26">
        <v>0</v>
      </c>
      <c r="N430" s="26">
        <v>89700</v>
      </c>
      <c r="O430" s="26">
        <v>0</v>
      </c>
      <c r="P430" s="26" t="s">
        <v>31</v>
      </c>
      <c r="Q430" s="26" t="s">
        <v>31</v>
      </c>
      <c r="R430" s="26" t="s">
        <v>31</v>
      </c>
      <c r="S430" s="26" t="s">
        <v>31</v>
      </c>
      <c r="T430" s="26">
        <v>19522</v>
      </c>
      <c r="U430" s="26">
        <v>0</v>
      </c>
      <c r="V430" s="26">
        <v>0</v>
      </c>
      <c r="W430" s="26">
        <v>20</v>
      </c>
      <c r="X430" s="26">
        <v>0</v>
      </c>
      <c r="Y430" s="26" t="s">
        <v>31</v>
      </c>
      <c r="Z430" s="26" t="s">
        <v>31</v>
      </c>
      <c r="AA430" s="26" t="s">
        <v>31</v>
      </c>
      <c r="AB430" s="26" t="s">
        <v>31</v>
      </c>
      <c r="AC430" s="26" t="s">
        <v>31</v>
      </c>
      <c r="AD430" s="26" t="s">
        <v>31</v>
      </c>
      <c r="AE430" s="26" t="s">
        <v>31</v>
      </c>
      <c r="AF430" s="26" t="s">
        <v>31</v>
      </c>
      <c r="AG430" s="26">
        <v>331</v>
      </c>
      <c r="AH430" s="26">
        <v>42</v>
      </c>
    </row>
    <row r="431" spans="1:34" x14ac:dyDescent="0.2">
      <c r="A431" s="10">
        <f t="shared" si="32"/>
        <v>2024</v>
      </c>
      <c r="B431" s="10">
        <f t="shared" si="33"/>
        <v>11</v>
      </c>
      <c r="D431" s="10" t="s">
        <v>159</v>
      </c>
      <c r="E431" s="25" t="d">
        <v>2024-11-01</v>
      </c>
      <c r="F431" s="26">
        <v>86674</v>
      </c>
      <c r="G431" s="26">
        <v>7142</v>
      </c>
      <c r="H431" s="26">
        <v>27086581</v>
      </c>
      <c r="I431" s="26">
        <v>3540960</v>
      </c>
      <c r="J431" s="26">
        <v>1310298</v>
      </c>
      <c r="K431" s="26">
        <v>174696</v>
      </c>
      <c r="L431" s="26">
        <v>15000</v>
      </c>
      <c r="M431" s="26">
        <v>0</v>
      </c>
      <c r="N431" s="26">
        <v>89700</v>
      </c>
      <c r="O431" s="26">
        <v>0</v>
      </c>
      <c r="P431" s="26" t="s">
        <v>31</v>
      </c>
      <c r="Q431" s="26" t="s">
        <v>31</v>
      </c>
      <c r="R431" s="26" t="s">
        <v>31</v>
      </c>
      <c r="S431" s="26" t="s">
        <v>31</v>
      </c>
      <c r="T431" s="26">
        <v>19522</v>
      </c>
      <c r="U431" s="26">
        <v>0</v>
      </c>
      <c r="V431" s="26">
        <v>0</v>
      </c>
      <c r="W431" s="26">
        <v>21</v>
      </c>
      <c r="X431" s="26">
        <v>1</v>
      </c>
      <c r="Y431" s="26" t="s">
        <v>31</v>
      </c>
      <c r="Z431" s="26" t="s">
        <v>31</v>
      </c>
      <c r="AA431" s="26" t="s">
        <v>31</v>
      </c>
      <c r="AB431" s="26" t="s">
        <v>31</v>
      </c>
      <c r="AC431" s="26" t="s">
        <v>31</v>
      </c>
      <c r="AD431" s="26" t="s">
        <v>31</v>
      </c>
      <c r="AE431" s="26" t="s">
        <v>31</v>
      </c>
      <c r="AF431" s="26" t="s">
        <v>31</v>
      </c>
      <c r="AG431" s="26">
        <v>375</v>
      </c>
      <c r="AH431" s="26">
        <v>44</v>
      </c>
    </row>
    <row r="432" spans="1:34" x14ac:dyDescent="0.2">
      <c r="A432" s="10">
        <f t="shared" si="32"/>
        <v>2024</v>
      </c>
      <c r="B432" s="10">
        <f t="shared" si="33"/>
        <v>12</v>
      </c>
      <c r="D432" s="10" t="s">
        <v>159</v>
      </c>
      <c r="E432" s="25" t="d">
        <v>2024-12-01</v>
      </c>
      <c r="F432" s="26">
        <v>94434</v>
      </c>
      <c r="G432" s="26">
        <v>7760</v>
      </c>
      <c r="H432" s="26">
        <v>30433784</v>
      </c>
      <c r="I432" s="26">
        <v>3339257</v>
      </c>
      <c r="J432" s="26">
        <v>1135535</v>
      </c>
      <c r="K432" s="26">
        <v>-174763</v>
      </c>
      <c r="L432" s="26">
        <v>15000</v>
      </c>
      <c r="M432" s="26">
        <v>0</v>
      </c>
      <c r="N432" s="26">
        <v>89700</v>
      </c>
      <c r="O432" s="26">
        <v>0</v>
      </c>
      <c r="P432" s="26" t="s">
        <v>31</v>
      </c>
      <c r="Q432" s="26" t="s">
        <v>31</v>
      </c>
      <c r="R432" s="26" t="s">
        <v>31</v>
      </c>
      <c r="S432" s="26" t="s">
        <v>31</v>
      </c>
      <c r="T432" s="26">
        <v>19522</v>
      </c>
      <c r="U432" s="26">
        <v>0</v>
      </c>
      <c r="V432" s="26">
        <v>0</v>
      </c>
      <c r="W432" s="26">
        <v>22</v>
      </c>
      <c r="X432" s="26">
        <v>1</v>
      </c>
      <c r="Y432" s="26" t="s">
        <v>31</v>
      </c>
      <c r="Z432" s="26" t="s">
        <v>31</v>
      </c>
      <c r="AA432" s="26" t="s">
        <v>31</v>
      </c>
      <c r="AB432" s="26" t="s">
        <v>31</v>
      </c>
      <c r="AC432" s="26" t="s">
        <v>31</v>
      </c>
      <c r="AD432" s="26" t="s">
        <v>31</v>
      </c>
      <c r="AE432" s="26" t="s">
        <v>31</v>
      </c>
      <c r="AF432" s="26" t="s">
        <v>31</v>
      </c>
      <c r="AG432" s="26">
        <v>413</v>
      </c>
      <c r="AH432" s="26">
        <v>38</v>
      </c>
    </row>
    <row r="433" spans="1:34" x14ac:dyDescent="0.2">
      <c r="A433" s="10">
        <f t="shared" si="32"/>
        <v>2025</v>
      </c>
      <c r="B433" s="10">
        <f t="shared" si="33"/>
        <v>1</v>
      </c>
      <c r="D433" s="10" t="s">
        <v>159</v>
      </c>
      <c r="E433" s="25" t="d">
        <v>2025-01-01</v>
      </c>
      <c r="F433" s="26">
        <v>104567</v>
      </c>
      <c r="G433" s="26">
        <v>10133</v>
      </c>
      <c r="H433" s="26">
        <v>34963300</v>
      </c>
      <c r="I433" s="26">
        <v>4395347</v>
      </c>
      <c r="J433" s="26">
        <v>1441888</v>
      </c>
      <c r="K433" s="26">
        <v>306353</v>
      </c>
      <c r="L433" s="26">
        <v>15000</v>
      </c>
      <c r="M433" s="26">
        <v>0</v>
      </c>
      <c r="N433" s="26">
        <v>89700</v>
      </c>
      <c r="O433" s="26">
        <v>0</v>
      </c>
      <c r="P433" s="26" t="s">
        <v>31</v>
      </c>
      <c r="Q433" s="26" t="s">
        <v>31</v>
      </c>
      <c r="R433" s="26" t="s">
        <v>31</v>
      </c>
      <c r="S433" s="26" t="s">
        <v>31</v>
      </c>
      <c r="T433" s="26">
        <v>19522</v>
      </c>
      <c r="U433" s="26">
        <v>0</v>
      </c>
      <c r="V433" s="26">
        <v>0</v>
      </c>
      <c r="W433" s="26">
        <v>22</v>
      </c>
      <c r="X433" s="26">
        <v>0</v>
      </c>
      <c r="Y433" s="26" t="s">
        <v>31</v>
      </c>
      <c r="Z433" s="26" t="s">
        <v>31</v>
      </c>
      <c r="AA433" s="26" t="s">
        <v>31</v>
      </c>
      <c r="AB433" s="26" t="s">
        <v>31</v>
      </c>
      <c r="AC433" s="26" t="s">
        <v>31</v>
      </c>
      <c r="AD433" s="26" t="s">
        <v>31</v>
      </c>
      <c r="AE433" s="26" t="s">
        <v>31</v>
      </c>
      <c r="AF433" s="26" t="s">
        <v>31</v>
      </c>
      <c r="AG433" s="26">
        <v>463</v>
      </c>
      <c r="AH433" s="26">
        <v>50</v>
      </c>
    </row>
    <row r="434" spans="1:34" x14ac:dyDescent="0.2">
      <c r="A434" s="10">
        <f t="shared" si="32"/>
        <v>2025</v>
      </c>
      <c r="B434" s="10">
        <f t="shared" si="33"/>
        <v>2</v>
      </c>
      <c r="D434" s="10" t="s">
        <v>159</v>
      </c>
      <c r="E434" s="25" t="d">
        <v>2025-02-01</v>
      </c>
      <c r="F434" s="26">
        <v>112087</v>
      </c>
      <c r="G434" s="26">
        <v>7520</v>
      </c>
      <c r="H434" s="26">
        <v>38382684</v>
      </c>
      <c r="I434" s="26">
        <v>3416772</v>
      </c>
      <c r="J434" s="26">
        <v>1043283</v>
      </c>
      <c r="K434" s="26">
        <v>-398605</v>
      </c>
      <c r="L434" s="26">
        <v>15000</v>
      </c>
      <c r="M434" s="26">
        <v>0</v>
      </c>
      <c r="N434" s="26">
        <v>89700</v>
      </c>
      <c r="O434" s="26">
        <v>0</v>
      </c>
      <c r="P434" s="26" t="s">
        <v>31</v>
      </c>
      <c r="Q434" s="26" t="s">
        <v>31</v>
      </c>
      <c r="R434" s="26" t="s">
        <v>31</v>
      </c>
      <c r="S434" s="26" t="s">
        <v>31</v>
      </c>
      <c r="T434" s="26">
        <v>19522</v>
      </c>
      <c r="U434" s="26">
        <v>0</v>
      </c>
      <c r="V434" s="26">
        <v>0</v>
      </c>
      <c r="W434" s="26">
        <v>22</v>
      </c>
      <c r="X434" s="26">
        <v>0</v>
      </c>
      <c r="Y434" s="26" t="s">
        <v>31</v>
      </c>
      <c r="Z434" s="26" t="s">
        <v>31</v>
      </c>
      <c r="AA434" s="26" t="s">
        <v>31</v>
      </c>
      <c r="AB434" s="26" t="s">
        <v>31</v>
      </c>
      <c r="AC434" s="26" t="s">
        <v>31</v>
      </c>
      <c r="AD434" s="26" t="s">
        <v>31</v>
      </c>
      <c r="AE434" s="26" t="s">
        <v>31</v>
      </c>
      <c r="AF434" s="26" t="s">
        <v>31</v>
      </c>
      <c r="AG434" s="26">
        <v>511</v>
      </c>
      <c r="AH434" s="26">
        <v>48</v>
      </c>
    </row>
    <row r="435" spans="1:34" x14ac:dyDescent="0.2">
      <c r="A435" s="10">
        <f t="shared" si="32"/>
        <v>2025</v>
      </c>
      <c r="B435" s="10">
        <f t="shared" si="33"/>
        <v>3</v>
      </c>
      <c r="D435" s="10" t="s">
        <v>159</v>
      </c>
      <c r="E435" s="25" t="d">
        <v>2025-03-01</v>
      </c>
      <c r="F435" s="26">
        <v>118346</v>
      </c>
      <c r="G435" s="26">
        <v>6259</v>
      </c>
      <c r="H435" s="26">
        <v>41584704</v>
      </c>
      <c r="I435" s="26">
        <v>3203451</v>
      </c>
      <c r="J435" s="26">
        <v>1070877</v>
      </c>
      <c r="K435" s="26">
        <v>27594</v>
      </c>
      <c r="L435" s="26">
        <v>15000</v>
      </c>
      <c r="M435" s="26">
        <v>0</v>
      </c>
      <c r="N435" s="26">
        <v>89700</v>
      </c>
      <c r="O435" s="26">
        <v>0</v>
      </c>
      <c r="P435" s="26" t="s">
        <v>31</v>
      </c>
      <c r="Q435" s="26" t="s">
        <v>31</v>
      </c>
      <c r="R435" s="26" t="s">
        <v>31</v>
      </c>
      <c r="S435" s="26" t="s">
        <v>31</v>
      </c>
      <c r="T435" s="26">
        <v>19522</v>
      </c>
      <c r="U435" s="26">
        <v>0</v>
      </c>
      <c r="V435" s="26">
        <v>0</v>
      </c>
      <c r="W435" s="26">
        <v>22</v>
      </c>
      <c r="X435" s="26">
        <v>0</v>
      </c>
      <c r="Y435" s="26" t="s">
        <v>31</v>
      </c>
      <c r="Z435" s="26" t="s">
        <v>31</v>
      </c>
      <c r="AA435" s="26" t="s">
        <v>31</v>
      </c>
      <c r="AB435" s="26" t="s">
        <v>31</v>
      </c>
      <c r="AC435" s="26" t="s">
        <v>31</v>
      </c>
      <c r="AD435" s="26" t="s">
        <v>31</v>
      </c>
      <c r="AE435" s="26" t="s">
        <v>31</v>
      </c>
      <c r="AF435" s="26" t="s">
        <v>31</v>
      </c>
      <c r="AG435" s="26">
        <v>542</v>
      </c>
      <c r="AH435" s="26">
        <v>31</v>
      </c>
    </row>
    <row r="436" spans="1:34" x14ac:dyDescent="0.2">
      <c r="A436" s="10">
        <f t="shared" si="32"/>
        <v>2025</v>
      </c>
      <c r="B436" s="10">
        <f t="shared" si="33"/>
        <v>4</v>
      </c>
      <c r="D436" s="10" t="s">
        <v>159</v>
      </c>
      <c r="E436" s="25" t="d">
        <v>2025-04-01</v>
      </c>
      <c r="F436" s="26">
        <v>124844</v>
      </c>
      <c r="G436" s="26">
        <v>6498</v>
      </c>
      <c r="H436" s="26">
        <v>45258554</v>
      </c>
      <c r="I436" s="26">
        <v>3673850</v>
      </c>
      <c r="J436" s="26">
        <v>1083299</v>
      </c>
      <c r="K436" s="26">
        <v>12422</v>
      </c>
      <c r="L436" s="26">
        <v>15000</v>
      </c>
      <c r="M436" s="26">
        <v>0</v>
      </c>
      <c r="N436" s="26">
        <v>89700</v>
      </c>
      <c r="O436" s="26">
        <v>0</v>
      </c>
      <c r="P436" s="26" t="s">
        <v>31</v>
      </c>
      <c r="Q436" s="26" t="s">
        <v>31</v>
      </c>
      <c r="R436" s="26" t="s">
        <v>31</v>
      </c>
      <c r="S436" s="26" t="s">
        <v>31</v>
      </c>
      <c r="T436" s="26">
        <v>19522</v>
      </c>
      <c r="U436" s="26">
        <v>0</v>
      </c>
      <c r="V436" s="26">
        <v>0</v>
      </c>
      <c r="W436" s="26">
        <v>24</v>
      </c>
      <c r="X436" s="26">
        <v>2</v>
      </c>
      <c r="Y436" s="26" t="s">
        <v>31</v>
      </c>
      <c r="Z436" s="26" t="s">
        <v>31</v>
      </c>
      <c r="AA436" s="26" t="s">
        <v>31</v>
      </c>
      <c r="AB436" s="26" t="s">
        <v>31</v>
      </c>
      <c r="AC436" s="26" t="s">
        <v>31</v>
      </c>
      <c r="AD436" s="26" t="s">
        <v>31</v>
      </c>
      <c r="AE436" s="26" t="s">
        <v>31</v>
      </c>
      <c r="AF436" s="26" t="s">
        <v>31</v>
      </c>
      <c r="AG436" s="26">
        <v>604</v>
      </c>
      <c r="AH436" s="26">
        <v>62</v>
      </c>
    </row>
    <row r="437" spans="1:34" x14ac:dyDescent="0.2">
      <c r="A437" s="10">
        <f t="shared" si="32"/>
        <v>2025</v>
      </c>
      <c r="B437" s="10">
        <f t="shared" si="33"/>
        <v>5</v>
      </c>
      <c r="D437" s="10" t="s">
        <v>159</v>
      </c>
      <c r="E437" s="25" t="d">
        <v>2025-05-01</v>
      </c>
      <c r="F437" s="26">
        <v>131839</v>
      </c>
      <c r="G437" s="26">
        <v>6995</v>
      </c>
      <c r="H437" s="26">
        <v>49957529</v>
      </c>
      <c r="I437" s="26">
        <v>4687387</v>
      </c>
      <c r="J437" s="26">
        <v>1322113</v>
      </c>
      <c r="K437" s="26">
        <v>238814</v>
      </c>
      <c r="L437" s="26">
        <v>15000</v>
      </c>
      <c r="M437" s="26">
        <v>0</v>
      </c>
      <c r="N437" s="26">
        <v>89700</v>
      </c>
      <c r="O437" s="26">
        <v>0</v>
      </c>
      <c r="P437" s="26" t="s">
        <v>31</v>
      </c>
      <c r="Q437" s="26" t="s">
        <v>31</v>
      </c>
      <c r="R437" s="26" t="s">
        <v>31</v>
      </c>
      <c r="S437" s="26" t="s">
        <v>31</v>
      </c>
      <c r="T437" s="26">
        <v>19522</v>
      </c>
      <c r="U437" s="26">
        <v>0</v>
      </c>
      <c r="V437" s="26">
        <v>0</v>
      </c>
      <c r="W437" s="26">
        <v>24</v>
      </c>
      <c r="X437" s="26">
        <v>0</v>
      </c>
      <c r="Y437" s="26" t="s">
        <v>31</v>
      </c>
      <c r="Z437" s="26" t="s">
        <v>31</v>
      </c>
      <c r="AA437" s="26" t="s">
        <v>31</v>
      </c>
      <c r="AB437" s="26" t="s">
        <v>31</v>
      </c>
      <c r="AC437" s="26" t="s">
        <v>31</v>
      </c>
      <c r="AD437" s="26" t="s">
        <v>31</v>
      </c>
      <c r="AE437" s="26" t="s">
        <v>31</v>
      </c>
      <c r="AF437" s="26" t="s">
        <v>31</v>
      </c>
      <c r="AG437" s="26">
        <v>647</v>
      </c>
      <c r="AH437" s="26">
        <v>43</v>
      </c>
    </row>
    <row r="438" spans="1:34" x14ac:dyDescent="0.2">
      <c r="A438" s="10">
        <f t="shared" si="32"/>
        <v>2025</v>
      </c>
      <c r="B438" s="10">
        <f t="shared" si="33"/>
        <v>6</v>
      </c>
      <c r="D438" s="10" t="s">
        <v>159</v>
      </c>
      <c r="E438" s="25" t="d">
        <v>2025-06-01</v>
      </c>
      <c r="F438" s="26">
        <v>141194</v>
      </c>
      <c r="G438" s="26">
        <v>9355</v>
      </c>
      <c r="H438" s="26">
        <v>56294539</v>
      </c>
      <c r="I438" s="26">
        <v>6337010</v>
      </c>
      <c r="J438" s="26">
        <v>1570535</v>
      </c>
      <c r="K438" s="26">
        <v>248422</v>
      </c>
      <c r="L438" s="26">
        <v>15000</v>
      </c>
      <c r="M438" s="26">
        <v>0</v>
      </c>
      <c r="N438" s="26">
        <v>89700</v>
      </c>
      <c r="O438" s="26">
        <v>0</v>
      </c>
      <c r="P438" s="26" t="s">
        <v>31</v>
      </c>
      <c r="Q438" s="26" t="s">
        <v>31</v>
      </c>
      <c r="R438" s="26" t="s">
        <v>31</v>
      </c>
      <c r="S438" s="26" t="s">
        <v>31</v>
      </c>
      <c r="T438" s="26">
        <v>19522</v>
      </c>
      <c r="U438" s="26">
        <v>0</v>
      </c>
      <c r="V438" s="26">
        <v>0</v>
      </c>
      <c r="W438" s="26">
        <v>38</v>
      </c>
      <c r="X438" s="26">
        <v>14</v>
      </c>
      <c r="Y438" s="26" t="s">
        <v>31</v>
      </c>
      <c r="Z438" s="26" t="s">
        <v>31</v>
      </c>
      <c r="AA438" s="26" t="s">
        <v>31</v>
      </c>
      <c r="AB438" s="26" t="s">
        <v>31</v>
      </c>
      <c r="AC438" s="26" t="s">
        <v>31</v>
      </c>
      <c r="AD438" s="26" t="s">
        <v>31</v>
      </c>
      <c r="AE438" s="26" t="s">
        <v>31</v>
      </c>
      <c r="AF438" s="26" t="s">
        <v>31</v>
      </c>
      <c r="AG438" s="26">
        <v>685</v>
      </c>
      <c r="AH438" s="26">
        <v>38</v>
      </c>
    </row>
    <row r="439" spans="1:34" x14ac:dyDescent="0.2">
      <c r="A439" s="10">
        <f t="shared" si="32"/>
        <v>2025</v>
      </c>
      <c r="B439" s="10">
        <f t="shared" si="33"/>
        <v>7</v>
      </c>
      <c r="D439" s="10" t="s">
        <v>159</v>
      </c>
      <c r="E439" s="25" t="d">
        <v>2025-07-01</v>
      </c>
      <c r="F439" s="26">
        <v>151166</v>
      </c>
      <c r="G439" s="26">
        <v>9972</v>
      </c>
      <c r="H439" s="26">
        <v>62639693</v>
      </c>
      <c r="I439" s="26">
        <v>6255080</v>
      </c>
      <c r="J439" s="26">
        <v>1720523</v>
      </c>
      <c r="K439" s="26">
        <v>149988</v>
      </c>
      <c r="L439" s="26">
        <v>15000</v>
      </c>
      <c r="M439" s="26">
        <v>0</v>
      </c>
      <c r="N439" s="26">
        <v>89700</v>
      </c>
      <c r="O439" s="26">
        <v>0</v>
      </c>
      <c r="P439" s="26" t="s">
        <v>31</v>
      </c>
      <c r="Q439" s="26" t="s">
        <v>31</v>
      </c>
      <c r="R439" s="26" t="s">
        <v>31</v>
      </c>
      <c r="S439" s="26" t="s">
        <v>31</v>
      </c>
      <c r="T439" s="26">
        <v>19522</v>
      </c>
      <c r="U439" s="26">
        <v>0</v>
      </c>
      <c r="V439" s="26">
        <v>0</v>
      </c>
      <c r="W439" s="26">
        <v>101</v>
      </c>
      <c r="X439" s="26">
        <v>63</v>
      </c>
      <c r="Y439" s="26" t="s">
        <v>31</v>
      </c>
      <c r="Z439" s="26" t="s">
        <v>31</v>
      </c>
      <c r="AA439" s="26" t="s">
        <v>31</v>
      </c>
      <c r="AB439" s="26" t="s">
        <v>31</v>
      </c>
      <c r="AC439" s="26" t="s">
        <v>31</v>
      </c>
      <c r="AD439" s="26" t="s">
        <v>31</v>
      </c>
      <c r="AE439" s="26" t="s">
        <v>31</v>
      </c>
      <c r="AF439" s="26" t="s">
        <v>31</v>
      </c>
      <c r="AG439" s="26">
        <v>750</v>
      </c>
      <c r="AH439" s="26">
        <v>65</v>
      </c>
    </row>
    <row r="440" spans="1:34" x14ac:dyDescent="0.2">
      <c r="A440" s="10">
        <f t="shared" si="32"/>
        <v>2025</v>
      </c>
      <c r="B440" s="10">
        <f t="shared" si="33"/>
        <v>8</v>
      </c>
      <c r="D440" s="10" t="s">
        <v>159</v>
      </c>
      <c r="E440" s="25" t="d">
        <v>2025-08-01</v>
      </c>
      <c r="F440" s="26">
        <v>161503</v>
      </c>
      <c r="G440" s="26">
        <v>10337</v>
      </c>
      <c r="H440" s="26">
        <v>68841574</v>
      </c>
      <c r="I440" s="26">
        <v>6188360</v>
      </c>
      <c r="J440" s="26">
        <v>1781980</v>
      </c>
      <c r="K440" s="26">
        <v>61457</v>
      </c>
      <c r="L440" s="26">
        <v>15000</v>
      </c>
      <c r="M440" s="26">
        <v>0</v>
      </c>
      <c r="N440" s="26">
        <v>89700</v>
      </c>
      <c r="O440" s="26">
        <v>0</v>
      </c>
      <c r="P440" s="26" t="s">
        <v>31</v>
      </c>
      <c r="Q440" s="26" t="s">
        <v>31</v>
      </c>
      <c r="R440" s="26" t="s">
        <v>31</v>
      </c>
      <c r="S440" s="26" t="s">
        <v>31</v>
      </c>
      <c r="T440" s="26">
        <v>19522</v>
      </c>
      <c r="U440" s="26">
        <v>0</v>
      </c>
      <c r="V440" s="26">
        <v>0</v>
      </c>
      <c r="W440" s="26">
        <v>175</v>
      </c>
      <c r="X440" s="26">
        <v>74</v>
      </c>
      <c r="Y440" s="26" t="s">
        <v>31</v>
      </c>
      <c r="Z440" s="26" t="s">
        <v>31</v>
      </c>
      <c r="AA440" s="26" t="s">
        <v>31</v>
      </c>
      <c r="AB440" s="26" t="s">
        <v>31</v>
      </c>
      <c r="AC440" s="26" t="s">
        <v>31</v>
      </c>
      <c r="AD440" s="26" t="s">
        <v>31</v>
      </c>
      <c r="AE440" s="26" t="s">
        <v>31</v>
      </c>
      <c r="AF440" s="26" t="s">
        <v>31</v>
      </c>
      <c r="AG440" s="26">
        <v>827</v>
      </c>
      <c r="AH440" s="26">
        <v>77</v>
      </c>
    </row>
    <row r="441" spans="1:34" x14ac:dyDescent="0.2">
      <c r="A441" s="10">
        <f t="shared" si="32"/>
        <v>2025</v>
      </c>
      <c r="B441" s="10">
        <f t="shared" si="33"/>
        <v>9</v>
      </c>
      <c r="D441" s="10" t="s">
        <v>159</v>
      </c>
      <c r="E441" s="25" t="d">
        <v>2025-09-01</v>
      </c>
      <c r="F441" s="26">
        <v>173935</v>
      </c>
      <c r="G441" s="26">
        <v>12432</v>
      </c>
      <c r="H441" s="26">
        <v>74620535</v>
      </c>
      <c r="I441" s="26">
        <v>5640533</v>
      </c>
      <c r="J441" s="26">
        <v>1659599</v>
      </c>
      <c r="K441" s="26">
        <v>-122381</v>
      </c>
      <c r="L441" s="26">
        <v>15000</v>
      </c>
      <c r="M441" s="26">
        <v>0</v>
      </c>
      <c r="N441" s="26">
        <v>89700</v>
      </c>
      <c r="O441" s="26">
        <v>0</v>
      </c>
      <c r="P441" s="26" t="s">
        <v>31</v>
      </c>
      <c r="Q441" s="26" t="s">
        <v>31</v>
      </c>
      <c r="R441" s="26" t="s">
        <v>31</v>
      </c>
      <c r="S441" s="26" t="s">
        <v>31</v>
      </c>
      <c r="T441" s="26">
        <v>19522</v>
      </c>
      <c r="U441" s="26">
        <v>0</v>
      </c>
      <c r="V441" s="26">
        <v>0</v>
      </c>
      <c r="W441" s="26">
        <v>235</v>
      </c>
      <c r="X441" s="26">
        <v>60</v>
      </c>
      <c r="Y441" s="26" t="s">
        <v>31</v>
      </c>
      <c r="Z441" s="26" t="s">
        <v>31</v>
      </c>
      <c r="AA441" s="26" t="s">
        <v>31</v>
      </c>
      <c r="AB441" s="26" t="s">
        <v>31</v>
      </c>
      <c r="AC441" s="26" t="s">
        <v>31</v>
      </c>
      <c r="AD441" s="26" t="s">
        <v>31</v>
      </c>
      <c r="AE441" s="26" t="s">
        <v>31</v>
      </c>
      <c r="AF441" s="26" t="s">
        <v>31</v>
      </c>
      <c r="AG441" s="26">
        <v>931</v>
      </c>
      <c r="AH441" s="26">
        <v>104</v>
      </c>
    </row>
    <row r="442" spans="1:34" x14ac:dyDescent="0.2">
      <c r="A442" s="10">
        <f t="shared" si="32"/>
        <v>2025</v>
      </c>
      <c r="B442" s="10">
        <f t="shared" si="33"/>
        <v>10</v>
      </c>
      <c r="D442" s="10" t="s">
        <v>159</v>
      </c>
      <c r="E442" s="25" t="d">
        <v>2025-10-01</v>
      </c>
      <c r="F442" s="26">
        <v>184720</v>
      </c>
      <c r="G442" s="26">
        <v>10785</v>
      </c>
      <c r="H442" s="26">
        <v>80299226</v>
      </c>
      <c r="I442" s="26">
        <v>5458349</v>
      </c>
      <c r="J442" s="26">
        <v>1614525</v>
      </c>
      <c r="K442" s="26">
        <v>-45074</v>
      </c>
      <c r="L442" s="26">
        <v>15000</v>
      </c>
      <c r="M442" s="26">
        <v>0</v>
      </c>
      <c r="N442" s="26">
        <v>89700</v>
      </c>
      <c r="O442" s="26">
        <v>0</v>
      </c>
      <c r="P442" s="26" t="s">
        <v>31</v>
      </c>
      <c r="Q442" s="26" t="s">
        <v>31</v>
      </c>
      <c r="R442" s="26" t="s">
        <v>31</v>
      </c>
      <c r="S442" s="26" t="s">
        <v>31</v>
      </c>
      <c r="T442" s="26">
        <v>19522</v>
      </c>
      <c r="U442" s="26">
        <v>0</v>
      </c>
      <c r="V442" s="26">
        <v>0</v>
      </c>
      <c r="W442" s="26">
        <v>309</v>
      </c>
      <c r="X442" s="26">
        <v>74</v>
      </c>
      <c r="Y442" s="26" t="s">
        <v>31</v>
      </c>
      <c r="Z442" s="26" t="s">
        <v>31</v>
      </c>
      <c r="AA442" s="26" t="s">
        <v>31</v>
      </c>
      <c r="AB442" s="26" t="s">
        <v>31</v>
      </c>
      <c r="AC442" s="26" t="s">
        <v>31</v>
      </c>
      <c r="AD442" s="26" t="s">
        <v>31</v>
      </c>
      <c r="AE442" s="26" t="s">
        <v>31</v>
      </c>
      <c r="AF442" s="26" t="s">
        <v>31</v>
      </c>
      <c r="AG442" s="26">
        <v>1000</v>
      </c>
      <c r="AH442" s="26">
        <v>69</v>
      </c>
    </row>
    <row r="443" spans="1:34" x14ac:dyDescent="0.2">
      <c r="A443" s="10">
        <f t="shared" si="32"/>
        <v>2025</v>
      </c>
      <c r="B443" s="10">
        <f t="shared" si="33"/>
        <v>11</v>
      </c>
      <c r="D443" s="10" t="s">
        <v>159</v>
      </c>
      <c r="E443" s="25" t="d">
        <v>2025-11-01</v>
      </c>
      <c r="F443" s="26">
        <v>196534</v>
      </c>
      <c r="G443" s="26">
        <v>11814</v>
      </c>
      <c r="H443" s="26">
        <v>86869465</v>
      </c>
      <c r="I443" s="26">
        <v>6407413</v>
      </c>
      <c r="J443" s="26">
        <v>1726940</v>
      </c>
      <c r="K443" s="26">
        <v>112415</v>
      </c>
      <c r="L443" s="26">
        <v>15000</v>
      </c>
      <c r="M443" s="26">
        <v>0</v>
      </c>
      <c r="N443" s="26">
        <v>89700</v>
      </c>
      <c r="O443" s="26">
        <v>0</v>
      </c>
      <c r="P443" s="26" t="s">
        <v>31</v>
      </c>
      <c r="Q443" s="26" t="s">
        <v>31</v>
      </c>
      <c r="R443" s="26" t="s">
        <v>31</v>
      </c>
      <c r="S443" s="26" t="s">
        <v>31</v>
      </c>
      <c r="T443" s="26">
        <v>19522</v>
      </c>
      <c r="U443" s="26">
        <v>0</v>
      </c>
      <c r="V443" s="26">
        <v>0</v>
      </c>
      <c r="W443" s="26">
        <v>388</v>
      </c>
      <c r="X443" s="26">
        <v>83</v>
      </c>
      <c r="Y443" s="26" t="s">
        <v>31</v>
      </c>
      <c r="Z443" s="26" t="s">
        <v>31</v>
      </c>
      <c r="AA443" s="26" t="s">
        <v>31</v>
      </c>
      <c r="AB443" s="26" t="s">
        <v>31</v>
      </c>
      <c r="AC443" s="26" t="s">
        <v>31</v>
      </c>
      <c r="AD443" s="26" t="s">
        <v>31</v>
      </c>
      <c r="AE443" s="26" t="s">
        <v>31</v>
      </c>
      <c r="AF443" s="26" t="s">
        <v>31</v>
      </c>
      <c r="AG443" s="26">
        <v>1080</v>
      </c>
      <c r="AH443" s="26">
        <v>80</v>
      </c>
    </row>
    <row r="444" spans="1:34" x14ac:dyDescent="0.2">
      <c r="A444" s="10">
        <f t="shared" si="32"/>
        <v>2025</v>
      </c>
      <c r="B444" s="10">
        <f t="shared" si="33"/>
        <v>12</v>
      </c>
      <c r="D444" s="10" t="s">
        <v>159</v>
      </c>
      <c r="E444" s="25" t="d">
        <v>2025-12-01</v>
      </c>
      <c r="F444" s="26">
        <v>206405</v>
      </c>
      <c r="G444" s="26">
        <v>9871</v>
      </c>
      <c r="H444" s="26">
        <v>92000759</v>
      </c>
      <c r="I444" s="26">
        <v>5127563</v>
      </c>
      <c r="J444" s="26">
        <v>1531997</v>
      </c>
      <c r="K444" s="26">
        <v>-194943</v>
      </c>
      <c r="L444" s="26">
        <v>15000</v>
      </c>
      <c r="M444" s="26">
        <v>0</v>
      </c>
      <c r="N444" s="26">
        <v>89700</v>
      </c>
      <c r="O444" s="26">
        <v>0</v>
      </c>
      <c r="P444" s="26" t="s">
        <v>31</v>
      </c>
      <c r="Q444" s="26" t="s">
        <v>31</v>
      </c>
      <c r="R444" s="26" t="s">
        <v>31</v>
      </c>
      <c r="S444" s="26" t="s">
        <v>31</v>
      </c>
      <c r="T444" s="26">
        <v>19522</v>
      </c>
      <c r="U444" s="26">
        <v>0</v>
      </c>
      <c r="V444" s="26">
        <v>0</v>
      </c>
      <c r="W444" s="26">
        <v>430</v>
      </c>
      <c r="X444" s="26">
        <v>42</v>
      </c>
      <c r="Y444" s="26" t="s">
        <v>31</v>
      </c>
      <c r="Z444" s="26" t="s">
        <v>31</v>
      </c>
      <c r="AA444" s="26" t="s">
        <v>31</v>
      </c>
      <c r="AB444" s="26" t="s">
        <v>31</v>
      </c>
      <c r="AC444" s="26" t="s">
        <v>31</v>
      </c>
      <c r="AD444" s="26" t="s">
        <v>31</v>
      </c>
      <c r="AE444" s="26" t="s">
        <v>31</v>
      </c>
      <c r="AF444" s="26" t="s">
        <v>31</v>
      </c>
      <c r="AG444" s="26">
        <v>1125</v>
      </c>
      <c r="AH444" s="26">
        <v>45</v>
      </c>
    </row>
    <row r="445" spans="1:34" x14ac:dyDescent="0.2">
      <c r="A445" s="10">
        <f t="shared" si="32"/>
        <v>2026</v>
      </c>
      <c r="B445" s="10">
        <f t="shared" si="33"/>
        <v>1</v>
      </c>
      <c r="D445" s="10" t="s">
        <v>159</v>
      </c>
      <c r="E445" s="25" t="d">
        <v>2026-01-01</v>
      </c>
      <c r="F445" s="26">
        <v>218843</v>
      </c>
      <c r="G445" s="26">
        <v>12438</v>
      </c>
      <c r="H445" s="26">
        <v>97691593</v>
      </c>
      <c r="I445" s="26">
        <v>5690834</v>
      </c>
      <c r="J445" s="26">
        <v>1836381</v>
      </c>
      <c r="K445" s="26">
        <v>304384</v>
      </c>
      <c r="L445" s="26">
        <v>15000</v>
      </c>
      <c r="M445" s="26">
        <v>0</v>
      </c>
      <c r="N445" s="26">
        <v>89700</v>
      </c>
      <c r="O445" s="26">
        <v>0</v>
      </c>
      <c r="P445" s="26" t="s">
        <v>31</v>
      </c>
      <c r="Q445" s="26" t="s">
        <v>31</v>
      </c>
      <c r="R445" s="26" t="s">
        <v>31</v>
      </c>
      <c r="S445" s="26" t="s">
        <v>31</v>
      </c>
      <c r="T445" s="26">
        <v>19522</v>
      </c>
      <c r="U445" s="26">
        <v>0</v>
      </c>
      <c r="V445" s="26">
        <v>0</v>
      </c>
      <c r="W445" s="26">
        <v>484</v>
      </c>
      <c r="X445" s="26">
        <v>54</v>
      </c>
      <c r="Y445" s="26" t="s">
        <v>31</v>
      </c>
      <c r="Z445" s="26" t="s">
        <v>31</v>
      </c>
      <c r="AA445" s="26" t="s">
        <v>31</v>
      </c>
      <c r="AB445" s="26" t="s">
        <v>31</v>
      </c>
      <c r="AC445" s="26" t="s">
        <v>31</v>
      </c>
      <c r="AD445" s="26" t="s">
        <v>31</v>
      </c>
      <c r="AE445" s="26" t="s">
        <v>31</v>
      </c>
      <c r="AF445" s="26" t="s">
        <v>31</v>
      </c>
      <c r="AG445" s="26">
        <v>1204</v>
      </c>
      <c r="AH445" s="26">
        <v>79</v>
      </c>
    </row>
    <row r="446" spans="1:34" x14ac:dyDescent="0.2">
      <c r="A446" s="10">
        <f t="shared" si="32"/>
        <v>2026</v>
      </c>
      <c r="B446" s="10">
        <f t="shared" si="33"/>
        <v>2</v>
      </c>
      <c r="D446" s="10" t="s">
        <v>159</v>
      </c>
      <c r="E446" s="25" t="d">
        <v>2026-02-01</v>
      </c>
      <c r="F446" s="26">
        <v>224951</v>
      </c>
      <c r="G446" s="26">
        <v>6108</v>
      </c>
      <c r="H446" s="26">
        <v>102212601</v>
      </c>
      <c r="I446" s="26">
        <v>4512229</v>
      </c>
      <c r="J446" s="26">
        <v>1453762</v>
      </c>
      <c r="K446" s="26">
        <v>-382619</v>
      </c>
      <c r="L446" s="26">
        <v>15000</v>
      </c>
      <c r="M446" s="26">
        <v>0</v>
      </c>
      <c r="N446" s="26">
        <v>89700</v>
      </c>
      <c r="O446" s="26">
        <v>0</v>
      </c>
      <c r="P446" s="26" t="s">
        <v>31</v>
      </c>
      <c r="Q446" s="26" t="s">
        <v>31</v>
      </c>
      <c r="R446" s="26" t="s">
        <v>31</v>
      </c>
      <c r="S446" s="26" t="s">
        <v>31</v>
      </c>
      <c r="T446" s="26">
        <v>19522</v>
      </c>
      <c r="U446" s="26">
        <v>0</v>
      </c>
      <c r="V446" s="26">
        <v>0</v>
      </c>
      <c r="W446" s="26">
        <v>502</v>
      </c>
      <c r="X446" s="26">
        <v>18</v>
      </c>
      <c r="Y446" s="26" t="s">
        <v>31</v>
      </c>
      <c r="Z446" s="26" t="s">
        <v>31</v>
      </c>
      <c r="AA446" s="26" t="s">
        <v>31</v>
      </c>
      <c r="AB446" s="26" t="s">
        <v>31</v>
      </c>
      <c r="AC446" s="26" t="s">
        <v>31</v>
      </c>
      <c r="AD446" s="26" t="s">
        <v>31</v>
      </c>
      <c r="AE446" s="26" t="s">
        <v>31</v>
      </c>
      <c r="AF446" s="26" t="s">
        <v>31</v>
      </c>
      <c r="AG446" s="26">
        <v>1244</v>
      </c>
      <c r="AH446" s="26">
        <v>40</v>
      </c>
    </row>
    <row r="447" spans="1:34" x14ac:dyDescent="0.2">
      <c r="A447" s="10">
        <f t="shared" si="32"/>
        <v>2026</v>
      </c>
      <c r="B447" s="10">
        <f t="shared" si="33"/>
        <v>3</v>
      </c>
      <c r="D447" s="10" t="s">
        <v>159</v>
      </c>
      <c r="E447" s="25" t="d">
        <v>2026-03-01</v>
      </c>
      <c r="F447" s="26">
        <v>231868</v>
      </c>
      <c r="G447" s="26">
        <v>6917</v>
      </c>
      <c r="H447" s="26">
        <v>107307261</v>
      </c>
      <c r="I447" s="26">
        <v>5051478</v>
      </c>
      <c r="J447" s="26">
        <v>1765685</v>
      </c>
      <c r="K447" s="26">
        <v>311923</v>
      </c>
      <c r="L447" s="26">
        <v>15000</v>
      </c>
      <c r="M447" s="26">
        <v>0</v>
      </c>
      <c r="N447" s="26">
        <v>89700</v>
      </c>
      <c r="O447" s="26">
        <v>0</v>
      </c>
      <c r="P447" s="26" t="s">
        <v>31</v>
      </c>
      <c r="Q447" s="26" t="s">
        <v>31</v>
      </c>
      <c r="R447" s="26" t="s">
        <v>31</v>
      </c>
      <c r="S447" s="26" t="s">
        <v>31</v>
      </c>
      <c r="T447" s="26">
        <v>19522</v>
      </c>
      <c r="U447" s="26">
        <v>0</v>
      </c>
      <c r="V447" s="26">
        <v>0</v>
      </c>
      <c r="W447" s="26">
        <v>540</v>
      </c>
      <c r="X447" s="26">
        <v>38</v>
      </c>
      <c r="Y447" s="26" t="s">
        <v>31</v>
      </c>
      <c r="Z447" s="26" t="s">
        <v>31</v>
      </c>
      <c r="AA447" s="26" t="s">
        <v>31</v>
      </c>
      <c r="AB447" s="26" t="s">
        <v>31</v>
      </c>
      <c r="AC447" s="26" t="s">
        <v>31</v>
      </c>
      <c r="AD447" s="26" t="s">
        <v>31</v>
      </c>
      <c r="AE447" s="26" t="s">
        <v>31</v>
      </c>
      <c r="AF447" s="26" t="s">
        <v>31</v>
      </c>
      <c r="AG447" s="26">
        <v>1290</v>
      </c>
      <c r="AH447" s="26">
        <v>46</v>
      </c>
    </row>
    <row r="448" spans="1:34" x14ac:dyDescent="0.2">
      <c r="A448" s="10">
        <f t="shared" si="32"/>
        <v>2026</v>
      </c>
      <c r="B448" s="10">
        <f t="shared" si="33"/>
        <v>4</v>
      </c>
      <c r="D448" s="10" t="s">
        <v>159</v>
      </c>
      <c r="E448" s="25" t="d">
        <v>2026-04-01</v>
      </c>
      <c r="F448" s="26">
        <v>238576</v>
      </c>
      <c r="G448" s="26">
        <v>6708</v>
      </c>
      <c r="H448" s="26">
        <v>112363281</v>
      </c>
      <c r="I448" s="26">
        <v>5075376</v>
      </c>
      <c r="J448" s="26">
        <v>1692872</v>
      </c>
      <c r="K448" s="26">
        <v>-72813</v>
      </c>
      <c r="L448" s="26">
        <v>16</v>
      </c>
      <c r="M448" s="26">
        <v>2</v>
      </c>
      <c r="N448" s="26">
        <v>89700</v>
      </c>
      <c r="O448" s="26">
        <v>0</v>
      </c>
      <c r="P448" s="26" t="s">
        <v>31</v>
      </c>
      <c r="Q448" s="26" t="s">
        <v>31</v>
      </c>
      <c r="R448" s="26" t="s">
        <v>31</v>
      </c>
      <c r="S448" s="26" t="s">
        <v>31</v>
      </c>
      <c r="T448" s="26">
        <v>19522</v>
      </c>
      <c r="U448" s="26">
        <v>0</v>
      </c>
      <c r="V448" s="26">
        <v>0</v>
      </c>
      <c r="W448" s="26">
        <v>564</v>
      </c>
      <c r="X448" s="26">
        <v>24</v>
      </c>
      <c r="Y448" s="26">
        <v>4187120</v>
      </c>
      <c r="Z448" s="26">
        <v>33890</v>
      </c>
      <c r="AA448" s="26" t="s">
        <v>31</v>
      </c>
      <c r="AB448" s="26" t="s">
        <v>31</v>
      </c>
      <c r="AC448" s="26" t="s">
        <v>31</v>
      </c>
      <c r="AD448" s="26" t="s">
        <v>31</v>
      </c>
      <c r="AE448" s="26" t="s">
        <v>31</v>
      </c>
      <c r="AF448" s="26" t="s">
        <v>31</v>
      </c>
      <c r="AG448" s="26">
        <v>1367</v>
      </c>
      <c r="AH448" s="26">
        <v>77</v>
      </c>
    </row>
    <row r="449" spans="1:34" x14ac:dyDescent="0.2">
      <c r="A449" s="10">
        <f t="shared" si="32"/>
        <v>2026</v>
      </c>
      <c r="B449" s="10">
        <f t="shared" si="33"/>
        <v>5</v>
      </c>
      <c r="D449" s="10" t="s">
        <v>159</v>
      </c>
      <c r="E449" s="25" t="d">
        <v>2026-05-01</v>
      </c>
      <c r="F449" s="26">
        <v>245041</v>
      </c>
      <c r="G449" s="26">
        <v>6465</v>
      </c>
      <c r="H449" s="26">
        <v>116981530</v>
      </c>
      <c r="I449" s="26">
        <v>4618249</v>
      </c>
      <c r="J449" s="26">
        <v>1621631</v>
      </c>
      <c r="K449" s="26">
        <v>-71241</v>
      </c>
      <c r="L449" s="26">
        <v>19</v>
      </c>
      <c r="M449" s="26">
        <v>3</v>
      </c>
      <c r="N449" s="26">
        <v>5</v>
      </c>
      <c r="O449" s="26">
        <v>-89695</v>
      </c>
      <c r="P449" s="26" t="s">
        <v>31</v>
      </c>
      <c r="Q449" s="26" t="s">
        <v>31</v>
      </c>
      <c r="R449" s="26" t="s">
        <v>31</v>
      </c>
      <c r="S449" s="26" t="s">
        <v>31</v>
      </c>
      <c r="T449" s="26">
        <v>19522</v>
      </c>
      <c r="U449" s="26">
        <v>0</v>
      </c>
      <c r="V449" s="26">
        <v>0</v>
      </c>
      <c r="W449" s="26">
        <v>577</v>
      </c>
      <c r="X449" s="26">
        <v>13</v>
      </c>
      <c r="Y449" s="26">
        <v>4189735</v>
      </c>
      <c r="Z449" s="26">
        <v>2615</v>
      </c>
      <c r="AA449" s="26" t="s">
        <v>31</v>
      </c>
      <c r="AB449" s="26" t="s">
        <v>31</v>
      </c>
      <c r="AC449" s="26" t="s">
        <v>31</v>
      </c>
      <c r="AD449" s="26" t="s">
        <v>31</v>
      </c>
      <c r="AE449" s="26" t="s">
        <v>31</v>
      </c>
      <c r="AF449" s="26" t="s">
        <v>31</v>
      </c>
      <c r="AG449" s="26">
        <v>1431</v>
      </c>
      <c r="AH449" s="26">
        <v>64</v>
      </c>
    </row>
    <row r="450" spans="1:34" x14ac:dyDescent="0.2">
      <c r="A450" s="10">
        <f t="shared" si="32"/>
        <v>2026</v>
      </c>
      <c r="B450" s="10">
        <f t="shared" si="33"/>
        <v>6</v>
      </c>
      <c r="D450" s="10" t="s">
        <v>159</v>
      </c>
      <c r="E450" s="25" t="d">
        <v>2026-06-01</v>
      </c>
      <c r="F450" s="26">
        <v>251255</v>
      </c>
      <c r="G450" s="26">
        <v>6214</v>
      </c>
      <c r="H450" s="26">
        <v>122100279</v>
      </c>
      <c r="I450" s="26">
        <v>4710737</v>
      </c>
      <c r="J450" s="26">
        <v>1588643</v>
      </c>
      <c r="K450" s="26">
        <v>-32988</v>
      </c>
      <c r="L450" s="26">
        <v>22</v>
      </c>
      <c r="M450" s="26">
        <v>3</v>
      </c>
      <c r="N450" s="26">
        <v>7</v>
      </c>
      <c r="O450" s="26">
        <v>2</v>
      </c>
      <c r="P450" s="26" t="s">
        <v>31</v>
      </c>
      <c r="Q450" s="26" t="s">
        <v>31</v>
      </c>
      <c r="R450" s="26" t="s">
        <v>31</v>
      </c>
      <c r="S450" s="26" t="s">
        <v>31</v>
      </c>
      <c r="T450" s="26">
        <v>19522</v>
      </c>
      <c r="U450" s="26">
        <v>0</v>
      </c>
      <c r="V450" s="26">
        <v>0</v>
      </c>
      <c r="W450" s="26">
        <v>828</v>
      </c>
      <c r="X450" s="26">
        <v>251</v>
      </c>
      <c r="Y450" s="26">
        <v>4331138</v>
      </c>
      <c r="Z450" s="26">
        <v>141403</v>
      </c>
      <c r="AA450" s="26" t="s">
        <v>31</v>
      </c>
      <c r="AB450" s="26" t="s">
        <v>31</v>
      </c>
      <c r="AC450" s="26" t="s">
        <v>31</v>
      </c>
      <c r="AD450" s="26" t="s">
        <v>31</v>
      </c>
      <c r="AE450" s="26" t="s">
        <v>31</v>
      </c>
      <c r="AF450" s="26" t="s">
        <v>31</v>
      </c>
      <c r="AG450" s="26">
        <v>1489</v>
      </c>
      <c r="AH450" s="26">
        <v>58</v>
      </c>
    </row>
    <row r="451" spans="1:34" x14ac:dyDescent="0.2">
      <c r="A451" s="10">
        <f t="shared" si="32"/>
        <v>2026</v>
      </c>
      <c r="B451" s="10">
        <f t="shared" si="33"/>
        <v>7</v>
      </c>
      <c r="D451" s="10" t="s">
        <v>159</v>
      </c>
      <c r="E451" s="25" t="d">
        <v>2026-07-01</v>
      </c>
      <c r="F451" s="26">
        <v>257555</v>
      </c>
      <c r="G451" s="26">
        <v>6300</v>
      </c>
      <c r="H451" s="26">
        <v>127213464</v>
      </c>
      <c r="I451" s="26">
        <v>5113185</v>
      </c>
      <c r="J451" s="26">
        <v>1602704</v>
      </c>
      <c r="K451" s="26">
        <v>14061</v>
      </c>
      <c r="L451" s="26">
        <v>31</v>
      </c>
      <c r="M451" s="26">
        <v>9</v>
      </c>
      <c r="N451" s="26">
        <v>7</v>
      </c>
      <c r="O451" s="26">
        <v>0</v>
      </c>
      <c r="P451" s="26" t="s">
        <v>31</v>
      </c>
      <c r="Q451" s="26" t="s">
        <v>31</v>
      </c>
      <c r="R451" s="26" t="s">
        <v>31</v>
      </c>
      <c r="S451" s="26" t="s">
        <v>31</v>
      </c>
      <c r="T451" s="26">
        <v>19522</v>
      </c>
      <c r="U451" s="26">
        <v>0</v>
      </c>
      <c r="V451" s="26">
        <v>0</v>
      </c>
      <c r="W451" s="26">
        <v>1110</v>
      </c>
      <c r="X451" s="26">
        <v>282</v>
      </c>
      <c r="Y451" s="26">
        <v>4418574</v>
      </c>
      <c r="Z451" s="26">
        <v>87436</v>
      </c>
      <c r="AA451" s="26" t="s">
        <v>31</v>
      </c>
      <c r="AB451" s="26" t="s">
        <v>31</v>
      </c>
      <c r="AC451" s="26" t="s">
        <v>31</v>
      </c>
      <c r="AD451" s="26" t="s">
        <v>31</v>
      </c>
      <c r="AE451" s="26" t="s">
        <v>31</v>
      </c>
      <c r="AF451" s="26" t="s">
        <v>31</v>
      </c>
      <c r="AG451" s="26">
        <v>1544</v>
      </c>
      <c r="AH451" s="26">
        <v>55</v>
      </c>
    </row>
    <row r="452" spans="1:34" x14ac:dyDescent="0.2">
      <c r="A452" s="10">
        <f t="shared" ref="A452:A476" si="34">YEAR(E452)</f>
        <v>2024</v>
      </c>
      <c r="B452" s="10">
        <f t="shared" ref="B452:B476" si="35">MONTH(E452)</f>
        <v>7</v>
      </c>
      <c r="D452" s="10" t="s">
        <v>134</v>
      </c>
      <c r="E452" s="25" t="d">
        <v>2024-07-01</v>
      </c>
      <c r="F452" s="26">
        <v>1247</v>
      </c>
      <c r="G452" s="26">
        <v>209</v>
      </c>
      <c r="H452" s="26">
        <v>1243608</v>
      </c>
      <c r="I452" s="26">
        <v>124246</v>
      </c>
      <c r="J452" s="26">
        <v>4603</v>
      </c>
      <c r="K452" s="26">
        <v>983</v>
      </c>
      <c r="L452" s="26">
        <v>8440</v>
      </c>
      <c r="M452" s="26">
        <v>140</v>
      </c>
      <c r="N452" s="26">
        <v>50400</v>
      </c>
      <c r="O452" s="26">
        <v>1900</v>
      </c>
      <c r="P452" s="26">
        <v>423</v>
      </c>
      <c r="Q452" s="26">
        <v>31</v>
      </c>
      <c r="R452" s="26">
        <v>40993</v>
      </c>
      <c r="S452" s="26">
        <v>914</v>
      </c>
      <c r="T452" s="26">
        <v>3275</v>
      </c>
      <c r="U452" s="26">
        <v>612</v>
      </c>
      <c r="V452" s="26">
        <v>154</v>
      </c>
      <c r="W452" s="26">
        <v>20</v>
      </c>
      <c r="X452" s="26">
        <v>10</v>
      </c>
      <c r="Y452" s="26" t="s">
        <v>31</v>
      </c>
      <c r="Z452" s="26" t="s">
        <v>31</v>
      </c>
      <c r="AA452" s="26">
        <v>1152</v>
      </c>
      <c r="AB452" s="26">
        <v>35</v>
      </c>
      <c r="AC452" s="26" t="s">
        <v>31</v>
      </c>
      <c r="AD452" s="26" t="s">
        <v>31</v>
      </c>
      <c r="AE452" s="26" t="s">
        <v>31</v>
      </c>
      <c r="AF452" s="26" t="s">
        <v>31</v>
      </c>
      <c r="AG452" s="26">
        <v>2</v>
      </c>
      <c r="AH452" s="26">
        <v>0</v>
      </c>
    </row>
    <row r="453" spans="1:34" x14ac:dyDescent="0.2">
      <c r="A453" s="10">
        <f t="shared" si="34"/>
        <v>2024</v>
      </c>
      <c r="B453" s="10">
        <f t="shared" si="35"/>
        <v>8</v>
      </c>
      <c r="D453" s="10" t="s">
        <v>134</v>
      </c>
      <c r="E453" s="25" t="d">
        <v>2024-08-01</v>
      </c>
      <c r="F453" s="26">
        <v>1603</v>
      </c>
      <c r="G453" s="26">
        <v>356</v>
      </c>
      <c r="H453" s="26">
        <v>1477582</v>
      </c>
      <c r="I453" s="26">
        <v>197646</v>
      </c>
      <c r="J453" s="26">
        <v>47255</v>
      </c>
      <c r="K453" s="26">
        <v>42652</v>
      </c>
      <c r="L453" s="26">
        <v>8570</v>
      </c>
      <c r="M453" s="26">
        <v>130</v>
      </c>
      <c r="N453" s="26">
        <v>51300</v>
      </c>
      <c r="O453" s="26">
        <v>900</v>
      </c>
      <c r="P453" s="26">
        <v>432</v>
      </c>
      <c r="Q453" s="26">
        <v>9</v>
      </c>
      <c r="R453" s="26">
        <v>41721</v>
      </c>
      <c r="S453" s="26">
        <v>728</v>
      </c>
      <c r="T453" s="26">
        <v>3693</v>
      </c>
      <c r="U453" s="26">
        <v>418</v>
      </c>
      <c r="V453" s="26">
        <v>0</v>
      </c>
      <c r="W453" s="26">
        <v>31</v>
      </c>
      <c r="X453" s="26">
        <v>11</v>
      </c>
      <c r="Y453" s="26" t="s">
        <v>31</v>
      </c>
      <c r="Z453" s="26" t="s">
        <v>31</v>
      </c>
      <c r="AA453" s="26">
        <v>1215</v>
      </c>
      <c r="AB453" s="26">
        <v>63</v>
      </c>
      <c r="AC453" s="26" t="s">
        <v>31</v>
      </c>
      <c r="AD453" s="26" t="s">
        <v>31</v>
      </c>
      <c r="AE453" s="26" t="s">
        <v>31</v>
      </c>
      <c r="AF453" s="26" t="s">
        <v>31</v>
      </c>
      <c r="AG453" s="26">
        <v>2</v>
      </c>
      <c r="AH453" s="26">
        <v>0</v>
      </c>
    </row>
    <row r="454" spans="1:34" x14ac:dyDescent="0.2">
      <c r="A454" s="10">
        <f t="shared" si="34"/>
        <v>2024</v>
      </c>
      <c r="B454" s="10">
        <f t="shared" si="35"/>
        <v>9</v>
      </c>
      <c r="D454" s="10" t="s">
        <v>134</v>
      </c>
      <c r="E454" s="25" t="d">
        <v>2024-09-01</v>
      </c>
      <c r="F454" s="26">
        <v>1816</v>
      </c>
      <c r="G454" s="26">
        <v>213</v>
      </c>
      <c r="H454" s="26">
        <v>1703057</v>
      </c>
      <c r="I454" s="26">
        <v>221577</v>
      </c>
      <c r="J454" s="26">
        <v>24382</v>
      </c>
      <c r="K454" s="26">
        <v>-22873</v>
      </c>
      <c r="L454" s="26">
        <v>8570</v>
      </c>
      <c r="M454" s="26">
        <v>0</v>
      </c>
      <c r="N454" s="26">
        <v>51300</v>
      </c>
      <c r="O454" s="26">
        <v>0</v>
      </c>
      <c r="P454" s="26">
        <v>435</v>
      </c>
      <c r="Q454" s="26">
        <v>3</v>
      </c>
      <c r="R454" s="26">
        <v>42370</v>
      </c>
      <c r="S454" s="26">
        <v>649</v>
      </c>
      <c r="T454" s="26">
        <v>3693</v>
      </c>
      <c r="U454" s="26">
        <v>0</v>
      </c>
      <c r="V454" s="26">
        <v>0</v>
      </c>
      <c r="W454" s="26">
        <v>41</v>
      </c>
      <c r="X454" s="26">
        <v>10</v>
      </c>
      <c r="Y454" s="26" t="s">
        <v>31</v>
      </c>
      <c r="Z454" s="26" t="s">
        <v>31</v>
      </c>
      <c r="AA454" s="26">
        <v>1259</v>
      </c>
      <c r="AB454" s="26">
        <v>44</v>
      </c>
      <c r="AC454" s="26" t="s">
        <v>31</v>
      </c>
      <c r="AD454" s="26" t="s">
        <v>31</v>
      </c>
      <c r="AE454" s="26" t="s">
        <v>31</v>
      </c>
      <c r="AF454" s="26" t="s">
        <v>31</v>
      </c>
      <c r="AG454" s="26">
        <v>2</v>
      </c>
      <c r="AH454" s="26">
        <v>0</v>
      </c>
    </row>
    <row r="455" spans="1:34" x14ac:dyDescent="0.2">
      <c r="A455" s="10">
        <f t="shared" si="34"/>
        <v>2024</v>
      </c>
      <c r="B455" s="10">
        <f t="shared" si="35"/>
        <v>10</v>
      </c>
      <c r="D455" s="10" t="s">
        <v>134</v>
      </c>
      <c r="E455" s="25" t="d">
        <v>2024-10-01</v>
      </c>
      <c r="F455" s="26">
        <v>2089</v>
      </c>
      <c r="G455" s="26">
        <v>273</v>
      </c>
      <c r="H455" s="26">
        <v>2058924</v>
      </c>
      <c r="I455" s="26">
        <v>323472</v>
      </c>
      <c r="J455" s="26">
        <v>31417</v>
      </c>
      <c r="K455" s="26">
        <v>7035</v>
      </c>
      <c r="L455" s="26">
        <v>8570</v>
      </c>
      <c r="M455" s="26">
        <v>0</v>
      </c>
      <c r="N455" s="26">
        <v>51300</v>
      </c>
      <c r="O455" s="26">
        <v>0</v>
      </c>
      <c r="P455" s="26">
        <v>532</v>
      </c>
      <c r="Q455" s="26">
        <v>97</v>
      </c>
      <c r="R455" s="26">
        <v>46984</v>
      </c>
      <c r="S455" s="26">
        <v>3973</v>
      </c>
      <c r="T455" s="26">
        <v>3693</v>
      </c>
      <c r="U455" s="26">
        <v>0</v>
      </c>
      <c r="V455" s="26">
        <v>0</v>
      </c>
      <c r="W455" s="26">
        <v>51</v>
      </c>
      <c r="X455" s="26">
        <v>10</v>
      </c>
      <c r="Y455" s="26" t="s">
        <v>31</v>
      </c>
      <c r="Z455" s="26" t="s">
        <v>31</v>
      </c>
      <c r="AA455" s="26">
        <v>1342</v>
      </c>
      <c r="AB455" s="26">
        <v>83</v>
      </c>
      <c r="AC455" s="26" t="s">
        <v>31</v>
      </c>
      <c r="AD455" s="26" t="s">
        <v>31</v>
      </c>
      <c r="AE455" s="26" t="s">
        <v>31</v>
      </c>
      <c r="AF455" s="26" t="s">
        <v>31</v>
      </c>
      <c r="AG455" s="26">
        <v>2</v>
      </c>
      <c r="AH455" s="26">
        <v>0</v>
      </c>
    </row>
    <row r="456" spans="1:34" x14ac:dyDescent="0.2">
      <c r="A456" s="10">
        <f t="shared" si="34"/>
        <v>2024</v>
      </c>
      <c r="B456" s="10">
        <f t="shared" si="35"/>
        <v>11</v>
      </c>
      <c r="D456" s="10" t="s">
        <v>134</v>
      </c>
      <c r="E456" s="25" t="d">
        <v>2024-11-01</v>
      </c>
      <c r="F456" s="26">
        <v>2338</v>
      </c>
      <c r="G456" s="26">
        <v>249</v>
      </c>
      <c r="H456" s="26">
        <v>2447696</v>
      </c>
      <c r="I456" s="26">
        <v>311153</v>
      </c>
      <c r="J456" s="26">
        <v>27913</v>
      </c>
      <c r="K456" s="26">
        <v>-3504</v>
      </c>
      <c r="L456" s="26">
        <v>8570</v>
      </c>
      <c r="M456" s="26">
        <v>0</v>
      </c>
      <c r="N456" s="26">
        <v>51300</v>
      </c>
      <c r="O456" s="26">
        <v>0</v>
      </c>
      <c r="P456" s="26">
        <v>935</v>
      </c>
      <c r="Q456" s="26">
        <v>403</v>
      </c>
      <c r="R456" s="26">
        <v>57099</v>
      </c>
      <c r="S456" s="26">
        <v>9381</v>
      </c>
      <c r="T456" s="26">
        <v>3693</v>
      </c>
      <c r="U456" s="26">
        <v>0</v>
      </c>
      <c r="V456" s="26">
        <v>0</v>
      </c>
      <c r="W456" s="26">
        <v>61</v>
      </c>
      <c r="X456" s="26">
        <v>10</v>
      </c>
      <c r="Y456" s="26" t="s">
        <v>31</v>
      </c>
      <c r="Z456" s="26" t="s">
        <v>31</v>
      </c>
      <c r="AA456" s="26">
        <v>1522</v>
      </c>
      <c r="AB456" s="26">
        <v>180</v>
      </c>
      <c r="AC456" s="26" t="s">
        <v>31</v>
      </c>
      <c r="AD456" s="26" t="s">
        <v>31</v>
      </c>
      <c r="AE456" s="26" t="s">
        <v>31</v>
      </c>
      <c r="AF456" s="26" t="s">
        <v>31</v>
      </c>
      <c r="AG456" s="26">
        <v>2</v>
      </c>
      <c r="AH456" s="26">
        <v>0</v>
      </c>
    </row>
    <row r="457" spans="1:34" x14ac:dyDescent="0.2">
      <c r="A457" s="10">
        <f t="shared" si="34"/>
        <v>2024</v>
      </c>
      <c r="B457" s="10">
        <f t="shared" si="35"/>
        <v>12</v>
      </c>
      <c r="D457" s="10" t="s">
        <v>134</v>
      </c>
      <c r="E457" s="25" t="d">
        <v>2024-12-01</v>
      </c>
      <c r="F457" s="26">
        <v>2989</v>
      </c>
      <c r="G457" s="26">
        <v>651</v>
      </c>
      <c r="H457" s="26">
        <v>3255998</v>
      </c>
      <c r="I457" s="26">
        <v>693191</v>
      </c>
      <c r="J457" s="26">
        <v>101336</v>
      </c>
      <c r="K457" s="26">
        <v>73423</v>
      </c>
      <c r="L457" s="26">
        <v>8570</v>
      </c>
      <c r="M457" s="26">
        <v>0</v>
      </c>
      <c r="N457" s="26">
        <v>51300</v>
      </c>
      <c r="O457" s="26">
        <v>0</v>
      </c>
      <c r="P457" s="26">
        <v>1180</v>
      </c>
      <c r="Q457" s="26">
        <v>245</v>
      </c>
      <c r="R457" s="26">
        <v>61529</v>
      </c>
      <c r="S457" s="26">
        <v>4213</v>
      </c>
      <c r="T457" s="26">
        <v>3693</v>
      </c>
      <c r="U457" s="26">
        <v>0</v>
      </c>
      <c r="V457" s="26">
        <v>0</v>
      </c>
      <c r="W457" s="26">
        <v>71</v>
      </c>
      <c r="X457" s="26">
        <v>10</v>
      </c>
      <c r="Y457" s="26" t="s">
        <v>31</v>
      </c>
      <c r="Z457" s="26" t="s">
        <v>31</v>
      </c>
      <c r="AA457" s="26">
        <v>1870</v>
      </c>
      <c r="AB457" s="26">
        <v>348</v>
      </c>
      <c r="AC457" s="26" t="s">
        <v>31</v>
      </c>
      <c r="AD457" s="26" t="s">
        <v>31</v>
      </c>
      <c r="AE457" s="26" t="s">
        <v>31</v>
      </c>
      <c r="AF457" s="26" t="s">
        <v>31</v>
      </c>
      <c r="AG457" s="26">
        <v>4</v>
      </c>
      <c r="AH457" s="26">
        <v>2</v>
      </c>
    </row>
    <row r="458" spans="1:34" x14ac:dyDescent="0.2">
      <c r="A458" s="10">
        <f t="shared" si="34"/>
        <v>2025</v>
      </c>
      <c r="B458" s="10">
        <f t="shared" si="35"/>
        <v>1</v>
      </c>
      <c r="D458" s="10" t="s">
        <v>134</v>
      </c>
      <c r="E458" s="25" t="d">
        <v>2025-01-01</v>
      </c>
      <c r="F458" s="26">
        <v>4867</v>
      </c>
      <c r="G458" s="26">
        <v>1878</v>
      </c>
      <c r="H458" s="26">
        <v>4865182</v>
      </c>
      <c r="I458" s="26">
        <v>1469223</v>
      </c>
      <c r="J458" s="26">
        <v>77455</v>
      </c>
      <c r="K458" s="26">
        <v>-23881</v>
      </c>
      <c r="L458" s="26">
        <v>8570</v>
      </c>
      <c r="M458" s="26">
        <v>0</v>
      </c>
      <c r="N458" s="26">
        <v>51300</v>
      </c>
      <c r="O458" s="26">
        <v>0</v>
      </c>
      <c r="P458" s="26">
        <v>1480</v>
      </c>
      <c r="Q458" s="26">
        <v>300</v>
      </c>
      <c r="R458" s="26">
        <v>66228</v>
      </c>
      <c r="S458" s="26">
        <v>4664</v>
      </c>
      <c r="T458" s="26">
        <v>3693</v>
      </c>
      <c r="U458" s="26">
        <v>0</v>
      </c>
      <c r="V458" s="26">
        <v>0</v>
      </c>
      <c r="W458" s="26">
        <v>80</v>
      </c>
      <c r="X458" s="26">
        <v>9</v>
      </c>
      <c r="Y458" s="26" t="s">
        <v>31</v>
      </c>
      <c r="Z458" s="26" t="s">
        <v>31</v>
      </c>
      <c r="AA458" s="26">
        <v>2186</v>
      </c>
      <c r="AB458" s="26">
        <v>316</v>
      </c>
      <c r="AC458" s="26" t="s">
        <v>31</v>
      </c>
      <c r="AD458" s="26" t="s">
        <v>31</v>
      </c>
      <c r="AE458" s="26" t="s">
        <v>31</v>
      </c>
      <c r="AF458" s="26" t="s">
        <v>31</v>
      </c>
      <c r="AG458" s="26">
        <v>7</v>
      </c>
      <c r="AH458" s="26">
        <v>3</v>
      </c>
    </row>
    <row r="459" spans="1:34" x14ac:dyDescent="0.2">
      <c r="A459" s="10">
        <f t="shared" si="34"/>
        <v>2025</v>
      </c>
      <c r="B459" s="10">
        <f t="shared" si="35"/>
        <v>2</v>
      </c>
      <c r="D459" s="10" t="s">
        <v>134</v>
      </c>
      <c r="E459" s="25" t="d">
        <v>2025-02-01</v>
      </c>
      <c r="F459" s="26">
        <v>8381</v>
      </c>
      <c r="G459" s="26">
        <v>3514</v>
      </c>
      <c r="H459" s="26">
        <v>7707209</v>
      </c>
      <c r="I459" s="26">
        <v>2841069</v>
      </c>
      <c r="J459" s="26">
        <v>72146</v>
      </c>
      <c r="K459" s="26">
        <v>-5309</v>
      </c>
      <c r="L459" s="26">
        <v>8570</v>
      </c>
      <c r="M459" s="26">
        <v>0</v>
      </c>
      <c r="N459" s="26">
        <v>51300</v>
      </c>
      <c r="O459" s="26">
        <v>0</v>
      </c>
      <c r="P459" s="26">
        <v>2680</v>
      </c>
      <c r="Q459" s="26">
        <v>1200</v>
      </c>
      <c r="R459" s="26">
        <v>92904</v>
      </c>
      <c r="S459" s="26">
        <v>26676</v>
      </c>
      <c r="T459" s="26">
        <v>3693</v>
      </c>
      <c r="U459" s="26">
        <v>0</v>
      </c>
      <c r="V459" s="26">
        <v>0</v>
      </c>
      <c r="W459" s="26">
        <v>91</v>
      </c>
      <c r="X459" s="26">
        <v>11</v>
      </c>
      <c r="Y459" s="26" t="s">
        <v>31</v>
      </c>
      <c r="Z459" s="26" t="s">
        <v>31</v>
      </c>
      <c r="AA459" s="26">
        <v>3355</v>
      </c>
      <c r="AB459" s="26">
        <v>1169</v>
      </c>
      <c r="AC459" s="26" t="s">
        <v>31</v>
      </c>
      <c r="AD459" s="26" t="s">
        <v>31</v>
      </c>
      <c r="AE459" s="26" t="s">
        <v>31</v>
      </c>
      <c r="AF459" s="26" t="s">
        <v>31</v>
      </c>
      <c r="AG459" s="26">
        <v>12</v>
      </c>
      <c r="AH459" s="26">
        <v>5</v>
      </c>
    </row>
    <row r="460" spans="1:34" x14ac:dyDescent="0.2">
      <c r="A460" s="10">
        <f t="shared" si="34"/>
        <v>2025</v>
      </c>
      <c r="B460" s="10">
        <f t="shared" si="35"/>
        <v>3</v>
      </c>
      <c r="D460" s="10" t="s">
        <v>134</v>
      </c>
      <c r="E460" s="25" t="d">
        <v>2025-03-01</v>
      </c>
      <c r="F460" s="26">
        <v>12799</v>
      </c>
      <c r="G460" s="26">
        <v>4418</v>
      </c>
      <c r="H460" s="26">
        <v>11065680</v>
      </c>
      <c r="I460" s="26">
        <v>3280529</v>
      </c>
      <c r="J460" s="26">
        <v>147455</v>
      </c>
      <c r="K460" s="26">
        <v>75309</v>
      </c>
      <c r="L460" s="26">
        <v>8570</v>
      </c>
      <c r="M460" s="26">
        <v>0</v>
      </c>
      <c r="N460" s="26">
        <v>51300</v>
      </c>
      <c r="O460" s="26">
        <v>0</v>
      </c>
      <c r="P460" s="26">
        <v>3130</v>
      </c>
      <c r="Q460" s="26">
        <v>450</v>
      </c>
      <c r="R460" s="26">
        <v>106297</v>
      </c>
      <c r="S460" s="26">
        <v>13393</v>
      </c>
      <c r="T460" s="26">
        <v>3693</v>
      </c>
      <c r="U460" s="26">
        <v>0</v>
      </c>
      <c r="V460" s="26">
        <v>0</v>
      </c>
      <c r="W460" s="26">
        <v>100</v>
      </c>
      <c r="X460" s="26">
        <v>9</v>
      </c>
      <c r="Y460" s="26" t="s">
        <v>31</v>
      </c>
      <c r="Z460" s="26" t="s">
        <v>31</v>
      </c>
      <c r="AA460" s="26">
        <v>4003</v>
      </c>
      <c r="AB460" s="26">
        <v>648</v>
      </c>
      <c r="AC460" s="26" t="s">
        <v>31</v>
      </c>
      <c r="AD460" s="26" t="s">
        <v>31</v>
      </c>
      <c r="AE460" s="26" t="s">
        <v>31</v>
      </c>
      <c r="AF460" s="26" t="s">
        <v>31</v>
      </c>
      <c r="AG460" s="26">
        <v>17</v>
      </c>
      <c r="AH460" s="26">
        <v>5</v>
      </c>
    </row>
    <row r="461" spans="1:34" x14ac:dyDescent="0.2">
      <c r="A461" s="10">
        <f t="shared" si="34"/>
        <v>2025</v>
      </c>
      <c r="B461" s="10">
        <f t="shared" si="35"/>
        <v>4</v>
      </c>
      <c r="D461" s="10" t="s">
        <v>134</v>
      </c>
      <c r="E461" s="25" t="d">
        <v>2025-04-01</v>
      </c>
      <c r="F461" s="26">
        <v>18021</v>
      </c>
      <c r="G461" s="26">
        <v>5222</v>
      </c>
      <c r="H461" s="26">
        <v>15435859</v>
      </c>
      <c r="I461" s="26">
        <v>3984984</v>
      </c>
      <c r="J461" s="26">
        <v>210501</v>
      </c>
      <c r="K461" s="26">
        <v>63046</v>
      </c>
      <c r="L461" s="26">
        <v>8570</v>
      </c>
      <c r="M461" s="26">
        <v>0</v>
      </c>
      <c r="N461" s="26">
        <v>51300</v>
      </c>
      <c r="O461" s="26">
        <v>0</v>
      </c>
      <c r="P461" s="26">
        <v>3120</v>
      </c>
      <c r="Q461" s="26">
        <v>-10</v>
      </c>
      <c r="R461" s="26">
        <v>108551</v>
      </c>
      <c r="S461" s="26">
        <v>2254</v>
      </c>
      <c r="T461" s="26">
        <v>3693</v>
      </c>
      <c r="U461" s="26">
        <v>0</v>
      </c>
      <c r="V461" s="26">
        <v>0</v>
      </c>
      <c r="W461" s="26">
        <v>115</v>
      </c>
      <c r="X461" s="26">
        <v>15</v>
      </c>
      <c r="Y461" s="26" t="s">
        <v>31</v>
      </c>
      <c r="Z461" s="26" t="s">
        <v>31</v>
      </c>
      <c r="AA461" s="26">
        <v>5162</v>
      </c>
      <c r="AB461" s="26">
        <v>1159</v>
      </c>
      <c r="AC461" s="26" t="s">
        <v>31</v>
      </c>
      <c r="AD461" s="26" t="s">
        <v>31</v>
      </c>
      <c r="AE461" s="26" t="s">
        <v>31</v>
      </c>
      <c r="AF461" s="26" t="s">
        <v>31</v>
      </c>
      <c r="AG461" s="26">
        <v>32</v>
      </c>
      <c r="AH461" s="26">
        <v>15</v>
      </c>
    </row>
    <row r="462" spans="1:34" x14ac:dyDescent="0.2">
      <c r="A462" s="10">
        <f t="shared" si="34"/>
        <v>2025</v>
      </c>
      <c r="B462" s="10">
        <f t="shared" si="35"/>
        <v>5</v>
      </c>
      <c r="D462" s="10" t="s">
        <v>134</v>
      </c>
      <c r="E462" s="25" t="d">
        <v>2025-05-01</v>
      </c>
      <c r="F462" s="26">
        <v>25611</v>
      </c>
      <c r="G462" s="26">
        <v>7590</v>
      </c>
      <c r="H462" s="26">
        <v>22025569</v>
      </c>
      <c r="I462" s="26">
        <v>6490536</v>
      </c>
      <c r="J462" s="26">
        <v>297678</v>
      </c>
      <c r="K462" s="26">
        <v>87177</v>
      </c>
      <c r="L462" s="26">
        <v>8570</v>
      </c>
      <c r="M462" s="26">
        <v>0</v>
      </c>
      <c r="N462" s="26">
        <v>51300</v>
      </c>
      <c r="O462" s="26">
        <v>0</v>
      </c>
      <c r="P462" s="26">
        <v>3230</v>
      </c>
      <c r="Q462" s="26">
        <v>110</v>
      </c>
      <c r="R462" s="26">
        <v>114291</v>
      </c>
      <c r="S462" s="26">
        <v>5740</v>
      </c>
      <c r="T462" s="26">
        <v>3693</v>
      </c>
      <c r="U462" s="26">
        <v>0</v>
      </c>
      <c r="V462" s="26">
        <v>0</v>
      </c>
      <c r="W462" s="26">
        <v>131</v>
      </c>
      <c r="X462" s="26">
        <v>16</v>
      </c>
      <c r="Y462" s="26" t="s">
        <v>31</v>
      </c>
      <c r="Z462" s="26" t="s">
        <v>31</v>
      </c>
      <c r="AA462" s="26">
        <v>6361</v>
      </c>
      <c r="AB462" s="26">
        <v>1199</v>
      </c>
      <c r="AC462" s="26" t="s">
        <v>31</v>
      </c>
      <c r="AD462" s="26" t="s">
        <v>31</v>
      </c>
      <c r="AE462" s="26" t="s">
        <v>31</v>
      </c>
      <c r="AF462" s="26" t="s">
        <v>31</v>
      </c>
      <c r="AG462" s="26">
        <v>44</v>
      </c>
      <c r="AH462" s="26">
        <v>12</v>
      </c>
    </row>
    <row r="463" spans="1:34" x14ac:dyDescent="0.2">
      <c r="A463" s="10">
        <f t="shared" si="34"/>
        <v>2025</v>
      </c>
      <c r="B463" s="10">
        <f t="shared" si="35"/>
        <v>6</v>
      </c>
      <c r="D463" s="10" t="s">
        <v>134</v>
      </c>
      <c r="E463" s="25" t="d">
        <v>2025-06-01</v>
      </c>
      <c r="F463" s="26">
        <v>38188</v>
      </c>
      <c r="G463" s="26">
        <v>12577</v>
      </c>
      <c r="H463" s="26">
        <v>30697549</v>
      </c>
      <c r="I463" s="26">
        <v>8480397</v>
      </c>
      <c r="J463" s="26">
        <v>370317</v>
      </c>
      <c r="K463" s="26">
        <v>72639</v>
      </c>
      <c r="L463" s="26">
        <v>8570</v>
      </c>
      <c r="M463" s="26">
        <v>0</v>
      </c>
      <c r="N463" s="26">
        <v>51300</v>
      </c>
      <c r="O463" s="26">
        <v>0</v>
      </c>
      <c r="P463" s="26">
        <v>3470</v>
      </c>
      <c r="Q463" s="26">
        <v>240</v>
      </c>
      <c r="R463" s="26">
        <v>125046</v>
      </c>
      <c r="S463" s="26">
        <v>8454</v>
      </c>
      <c r="T463" s="26">
        <v>3693</v>
      </c>
      <c r="U463" s="26">
        <v>0</v>
      </c>
      <c r="V463" s="26">
        <v>0</v>
      </c>
      <c r="W463" s="26">
        <v>142</v>
      </c>
      <c r="X463" s="26">
        <v>11</v>
      </c>
      <c r="Y463" s="26" t="s">
        <v>31</v>
      </c>
      <c r="Z463" s="26" t="s">
        <v>31</v>
      </c>
      <c r="AA463" s="26">
        <v>7255</v>
      </c>
      <c r="AB463" s="26">
        <v>894</v>
      </c>
      <c r="AC463" s="26" t="s">
        <v>31</v>
      </c>
      <c r="AD463" s="26" t="s">
        <v>31</v>
      </c>
      <c r="AE463" s="26" t="s">
        <v>31</v>
      </c>
      <c r="AF463" s="26" t="s">
        <v>31</v>
      </c>
      <c r="AG463" s="26">
        <v>57</v>
      </c>
      <c r="AH463" s="26">
        <v>13</v>
      </c>
    </row>
    <row r="464" spans="1:34" x14ac:dyDescent="0.2">
      <c r="A464" s="10">
        <f t="shared" si="34"/>
        <v>2025</v>
      </c>
      <c r="B464" s="10">
        <f t="shared" si="35"/>
        <v>7</v>
      </c>
      <c r="D464" s="10" t="s">
        <v>134</v>
      </c>
      <c r="E464" s="25" t="d">
        <v>2025-07-01</v>
      </c>
      <c r="F464" s="26">
        <v>52143</v>
      </c>
      <c r="G464" s="26">
        <v>13955</v>
      </c>
      <c r="H464" s="26">
        <v>41627555</v>
      </c>
      <c r="I464" s="26">
        <v>10356462</v>
      </c>
      <c r="J464" s="26">
        <v>417971</v>
      </c>
      <c r="K464" s="26">
        <v>47654</v>
      </c>
      <c r="L464" s="26">
        <v>8570</v>
      </c>
      <c r="M464" s="26">
        <v>0</v>
      </c>
      <c r="N464" s="26">
        <v>51300</v>
      </c>
      <c r="O464" s="26">
        <v>0</v>
      </c>
      <c r="P464" s="26">
        <v>3500</v>
      </c>
      <c r="Q464" s="26">
        <v>30</v>
      </c>
      <c r="R464" s="26">
        <v>131940</v>
      </c>
      <c r="S464" s="26">
        <v>6285</v>
      </c>
      <c r="T464" s="26">
        <v>3693</v>
      </c>
      <c r="U464" s="26">
        <v>0</v>
      </c>
      <c r="V464" s="26">
        <v>0</v>
      </c>
      <c r="W464" s="26">
        <v>152</v>
      </c>
      <c r="X464" s="26">
        <v>10</v>
      </c>
      <c r="Y464" s="26" t="s">
        <v>31</v>
      </c>
      <c r="Z464" s="26" t="s">
        <v>31</v>
      </c>
      <c r="AA464" s="26">
        <v>7585</v>
      </c>
      <c r="AB464" s="26">
        <v>330</v>
      </c>
      <c r="AC464" s="26" t="s">
        <v>31</v>
      </c>
      <c r="AD464" s="26" t="s">
        <v>31</v>
      </c>
      <c r="AE464" s="26" t="s">
        <v>31</v>
      </c>
      <c r="AF464" s="26" t="s">
        <v>31</v>
      </c>
      <c r="AG464" s="26">
        <v>84</v>
      </c>
      <c r="AH464" s="26">
        <v>27</v>
      </c>
    </row>
    <row r="465" spans="1:34" x14ac:dyDescent="0.2">
      <c r="A465" s="10">
        <f t="shared" si="34"/>
        <v>2025</v>
      </c>
      <c r="B465" s="10">
        <f t="shared" si="35"/>
        <v>8</v>
      </c>
      <c r="D465" s="10" t="s">
        <v>134</v>
      </c>
      <c r="E465" s="25" t="d">
        <v>2025-08-01</v>
      </c>
      <c r="F465" s="26">
        <v>72562</v>
      </c>
      <c r="G465" s="26">
        <v>20419</v>
      </c>
      <c r="H465" s="26">
        <v>55710868</v>
      </c>
      <c r="I465" s="26">
        <v>12988534</v>
      </c>
      <c r="J465" s="26">
        <v>742809</v>
      </c>
      <c r="K465" s="26">
        <v>324838</v>
      </c>
      <c r="L465" s="26">
        <v>8570</v>
      </c>
      <c r="M465" s="26">
        <v>0</v>
      </c>
      <c r="N465" s="26">
        <v>51300</v>
      </c>
      <c r="O465" s="26">
        <v>0</v>
      </c>
      <c r="P465" s="26">
        <v>3580</v>
      </c>
      <c r="Q465" s="26">
        <v>80</v>
      </c>
      <c r="R465" s="26">
        <v>142806</v>
      </c>
      <c r="S465" s="26">
        <v>8267</v>
      </c>
      <c r="T465" s="26">
        <v>3693</v>
      </c>
      <c r="U465" s="26">
        <v>0</v>
      </c>
      <c r="V465" s="26">
        <v>0</v>
      </c>
      <c r="W465" s="26">
        <v>183</v>
      </c>
      <c r="X465" s="26">
        <v>31</v>
      </c>
      <c r="Y465" s="26" t="s">
        <v>31</v>
      </c>
      <c r="Z465" s="26" t="s">
        <v>31</v>
      </c>
      <c r="AA465" s="26">
        <v>8055</v>
      </c>
      <c r="AB465" s="26">
        <v>470</v>
      </c>
      <c r="AC465" s="26" t="s">
        <v>31</v>
      </c>
      <c r="AD465" s="26" t="s">
        <v>31</v>
      </c>
      <c r="AE465" s="26" t="s">
        <v>31</v>
      </c>
      <c r="AF465" s="26" t="s">
        <v>31</v>
      </c>
      <c r="AG465" s="26">
        <v>148</v>
      </c>
      <c r="AH465" s="26">
        <v>64</v>
      </c>
    </row>
    <row r="466" spans="1:34" x14ac:dyDescent="0.2">
      <c r="A466" s="10">
        <f t="shared" si="34"/>
        <v>2025</v>
      </c>
      <c r="B466" s="10">
        <f t="shared" si="35"/>
        <v>9</v>
      </c>
      <c r="D466" s="10" t="s">
        <v>134</v>
      </c>
      <c r="E466" s="25" t="d">
        <v>2025-09-01</v>
      </c>
      <c r="F466" s="26">
        <v>98044</v>
      </c>
      <c r="G466" s="26">
        <v>25482</v>
      </c>
      <c r="H466" s="26">
        <v>72305084</v>
      </c>
      <c r="I466" s="26">
        <v>16491122</v>
      </c>
      <c r="J466" s="26">
        <v>933239</v>
      </c>
      <c r="K466" s="26">
        <v>190430</v>
      </c>
      <c r="L466" s="26">
        <v>8570</v>
      </c>
      <c r="M466" s="26">
        <v>0</v>
      </c>
      <c r="N466" s="26">
        <v>51300</v>
      </c>
      <c r="O466" s="26">
        <v>0</v>
      </c>
      <c r="P466" s="26">
        <v>3600</v>
      </c>
      <c r="Q466" s="26">
        <v>20</v>
      </c>
      <c r="R466" s="26">
        <v>151349</v>
      </c>
      <c r="S466" s="26">
        <v>8543</v>
      </c>
      <c r="T466" s="26">
        <v>3693</v>
      </c>
      <c r="U466" s="26">
        <v>0</v>
      </c>
      <c r="V466" s="26">
        <v>0</v>
      </c>
      <c r="W466" s="26">
        <v>253</v>
      </c>
      <c r="X466" s="26">
        <v>70</v>
      </c>
      <c r="Y466" s="26" t="s">
        <v>31</v>
      </c>
      <c r="Z466" s="26" t="s">
        <v>31</v>
      </c>
      <c r="AA466" s="26">
        <v>8336</v>
      </c>
      <c r="AB466" s="26">
        <v>281</v>
      </c>
      <c r="AC466" s="26" t="s">
        <v>31</v>
      </c>
      <c r="AD466" s="26" t="s">
        <v>31</v>
      </c>
      <c r="AE466" s="26" t="s">
        <v>31</v>
      </c>
      <c r="AF466" s="26" t="s">
        <v>31</v>
      </c>
      <c r="AG466" s="26">
        <v>221</v>
      </c>
      <c r="AH466" s="26">
        <v>73</v>
      </c>
    </row>
    <row r="467" spans="1:34" x14ac:dyDescent="0.2">
      <c r="A467" s="10">
        <f t="shared" si="34"/>
        <v>2025</v>
      </c>
      <c r="B467" s="10">
        <f t="shared" si="35"/>
        <v>10</v>
      </c>
      <c r="D467" s="10" t="s">
        <v>134</v>
      </c>
      <c r="E467" s="25" t="d">
        <v>2025-10-01</v>
      </c>
      <c r="F467" s="26">
        <v>118878</v>
      </c>
      <c r="G467" s="26">
        <v>20834</v>
      </c>
      <c r="H467" s="26">
        <v>88427817</v>
      </c>
      <c r="I467" s="26">
        <v>15992932</v>
      </c>
      <c r="J467" s="26">
        <v>1083899</v>
      </c>
      <c r="K467" s="26">
        <v>150660</v>
      </c>
      <c r="L467" s="26">
        <v>8570</v>
      </c>
      <c r="M467" s="26">
        <v>0</v>
      </c>
      <c r="N467" s="26">
        <v>51300</v>
      </c>
      <c r="O467" s="26">
        <v>0</v>
      </c>
      <c r="P467" s="26">
        <v>3610</v>
      </c>
      <c r="Q467" s="26">
        <v>10</v>
      </c>
      <c r="R467" s="26">
        <v>158328</v>
      </c>
      <c r="S467" s="26">
        <v>6979</v>
      </c>
      <c r="T467" s="26">
        <v>3693</v>
      </c>
      <c r="U467" s="26">
        <v>0</v>
      </c>
      <c r="V467" s="26">
        <v>0</v>
      </c>
      <c r="W467" s="26">
        <v>315</v>
      </c>
      <c r="X467" s="26">
        <v>62</v>
      </c>
      <c r="Y467" s="26" t="s">
        <v>31</v>
      </c>
      <c r="Z467" s="26" t="s">
        <v>31</v>
      </c>
      <c r="AA467" s="26">
        <v>8396</v>
      </c>
      <c r="AB467" s="26">
        <v>60</v>
      </c>
      <c r="AC467" s="26" t="s">
        <v>31</v>
      </c>
      <c r="AD467" s="26" t="s">
        <v>31</v>
      </c>
      <c r="AE467" s="26" t="s">
        <v>31</v>
      </c>
      <c r="AF467" s="26" t="s">
        <v>31</v>
      </c>
      <c r="AG467" s="26">
        <v>282</v>
      </c>
      <c r="AH467" s="26">
        <v>61</v>
      </c>
    </row>
    <row r="468" spans="1:34" x14ac:dyDescent="0.2">
      <c r="A468" s="10">
        <f t="shared" si="34"/>
        <v>2025</v>
      </c>
      <c r="B468" s="10">
        <f t="shared" si="35"/>
        <v>11</v>
      </c>
      <c r="D468" s="10" t="s">
        <v>134</v>
      </c>
      <c r="E468" s="25" t="d">
        <v>2025-11-01</v>
      </c>
      <c r="F468" s="26">
        <v>139739</v>
      </c>
      <c r="G468" s="26">
        <v>20861</v>
      </c>
      <c r="H468" s="26">
        <v>103971065</v>
      </c>
      <c r="I468" s="26">
        <v>15004298</v>
      </c>
      <c r="J468" s="26">
        <v>1098731</v>
      </c>
      <c r="K468" s="26">
        <v>14832</v>
      </c>
      <c r="L468" s="26">
        <v>8570</v>
      </c>
      <c r="M468" s="26">
        <v>0</v>
      </c>
      <c r="N468" s="26">
        <v>51300</v>
      </c>
      <c r="O468" s="26">
        <v>0</v>
      </c>
      <c r="P468" s="26">
        <v>3620</v>
      </c>
      <c r="Q468" s="26">
        <v>10</v>
      </c>
      <c r="R468" s="26">
        <v>165134</v>
      </c>
      <c r="S468" s="26">
        <v>6806</v>
      </c>
      <c r="T468" s="26">
        <v>3693</v>
      </c>
      <c r="U468" s="26">
        <v>0</v>
      </c>
      <c r="V468" s="26">
        <v>0</v>
      </c>
      <c r="W468" s="26">
        <v>401</v>
      </c>
      <c r="X468" s="26">
        <v>90</v>
      </c>
      <c r="Y468" s="26" t="s">
        <v>31</v>
      </c>
      <c r="Z468" s="26" t="s">
        <v>31</v>
      </c>
      <c r="AA468" s="26">
        <v>8440</v>
      </c>
      <c r="AB468" s="26">
        <v>44</v>
      </c>
      <c r="AC468" s="26" t="s">
        <v>31</v>
      </c>
      <c r="AD468" s="26" t="s">
        <v>31</v>
      </c>
      <c r="AE468" s="26" t="s">
        <v>31</v>
      </c>
      <c r="AF468" s="26" t="s">
        <v>31</v>
      </c>
      <c r="AG468" s="26">
        <v>347</v>
      </c>
      <c r="AH468" s="26">
        <v>65</v>
      </c>
    </row>
    <row r="469" spans="1:34" x14ac:dyDescent="0.2">
      <c r="A469" s="10">
        <f t="shared" si="34"/>
        <v>2025</v>
      </c>
      <c r="B469" s="10">
        <f t="shared" si="35"/>
        <v>12</v>
      </c>
      <c r="D469" s="10" t="s">
        <v>134</v>
      </c>
      <c r="E469" s="25" t="d">
        <v>2025-12-01</v>
      </c>
      <c r="F469" s="26">
        <v>159247</v>
      </c>
      <c r="G469" s="26">
        <v>19508</v>
      </c>
      <c r="H469" s="26">
        <v>117737588</v>
      </c>
      <c r="I469" s="26">
        <v>13662216</v>
      </c>
      <c r="J469" s="26">
        <v>1052179</v>
      </c>
      <c r="K469" s="26">
        <v>-46552</v>
      </c>
      <c r="L469" s="26">
        <v>521500</v>
      </c>
      <c r="M469" s="26">
        <v>512930</v>
      </c>
      <c r="N469" s="26">
        <v>10500000</v>
      </c>
      <c r="O469" s="26">
        <v>10448700</v>
      </c>
      <c r="P469" s="26">
        <v>3630</v>
      </c>
      <c r="Q469" s="26">
        <v>10</v>
      </c>
      <c r="R469" s="26">
        <v>170778</v>
      </c>
      <c r="S469" s="26">
        <v>5644</v>
      </c>
      <c r="T469" s="26">
        <v>3693</v>
      </c>
      <c r="U469" s="26">
        <v>0</v>
      </c>
      <c r="V469" s="26">
        <v>0</v>
      </c>
      <c r="W469" s="26">
        <v>458</v>
      </c>
      <c r="X469" s="26">
        <v>57</v>
      </c>
      <c r="Y469" s="26" t="s">
        <v>31</v>
      </c>
      <c r="Z469" s="26" t="s">
        <v>31</v>
      </c>
      <c r="AA469" s="26">
        <v>8446</v>
      </c>
      <c r="AB469" s="26">
        <v>6</v>
      </c>
      <c r="AC469" s="26" t="s">
        <v>31</v>
      </c>
      <c r="AD469" s="26" t="s">
        <v>31</v>
      </c>
      <c r="AE469" s="26" t="s">
        <v>31</v>
      </c>
      <c r="AF469" s="26" t="s">
        <v>31</v>
      </c>
      <c r="AG469" s="26">
        <v>394</v>
      </c>
      <c r="AH469" s="26">
        <v>47</v>
      </c>
    </row>
    <row r="470" spans="1:34" x14ac:dyDescent="0.2">
      <c r="A470" s="10">
        <f t="shared" si="34"/>
        <v>2026</v>
      </c>
      <c r="B470" s="10">
        <f t="shared" si="35"/>
        <v>1</v>
      </c>
      <c r="D470" s="10" t="s">
        <v>134</v>
      </c>
      <c r="E470" s="25" t="d">
        <v>2026-01-01</v>
      </c>
      <c r="F470" s="26">
        <v>186510</v>
      </c>
      <c r="G470" s="26">
        <v>27263</v>
      </c>
      <c r="H470" s="26">
        <v>135038316</v>
      </c>
      <c r="I470" s="26">
        <v>17064213</v>
      </c>
      <c r="J470" s="26">
        <v>1348153</v>
      </c>
      <c r="K470" s="26">
        <v>295974</v>
      </c>
      <c r="L470" s="26">
        <v>521500</v>
      </c>
      <c r="M470" s="26">
        <v>0</v>
      </c>
      <c r="N470" s="26">
        <v>10500000</v>
      </c>
      <c r="O470" s="26">
        <v>0</v>
      </c>
      <c r="P470" s="26">
        <v>3640</v>
      </c>
      <c r="Q470" s="26">
        <v>10</v>
      </c>
      <c r="R470" s="26">
        <v>176515</v>
      </c>
      <c r="S470" s="26">
        <v>5737</v>
      </c>
      <c r="T470" s="26">
        <v>3693</v>
      </c>
      <c r="U470" s="26">
        <v>0</v>
      </c>
      <c r="V470" s="26">
        <v>0</v>
      </c>
      <c r="W470" s="26">
        <v>538</v>
      </c>
      <c r="X470" s="26">
        <v>80</v>
      </c>
      <c r="Y470" s="26" t="s">
        <v>31</v>
      </c>
      <c r="Z470" s="26" t="s">
        <v>31</v>
      </c>
      <c r="AA470" s="26">
        <v>8445</v>
      </c>
      <c r="AB470" s="26">
        <v>-1</v>
      </c>
      <c r="AC470" s="26" t="s">
        <v>31</v>
      </c>
      <c r="AD470" s="26" t="s">
        <v>31</v>
      </c>
      <c r="AE470" s="26" t="s">
        <v>31</v>
      </c>
      <c r="AF470" s="26" t="s">
        <v>31</v>
      </c>
      <c r="AG470" s="26">
        <v>442</v>
      </c>
      <c r="AH470" s="26">
        <v>48</v>
      </c>
    </row>
    <row r="471" spans="1:34" x14ac:dyDescent="0.2">
      <c r="A471" s="10">
        <f t="shared" si="34"/>
        <v>2026</v>
      </c>
      <c r="B471" s="10">
        <f t="shared" si="35"/>
        <v>2</v>
      </c>
      <c r="D471" s="10" t="s">
        <v>134</v>
      </c>
      <c r="E471" s="25" t="d">
        <v>2026-02-01</v>
      </c>
      <c r="F471" s="26">
        <v>218371</v>
      </c>
      <c r="G471" s="26">
        <v>31861</v>
      </c>
      <c r="H471" s="26">
        <v>151856104</v>
      </c>
      <c r="I471" s="26">
        <v>16788043</v>
      </c>
      <c r="J471" s="26">
        <v>1470717</v>
      </c>
      <c r="K471" s="26">
        <v>122564</v>
      </c>
      <c r="L471" s="26">
        <v>521500</v>
      </c>
      <c r="M471" s="26">
        <v>0</v>
      </c>
      <c r="N471" s="26">
        <v>10500000</v>
      </c>
      <c r="O471" s="26">
        <v>0</v>
      </c>
      <c r="P471" s="26">
        <v>3660</v>
      </c>
      <c r="Q471" s="26">
        <v>20</v>
      </c>
      <c r="R471" s="26">
        <v>187197</v>
      </c>
      <c r="S471" s="26">
        <v>10682</v>
      </c>
      <c r="T471" s="26">
        <v>3693</v>
      </c>
      <c r="U471" s="26">
        <v>0</v>
      </c>
      <c r="V471" s="26">
        <v>0</v>
      </c>
      <c r="W471" s="26">
        <v>567</v>
      </c>
      <c r="X471" s="26">
        <v>29</v>
      </c>
      <c r="Y471" s="26" t="s">
        <v>31</v>
      </c>
      <c r="Z471" s="26" t="s">
        <v>31</v>
      </c>
      <c r="AA471" s="26">
        <v>8433</v>
      </c>
      <c r="AB471" s="26">
        <v>-12</v>
      </c>
      <c r="AC471" s="26" t="s">
        <v>31</v>
      </c>
      <c r="AD471" s="26" t="s">
        <v>31</v>
      </c>
      <c r="AE471" s="26" t="s">
        <v>31</v>
      </c>
      <c r="AF471" s="26" t="s">
        <v>31</v>
      </c>
      <c r="AG471" s="26">
        <v>504</v>
      </c>
      <c r="AH471" s="26">
        <v>62</v>
      </c>
    </row>
    <row r="472" spans="1:34" x14ac:dyDescent="0.2">
      <c r="A472" s="10">
        <f t="shared" si="34"/>
        <v>2026</v>
      </c>
      <c r="B472" s="10">
        <f t="shared" si="35"/>
        <v>3</v>
      </c>
      <c r="D472" s="10" t="s">
        <v>134</v>
      </c>
      <c r="E472" s="25" t="d">
        <v>2026-03-01</v>
      </c>
      <c r="F472" s="26">
        <v>247716</v>
      </c>
      <c r="G472" s="26">
        <v>29345</v>
      </c>
      <c r="H472" s="26">
        <v>166782156</v>
      </c>
      <c r="I472" s="26">
        <v>14820822</v>
      </c>
      <c r="J472" s="26">
        <v>1684019</v>
      </c>
      <c r="K472" s="26">
        <v>213302</v>
      </c>
      <c r="L472" s="26">
        <v>521500</v>
      </c>
      <c r="M472" s="26">
        <v>0</v>
      </c>
      <c r="N472" s="26">
        <v>10500000</v>
      </c>
      <c r="O472" s="26">
        <v>0</v>
      </c>
      <c r="P472" s="26">
        <v>3670</v>
      </c>
      <c r="Q472" s="26">
        <v>10</v>
      </c>
      <c r="R472" s="26">
        <v>198802</v>
      </c>
      <c r="S472" s="26">
        <v>11605</v>
      </c>
      <c r="T472" s="26">
        <v>3693</v>
      </c>
      <c r="U472" s="26">
        <v>0</v>
      </c>
      <c r="V472" s="26">
        <v>0</v>
      </c>
      <c r="W472" s="26">
        <v>577</v>
      </c>
      <c r="X472" s="26">
        <v>10</v>
      </c>
      <c r="Y472" s="26" t="s">
        <v>31</v>
      </c>
      <c r="Z472" s="26" t="s">
        <v>31</v>
      </c>
      <c r="AA472" s="26">
        <v>8430</v>
      </c>
      <c r="AB472" s="26">
        <v>-3</v>
      </c>
      <c r="AC472" s="26" t="s">
        <v>31</v>
      </c>
      <c r="AD472" s="26" t="s">
        <v>31</v>
      </c>
      <c r="AE472" s="26" t="s">
        <v>31</v>
      </c>
      <c r="AF472" s="26" t="s">
        <v>31</v>
      </c>
      <c r="AG472" s="26">
        <v>585</v>
      </c>
      <c r="AH472" s="26">
        <v>81</v>
      </c>
    </row>
    <row r="473" spans="1:34" x14ac:dyDescent="0.2">
      <c r="A473" s="10">
        <f t="shared" si="34"/>
        <v>2026</v>
      </c>
      <c r="B473" s="10">
        <f t="shared" si="35"/>
        <v>4</v>
      </c>
      <c r="D473" s="10" t="s">
        <v>134</v>
      </c>
      <c r="E473" s="25" t="d">
        <v>2026-04-01</v>
      </c>
      <c r="F473" s="26">
        <v>281039</v>
      </c>
      <c r="G473" s="26">
        <v>33323</v>
      </c>
      <c r="H473" s="26">
        <v>183620456</v>
      </c>
      <c r="I473" s="26">
        <v>16728095</v>
      </c>
      <c r="J473" s="26">
        <v>1899143</v>
      </c>
      <c r="K473" s="26">
        <v>215124</v>
      </c>
      <c r="L473" s="26">
        <v>521500</v>
      </c>
      <c r="M473" s="26">
        <v>0</v>
      </c>
      <c r="N473" s="26">
        <v>10500000</v>
      </c>
      <c r="O473" s="26">
        <v>0</v>
      </c>
      <c r="P473" s="26">
        <v>3690</v>
      </c>
      <c r="Q473" s="26">
        <v>20</v>
      </c>
      <c r="R473" s="26">
        <v>206702</v>
      </c>
      <c r="S473" s="26">
        <v>7900</v>
      </c>
      <c r="T473" s="26">
        <v>3693</v>
      </c>
      <c r="U473" s="26">
        <v>0</v>
      </c>
      <c r="V473" s="26">
        <v>0</v>
      </c>
      <c r="W473" s="26">
        <v>592</v>
      </c>
      <c r="X473" s="26">
        <v>15</v>
      </c>
      <c r="Y473" s="26">
        <v>8350934</v>
      </c>
      <c r="Z473" s="26">
        <v>271949</v>
      </c>
      <c r="AA473" s="26">
        <v>8525</v>
      </c>
      <c r="AB473" s="26">
        <v>95</v>
      </c>
      <c r="AC473" s="26" t="s">
        <v>31</v>
      </c>
      <c r="AD473" s="26" t="s">
        <v>31</v>
      </c>
      <c r="AE473" s="26" t="s">
        <v>31</v>
      </c>
      <c r="AF473" s="26" t="s">
        <v>31</v>
      </c>
      <c r="AG473" s="26">
        <v>712</v>
      </c>
      <c r="AH473" s="26">
        <v>127</v>
      </c>
    </row>
    <row r="474" spans="1:34" x14ac:dyDescent="0.2">
      <c r="A474" s="10">
        <f t="shared" si="34"/>
        <v>2026</v>
      </c>
      <c r="B474" s="10">
        <f t="shared" si="35"/>
        <v>5</v>
      </c>
      <c r="D474" s="10" t="s">
        <v>134</v>
      </c>
      <c r="E474" s="25" t="d">
        <v>2026-05-01</v>
      </c>
      <c r="F474" s="26">
        <v>326254</v>
      </c>
      <c r="G474" s="26">
        <v>45215</v>
      </c>
      <c r="H474" s="26">
        <v>199470478</v>
      </c>
      <c r="I474" s="26">
        <v>15625212</v>
      </c>
      <c r="J474" s="26">
        <v>1865425</v>
      </c>
      <c r="K474" s="26">
        <v>-33718</v>
      </c>
      <c r="L474" s="26">
        <v>521500</v>
      </c>
      <c r="M474" s="26">
        <v>0</v>
      </c>
      <c r="N474" s="26">
        <v>10500000</v>
      </c>
      <c r="O474" s="26">
        <v>0</v>
      </c>
      <c r="P474" s="26">
        <v>3710</v>
      </c>
      <c r="Q474" s="26">
        <v>20</v>
      </c>
      <c r="R474" s="26">
        <v>213839</v>
      </c>
      <c r="S474" s="26">
        <v>7137</v>
      </c>
      <c r="T474" s="26">
        <v>3693</v>
      </c>
      <c r="U474" s="26">
        <v>0</v>
      </c>
      <c r="V474" s="26">
        <v>0</v>
      </c>
      <c r="W474" s="26">
        <v>599</v>
      </c>
      <c r="X474" s="26">
        <v>7</v>
      </c>
      <c r="Y474" s="26">
        <v>8397682</v>
      </c>
      <c r="Z474" s="26">
        <v>46748</v>
      </c>
      <c r="AA474" s="26">
        <v>9783</v>
      </c>
      <c r="AB474" s="26">
        <v>1258</v>
      </c>
      <c r="AC474" s="26" t="s">
        <v>31</v>
      </c>
      <c r="AD474" s="26" t="s">
        <v>31</v>
      </c>
      <c r="AE474" s="26" t="s">
        <v>31</v>
      </c>
      <c r="AF474" s="26" t="s">
        <v>31</v>
      </c>
      <c r="AG474" s="26">
        <v>822</v>
      </c>
      <c r="AH474" s="26">
        <v>110</v>
      </c>
    </row>
    <row r="475" spans="1:34" x14ac:dyDescent="0.2">
      <c r="A475" s="10">
        <f t="shared" si="34"/>
        <v>2026</v>
      </c>
      <c r="B475" s="10">
        <f t="shared" si="35"/>
        <v>6</v>
      </c>
      <c r="D475" s="10" t="s">
        <v>134</v>
      </c>
      <c r="E475" s="25" t="d">
        <v>2026-06-01</v>
      </c>
      <c r="F475" s="26">
        <v>361146</v>
      </c>
      <c r="G475" s="26">
        <v>34892</v>
      </c>
      <c r="H475" s="26">
        <v>216330865</v>
      </c>
      <c r="I475" s="26">
        <v>16749176</v>
      </c>
      <c r="J475" s="26">
        <v>2046776</v>
      </c>
      <c r="K475" s="26">
        <v>181351</v>
      </c>
      <c r="L475" s="26">
        <v>521500</v>
      </c>
      <c r="M475" s="26">
        <v>0</v>
      </c>
      <c r="N475" s="26">
        <v>10500000</v>
      </c>
      <c r="O475" s="26">
        <v>0</v>
      </c>
      <c r="P475" s="26">
        <v>3730</v>
      </c>
      <c r="Q475" s="26">
        <v>20</v>
      </c>
      <c r="R475" s="26">
        <v>222044</v>
      </c>
      <c r="S475" s="26">
        <v>8205</v>
      </c>
      <c r="T475" s="26">
        <v>3693</v>
      </c>
      <c r="U475" s="26">
        <v>0</v>
      </c>
      <c r="V475" s="26">
        <v>0</v>
      </c>
      <c r="W475" s="26">
        <v>606</v>
      </c>
      <c r="X475" s="26">
        <v>7</v>
      </c>
      <c r="Y475" s="26">
        <v>9022506</v>
      </c>
      <c r="Z475" s="26">
        <v>624824</v>
      </c>
      <c r="AA475" s="26">
        <v>11535</v>
      </c>
      <c r="AB475" s="26">
        <v>1752</v>
      </c>
      <c r="AC475" s="26" t="s">
        <v>31</v>
      </c>
      <c r="AD475" s="26" t="s">
        <v>31</v>
      </c>
      <c r="AE475" s="26" t="s">
        <v>31</v>
      </c>
      <c r="AF475" s="26" t="s">
        <v>31</v>
      </c>
      <c r="AG475" s="26">
        <v>946</v>
      </c>
      <c r="AH475" s="26">
        <v>124</v>
      </c>
    </row>
    <row r="476" spans="1:34" x14ac:dyDescent="0.2">
      <c r="A476" s="10">
        <f t="shared" si="34"/>
        <v>2026</v>
      </c>
      <c r="B476" s="10">
        <f t="shared" si="35"/>
        <v>7</v>
      </c>
      <c r="D476" s="10" t="s">
        <v>134</v>
      </c>
      <c r="E476" s="25" t="d">
        <v>2026-07-01</v>
      </c>
      <c r="F476" s="26">
        <v>397115</v>
      </c>
      <c r="G476" s="26">
        <v>35969</v>
      </c>
      <c r="H476" s="26">
        <v>232932135</v>
      </c>
      <c r="I476" s="26">
        <v>16577189</v>
      </c>
      <c r="J476" s="26">
        <v>2064828</v>
      </c>
      <c r="K476" s="26">
        <v>18052</v>
      </c>
      <c r="L476" s="26">
        <v>521500</v>
      </c>
      <c r="M476" s="26">
        <v>0</v>
      </c>
      <c r="N476" s="26">
        <v>10500000</v>
      </c>
      <c r="O476" s="26">
        <v>0</v>
      </c>
      <c r="P476" s="26">
        <v>3740</v>
      </c>
      <c r="Q476" s="26">
        <v>10</v>
      </c>
      <c r="R476" s="26">
        <v>230529</v>
      </c>
      <c r="S476" s="26">
        <v>8485</v>
      </c>
      <c r="T476" s="26">
        <v>3693</v>
      </c>
      <c r="U476" s="26">
        <v>0</v>
      </c>
      <c r="V476" s="26">
        <v>0</v>
      </c>
      <c r="W476" s="26">
        <v>613</v>
      </c>
      <c r="X476" s="26">
        <v>7</v>
      </c>
      <c r="Y476" s="26">
        <v>9280889</v>
      </c>
      <c r="Z476" s="26">
        <v>258383</v>
      </c>
      <c r="AA476" s="26">
        <v>11686</v>
      </c>
      <c r="AB476" s="26">
        <v>151</v>
      </c>
      <c r="AC476" s="26" t="s">
        <v>31</v>
      </c>
      <c r="AD476" s="26" t="s">
        <v>31</v>
      </c>
      <c r="AE476" s="26" t="s">
        <v>31</v>
      </c>
      <c r="AF476" s="26" t="s">
        <v>31</v>
      </c>
      <c r="AG476" s="26">
        <v>1031</v>
      </c>
      <c r="AH476" s="26">
        <v>85</v>
      </c>
    </row>
    <row r="477" spans="1:34" x14ac:dyDescent="0.2">
      <c r="A477" s="10">
        <f t="shared" ref="A477:A501" si="36">YEAR(E477)</f>
        <v>2024</v>
      </c>
      <c r="B477" s="10">
        <f t="shared" ref="B477:B501" si="37">MONTH(E477)</f>
        <v>7</v>
      </c>
      <c r="D477" s="10" t="s">
        <v>287</v>
      </c>
      <c r="E477" s="25" t="d">
        <v>2024-07-01</v>
      </c>
      <c r="F477" s="26">
        <v>174</v>
      </c>
      <c r="G477" s="26">
        <v>75</v>
      </c>
      <c r="H477" s="26">
        <v>6005169</v>
      </c>
      <c r="I477" s="26">
        <v>830737</v>
      </c>
      <c r="J477" s="26" t="s">
        <v>31</v>
      </c>
      <c r="K477" s="26" t="s">
        <v>31</v>
      </c>
      <c r="L477" s="26" t="s">
        <v>31</v>
      </c>
      <c r="M477" s="26" t="s">
        <v>31</v>
      </c>
      <c r="N477" s="26" t="s">
        <v>31</v>
      </c>
      <c r="O477" s="26" t="s">
        <v>31</v>
      </c>
      <c r="P477" s="26" t="s">
        <v>31</v>
      </c>
      <c r="Q477" s="26" t="s">
        <v>31</v>
      </c>
      <c r="R477" s="26" t="s">
        <v>31</v>
      </c>
      <c r="S477" s="26" t="s">
        <v>31</v>
      </c>
      <c r="T477" s="26">
        <v>49824</v>
      </c>
      <c r="U477" s="26">
        <v>11139</v>
      </c>
      <c r="V477" s="26">
        <v>15000</v>
      </c>
      <c r="W477" s="26" t="s">
        <v>31</v>
      </c>
      <c r="X477" s="26" t="s">
        <v>31</v>
      </c>
      <c r="Y477" s="26" t="s">
        <v>31</v>
      </c>
      <c r="Z477" s="26" t="s">
        <v>31</v>
      </c>
      <c r="AA477" s="26">
        <v>2742</v>
      </c>
      <c r="AB477" s="26">
        <v>312</v>
      </c>
      <c r="AC477" s="26" t="s">
        <v>31</v>
      </c>
      <c r="AD477" s="26" t="s">
        <v>31</v>
      </c>
      <c r="AE477" s="26" t="s">
        <v>31</v>
      </c>
      <c r="AF477" s="26" t="s">
        <v>31</v>
      </c>
      <c r="AG477" s="26">
        <v>1</v>
      </c>
      <c r="AH477" s="26">
        <v>0</v>
      </c>
    </row>
    <row r="478" spans="1:34" x14ac:dyDescent="0.2">
      <c r="A478" s="10">
        <f t="shared" si="36"/>
        <v>2024</v>
      </c>
      <c r="B478" s="10">
        <f t="shared" si="37"/>
        <v>8</v>
      </c>
      <c r="D478" s="10" t="s">
        <v>287</v>
      </c>
      <c r="E478" s="25" t="d">
        <v>2024-08-01</v>
      </c>
      <c r="F478" s="26">
        <v>270</v>
      </c>
      <c r="G478" s="26">
        <v>96</v>
      </c>
      <c r="H478" s="26">
        <v>6597159</v>
      </c>
      <c r="I478" s="26">
        <v>588834</v>
      </c>
      <c r="J478" s="26" t="s">
        <v>31</v>
      </c>
      <c r="K478" s="26" t="s">
        <v>31</v>
      </c>
      <c r="L478" s="26" t="s">
        <v>31</v>
      </c>
      <c r="M478" s="26" t="s">
        <v>31</v>
      </c>
      <c r="N478" s="26" t="s">
        <v>31</v>
      </c>
      <c r="O478" s="26" t="s">
        <v>31</v>
      </c>
      <c r="P478" s="26" t="s">
        <v>31</v>
      </c>
      <c r="Q478" s="26" t="s">
        <v>31</v>
      </c>
      <c r="R478" s="26" t="s">
        <v>31</v>
      </c>
      <c r="S478" s="26" t="s">
        <v>31</v>
      </c>
      <c r="T478" s="26">
        <v>64834</v>
      </c>
      <c r="U478" s="26">
        <v>15010</v>
      </c>
      <c r="V478" s="26">
        <v>0</v>
      </c>
      <c r="W478" s="26" t="s">
        <v>31</v>
      </c>
      <c r="X478" s="26" t="s">
        <v>31</v>
      </c>
      <c r="Y478" s="26" t="s">
        <v>31</v>
      </c>
      <c r="Z478" s="26" t="s">
        <v>31</v>
      </c>
      <c r="AA478" s="26">
        <v>2998</v>
      </c>
      <c r="AB478" s="26">
        <v>256</v>
      </c>
      <c r="AC478" s="26" t="s">
        <v>31</v>
      </c>
      <c r="AD478" s="26" t="s">
        <v>31</v>
      </c>
      <c r="AE478" s="26" t="s">
        <v>31</v>
      </c>
      <c r="AF478" s="26" t="s">
        <v>31</v>
      </c>
      <c r="AG478" s="26">
        <v>3</v>
      </c>
      <c r="AH478" s="26">
        <v>2</v>
      </c>
    </row>
    <row r="479" spans="1:34" x14ac:dyDescent="0.2">
      <c r="A479" s="10">
        <f t="shared" si="36"/>
        <v>2024</v>
      </c>
      <c r="B479" s="10">
        <f t="shared" si="37"/>
        <v>9</v>
      </c>
      <c r="D479" s="10" t="s">
        <v>287</v>
      </c>
      <c r="E479" s="25" t="d">
        <v>2024-09-01</v>
      </c>
      <c r="F479" s="26">
        <v>376</v>
      </c>
      <c r="G479" s="26">
        <v>106</v>
      </c>
      <c r="H479" s="26">
        <v>7102581</v>
      </c>
      <c r="I479" s="26">
        <v>496806</v>
      </c>
      <c r="J479" s="26" t="s">
        <v>31</v>
      </c>
      <c r="K479" s="26" t="s">
        <v>31</v>
      </c>
      <c r="L479" s="26" t="s">
        <v>31</v>
      </c>
      <c r="M479" s="26" t="s">
        <v>31</v>
      </c>
      <c r="N479" s="26" t="s">
        <v>31</v>
      </c>
      <c r="O479" s="26" t="s">
        <v>31</v>
      </c>
      <c r="P479" s="26" t="s">
        <v>31</v>
      </c>
      <c r="Q479" s="26" t="s">
        <v>31</v>
      </c>
      <c r="R479" s="26" t="s">
        <v>31</v>
      </c>
      <c r="S479" s="26" t="s">
        <v>31</v>
      </c>
      <c r="T479" s="26">
        <v>64834</v>
      </c>
      <c r="U479" s="26">
        <v>0</v>
      </c>
      <c r="V479" s="26">
        <v>0</v>
      </c>
      <c r="W479" s="26" t="s">
        <v>31</v>
      </c>
      <c r="X479" s="26" t="s">
        <v>31</v>
      </c>
      <c r="Y479" s="26" t="s">
        <v>31</v>
      </c>
      <c r="Z479" s="26" t="s">
        <v>31</v>
      </c>
      <c r="AA479" s="26">
        <v>3368</v>
      </c>
      <c r="AB479" s="26">
        <v>370</v>
      </c>
      <c r="AC479" s="26" t="s">
        <v>31</v>
      </c>
      <c r="AD479" s="26" t="s">
        <v>31</v>
      </c>
      <c r="AE479" s="26" t="s">
        <v>31</v>
      </c>
      <c r="AF479" s="26" t="s">
        <v>31</v>
      </c>
      <c r="AG479" s="26">
        <v>3</v>
      </c>
      <c r="AH479" s="26">
        <v>0</v>
      </c>
    </row>
    <row r="480" spans="1:34" x14ac:dyDescent="0.2">
      <c r="A480" s="10">
        <f t="shared" si="36"/>
        <v>2024</v>
      </c>
      <c r="B480" s="10">
        <f t="shared" si="37"/>
        <v>10</v>
      </c>
      <c r="D480" s="10" t="s">
        <v>287</v>
      </c>
      <c r="E480" s="25" t="d">
        <v>2024-10-01</v>
      </c>
      <c r="F480" s="26">
        <v>654</v>
      </c>
      <c r="G480" s="26">
        <v>278</v>
      </c>
      <c r="H480" s="26">
        <v>7620884</v>
      </c>
      <c r="I480" s="26">
        <v>437176</v>
      </c>
      <c r="J480" s="26">
        <v>22211</v>
      </c>
      <c r="K480" s="26">
        <v>21820</v>
      </c>
      <c r="L480" s="26" t="s">
        <v>31</v>
      </c>
      <c r="M480" s="26" t="s">
        <v>31</v>
      </c>
      <c r="N480" s="26" t="s">
        <v>31</v>
      </c>
      <c r="O480" s="26" t="s">
        <v>31</v>
      </c>
      <c r="P480" s="26" t="s">
        <v>31</v>
      </c>
      <c r="Q480" s="26" t="s">
        <v>31</v>
      </c>
      <c r="R480" s="26" t="s">
        <v>31</v>
      </c>
      <c r="S480" s="26" t="s">
        <v>31</v>
      </c>
      <c r="T480" s="26">
        <v>79463</v>
      </c>
      <c r="U480" s="26">
        <v>14629</v>
      </c>
      <c r="V480" s="26">
        <v>0</v>
      </c>
      <c r="W480" s="26" t="s">
        <v>31</v>
      </c>
      <c r="X480" s="26" t="s">
        <v>31</v>
      </c>
      <c r="Y480" s="26" t="s">
        <v>31</v>
      </c>
      <c r="Z480" s="26" t="s">
        <v>31</v>
      </c>
      <c r="AA480" s="26">
        <v>3922</v>
      </c>
      <c r="AB480" s="26">
        <v>554</v>
      </c>
      <c r="AC480" s="26" t="s">
        <v>31</v>
      </c>
      <c r="AD480" s="26" t="s">
        <v>31</v>
      </c>
      <c r="AE480" s="26" t="s">
        <v>31</v>
      </c>
      <c r="AF480" s="26" t="s">
        <v>31</v>
      </c>
      <c r="AG480" s="26">
        <v>4</v>
      </c>
      <c r="AH480" s="26">
        <v>1</v>
      </c>
    </row>
    <row r="481" spans="1:34" x14ac:dyDescent="0.2">
      <c r="A481" s="10">
        <f t="shared" si="36"/>
        <v>2024</v>
      </c>
      <c r="B481" s="10">
        <f t="shared" si="37"/>
        <v>11</v>
      </c>
      <c r="D481" s="10" t="s">
        <v>287</v>
      </c>
      <c r="E481" s="25" t="d">
        <v>2024-11-01</v>
      </c>
      <c r="F481" s="26">
        <v>1292</v>
      </c>
      <c r="G481" s="26">
        <v>638</v>
      </c>
      <c r="H481" s="26">
        <v>8812449</v>
      </c>
      <c r="I481" s="26">
        <v>1191565</v>
      </c>
      <c r="J481" s="26">
        <v>36827</v>
      </c>
      <c r="K481" s="26">
        <v>14616</v>
      </c>
      <c r="L481" s="26" t="s">
        <v>31</v>
      </c>
      <c r="M481" s="26" t="s">
        <v>31</v>
      </c>
      <c r="N481" s="26" t="s">
        <v>31</v>
      </c>
      <c r="O481" s="26" t="s">
        <v>31</v>
      </c>
      <c r="P481" s="26" t="s">
        <v>31</v>
      </c>
      <c r="Q481" s="26" t="s">
        <v>31</v>
      </c>
      <c r="R481" s="26" t="s">
        <v>31</v>
      </c>
      <c r="S481" s="26" t="s">
        <v>31</v>
      </c>
      <c r="T481" s="26">
        <v>94639</v>
      </c>
      <c r="U481" s="26">
        <v>15176</v>
      </c>
      <c r="V481" s="26">
        <v>0</v>
      </c>
      <c r="W481" s="26" t="s">
        <v>31</v>
      </c>
      <c r="X481" s="26" t="s">
        <v>31</v>
      </c>
      <c r="Y481" s="26" t="s">
        <v>31</v>
      </c>
      <c r="Z481" s="26" t="s">
        <v>31</v>
      </c>
      <c r="AA481" s="26">
        <v>4386</v>
      </c>
      <c r="AB481" s="26">
        <v>464</v>
      </c>
      <c r="AC481" s="26" t="s">
        <v>31</v>
      </c>
      <c r="AD481" s="26" t="s">
        <v>31</v>
      </c>
      <c r="AE481" s="26" t="s">
        <v>31</v>
      </c>
      <c r="AF481" s="26" t="s">
        <v>31</v>
      </c>
      <c r="AG481" s="26">
        <v>5</v>
      </c>
      <c r="AH481" s="26">
        <v>1</v>
      </c>
    </row>
    <row r="482" spans="1:34" x14ac:dyDescent="0.2">
      <c r="A482" s="10">
        <f t="shared" si="36"/>
        <v>2024</v>
      </c>
      <c r="B482" s="10">
        <f t="shared" si="37"/>
        <v>12</v>
      </c>
      <c r="D482" s="10" t="s">
        <v>287</v>
      </c>
      <c r="E482" s="25" t="d">
        <v>2024-12-01</v>
      </c>
      <c r="F482" s="26">
        <v>1977</v>
      </c>
      <c r="G482" s="26">
        <v>685</v>
      </c>
      <c r="H482" s="26">
        <v>10031791</v>
      </c>
      <c r="I482" s="26">
        <v>1211108</v>
      </c>
      <c r="J482" s="26">
        <v>10548</v>
      </c>
      <c r="K482" s="26">
        <v>-26279</v>
      </c>
      <c r="L482" s="26" t="s">
        <v>31</v>
      </c>
      <c r="M482" s="26" t="s">
        <v>31</v>
      </c>
      <c r="N482" s="26" t="s">
        <v>31</v>
      </c>
      <c r="O482" s="26" t="s">
        <v>31</v>
      </c>
      <c r="P482" s="26" t="s">
        <v>31</v>
      </c>
      <c r="Q482" s="26" t="s">
        <v>31</v>
      </c>
      <c r="R482" s="26" t="s">
        <v>31</v>
      </c>
      <c r="S482" s="26" t="s">
        <v>31</v>
      </c>
      <c r="T482" s="26">
        <v>106029</v>
      </c>
      <c r="U482" s="26">
        <v>11390</v>
      </c>
      <c r="V482" s="26">
        <v>12445</v>
      </c>
      <c r="W482" s="26" t="s">
        <v>31</v>
      </c>
      <c r="X482" s="26" t="s">
        <v>31</v>
      </c>
      <c r="Y482" s="26" t="s">
        <v>31</v>
      </c>
      <c r="Z482" s="26" t="s">
        <v>31</v>
      </c>
      <c r="AA482" s="26">
        <v>4663</v>
      </c>
      <c r="AB482" s="26">
        <v>277</v>
      </c>
      <c r="AC482" s="26" t="s">
        <v>31</v>
      </c>
      <c r="AD482" s="26" t="s">
        <v>31</v>
      </c>
      <c r="AE482" s="26" t="s">
        <v>31</v>
      </c>
      <c r="AF482" s="26" t="s">
        <v>31</v>
      </c>
      <c r="AG482" s="26">
        <v>5</v>
      </c>
      <c r="AH482" s="26">
        <v>0</v>
      </c>
    </row>
    <row r="483" spans="1:34" x14ac:dyDescent="0.2">
      <c r="A483" s="10">
        <f t="shared" si="36"/>
        <v>2025</v>
      </c>
      <c r="B483" s="10">
        <f t="shared" si="37"/>
        <v>1</v>
      </c>
      <c r="D483" s="10" t="s">
        <v>287</v>
      </c>
      <c r="E483" s="25" t="d">
        <v>2025-01-01</v>
      </c>
      <c r="F483" s="26">
        <v>3629</v>
      </c>
      <c r="G483" s="26">
        <v>1652</v>
      </c>
      <c r="H483" s="26">
        <v>14319091</v>
      </c>
      <c r="I483" s="26">
        <v>3911801</v>
      </c>
      <c r="J483" s="26">
        <v>78389</v>
      </c>
      <c r="K483" s="26">
        <v>67841</v>
      </c>
      <c r="L483" s="26" t="s">
        <v>31</v>
      </c>
      <c r="M483" s="26" t="s">
        <v>31</v>
      </c>
      <c r="N483" s="26" t="s">
        <v>31</v>
      </c>
      <c r="O483" s="26" t="s">
        <v>31</v>
      </c>
      <c r="P483" s="26" t="s">
        <v>31</v>
      </c>
      <c r="Q483" s="26" t="s">
        <v>31</v>
      </c>
      <c r="R483" s="26" t="s">
        <v>31</v>
      </c>
      <c r="S483" s="26" t="s">
        <v>31</v>
      </c>
      <c r="T483" s="26">
        <v>106029</v>
      </c>
      <c r="U483" s="26">
        <v>0</v>
      </c>
      <c r="V483" s="26">
        <v>0</v>
      </c>
      <c r="W483" s="26" t="s">
        <v>31</v>
      </c>
      <c r="X483" s="26" t="s">
        <v>31</v>
      </c>
      <c r="Y483" s="26" t="s">
        <v>31</v>
      </c>
      <c r="Z483" s="26" t="s">
        <v>31</v>
      </c>
      <c r="AA483" s="26">
        <v>5318</v>
      </c>
      <c r="AB483" s="26">
        <v>655</v>
      </c>
      <c r="AC483" s="26" t="s">
        <v>31</v>
      </c>
      <c r="AD483" s="26" t="s">
        <v>31</v>
      </c>
      <c r="AE483" s="26" t="s">
        <v>31</v>
      </c>
      <c r="AF483" s="26" t="s">
        <v>31</v>
      </c>
      <c r="AG483" s="26">
        <v>7</v>
      </c>
      <c r="AH483" s="26">
        <v>2</v>
      </c>
    </row>
    <row r="484" spans="1:34" x14ac:dyDescent="0.2">
      <c r="A484" s="10">
        <f t="shared" si="36"/>
        <v>2025</v>
      </c>
      <c r="B484" s="10">
        <f t="shared" si="37"/>
        <v>2</v>
      </c>
      <c r="D484" s="10" t="s">
        <v>287</v>
      </c>
      <c r="E484" s="25" t="d">
        <v>2025-02-01</v>
      </c>
      <c r="F484" s="26">
        <v>5727</v>
      </c>
      <c r="G484" s="26">
        <v>2098</v>
      </c>
      <c r="H484" s="26">
        <v>17959168</v>
      </c>
      <c r="I484" s="26">
        <v>3640077</v>
      </c>
      <c r="J484" s="26">
        <v>40033</v>
      </c>
      <c r="K484" s="26">
        <v>-38356</v>
      </c>
      <c r="L484" s="26" t="s">
        <v>31</v>
      </c>
      <c r="M484" s="26" t="s">
        <v>31</v>
      </c>
      <c r="N484" s="26" t="s">
        <v>31</v>
      </c>
      <c r="O484" s="26" t="s">
        <v>31</v>
      </c>
      <c r="P484" s="26" t="s">
        <v>31</v>
      </c>
      <c r="Q484" s="26" t="s">
        <v>31</v>
      </c>
      <c r="R484" s="26" t="s">
        <v>31</v>
      </c>
      <c r="S484" s="26" t="s">
        <v>31</v>
      </c>
      <c r="T484" s="26">
        <v>138304</v>
      </c>
      <c r="U484" s="26">
        <v>32275</v>
      </c>
      <c r="V484" s="26">
        <v>5571</v>
      </c>
      <c r="W484" s="26" t="s">
        <v>31</v>
      </c>
      <c r="X484" s="26" t="s">
        <v>31</v>
      </c>
      <c r="Y484" s="26" t="s">
        <v>31</v>
      </c>
      <c r="Z484" s="26" t="s">
        <v>31</v>
      </c>
      <c r="AA484" s="26">
        <v>7816</v>
      </c>
      <c r="AB484" s="26">
        <v>2498</v>
      </c>
      <c r="AC484" s="26" t="s">
        <v>31</v>
      </c>
      <c r="AD484" s="26" t="s">
        <v>31</v>
      </c>
      <c r="AE484" s="26" t="s">
        <v>31</v>
      </c>
      <c r="AF484" s="26" t="s">
        <v>31</v>
      </c>
      <c r="AG484" s="26">
        <v>9</v>
      </c>
      <c r="AH484" s="26">
        <v>2</v>
      </c>
    </row>
    <row r="485" spans="1:34" x14ac:dyDescent="0.2">
      <c r="A485" s="10">
        <f t="shared" si="36"/>
        <v>2025</v>
      </c>
      <c r="B485" s="10">
        <f t="shared" si="37"/>
        <v>3</v>
      </c>
      <c r="D485" s="10" t="s">
        <v>287</v>
      </c>
      <c r="E485" s="25" t="d">
        <v>2025-03-01</v>
      </c>
      <c r="F485" s="26">
        <v>8739</v>
      </c>
      <c r="G485" s="26">
        <v>3012</v>
      </c>
      <c r="H485" s="26">
        <v>21397223</v>
      </c>
      <c r="I485" s="26">
        <v>3391997</v>
      </c>
      <c r="J485" s="26">
        <v>167503</v>
      </c>
      <c r="K485" s="26">
        <v>127470</v>
      </c>
      <c r="L485" s="26" t="s">
        <v>31</v>
      </c>
      <c r="M485" s="26" t="s">
        <v>31</v>
      </c>
      <c r="N485" s="26" t="s">
        <v>31</v>
      </c>
      <c r="O485" s="26" t="s">
        <v>31</v>
      </c>
      <c r="P485" s="26" t="s">
        <v>31</v>
      </c>
      <c r="Q485" s="26" t="s">
        <v>31</v>
      </c>
      <c r="R485" s="26" t="s">
        <v>31</v>
      </c>
      <c r="S485" s="26" t="s">
        <v>31</v>
      </c>
      <c r="T485" s="26">
        <v>142364</v>
      </c>
      <c r="U485" s="26">
        <v>4060</v>
      </c>
      <c r="V485" s="26">
        <v>25050</v>
      </c>
      <c r="W485" s="26" t="s">
        <v>31</v>
      </c>
      <c r="X485" s="26" t="s">
        <v>31</v>
      </c>
      <c r="Y485" s="26" t="s">
        <v>31</v>
      </c>
      <c r="Z485" s="26" t="s">
        <v>31</v>
      </c>
      <c r="AA485" s="26">
        <v>9116</v>
      </c>
      <c r="AB485" s="26">
        <v>1300</v>
      </c>
      <c r="AC485" s="26" t="s">
        <v>31</v>
      </c>
      <c r="AD485" s="26" t="s">
        <v>31</v>
      </c>
      <c r="AE485" s="26" t="s">
        <v>31</v>
      </c>
      <c r="AF485" s="26" t="s">
        <v>31</v>
      </c>
      <c r="AG485" s="26">
        <v>17</v>
      </c>
      <c r="AH485" s="26">
        <v>8</v>
      </c>
    </row>
    <row r="486" spans="1:34" x14ac:dyDescent="0.2">
      <c r="A486" s="10">
        <f t="shared" si="36"/>
        <v>2025</v>
      </c>
      <c r="B486" s="10">
        <f t="shared" si="37"/>
        <v>4</v>
      </c>
      <c r="D486" s="10" t="s">
        <v>287</v>
      </c>
      <c r="E486" s="25" t="d">
        <v>2025-04-01</v>
      </c>
      <c r="F486" s="26">
        <v>12742</v>
      </c>
      <c r="G486" s="26">
        <v>4003</v>
      </c>
      <c r="H486" s="26">
        <v>25343217</v>
      </c>
      <c r="I486" s="26">
        <v>3858743</v>
      </c>
      <c r="J486" s="26">
        <v>288570</v>
      </c>
      <c r="K486" s="26">
        <v>121067</v>
      </c>
      <c r="L486" s="26" t="s">
        <v>31</v>
      </c>
      <c r="M486" s="26" t="s">
        <v>31</v>
      </c>
      <c r="N486" s="26" t="s">
        <v>31</v>
      </c>
      <c r="O486" s="26" t="s">
        <v>31</v>
      </c>
      <c r="P486" s="26" t="s">
        <v>31</v>
      </c>
      <c r="Q486" s="26" t="s">
        <v>31</v>
      </c>
      <c r="R486" s="26" t="s">
        <v>31</v>
      </c>
      <c r="S486" s="26" t="s">
        <v>31</v>
      </c>
      <c r="T486" s="26">
        <v>160322</v>
      </c>
      <c r="U486" s="26">
        <v>17958</v>
      </c>
      <c r="V486" s="26">
        <v>3264</v>
      </c>
      <c r="W486" s="26" t="s">
        <v>31</v>
      </c>
      <c r="X486" s="26" t="s">
        <v>31</v>
      </c>
      <c r="Y486" s="26" t="s">
        <v>31</v>
      </c>
      <c r="Z486" s="26" t="s">
        <v>31</v>
      </c>
      <c r="AA486" s="26">
        <v>10867</v>
      </c>
      <c r="AB486" s="26">
        <v>1751</v>
      </c>
      <c r="AC486" s="26" t="s">
        <v>31</v>
      </c>
      <c r="AD486" s="26" t="s">
        <v>31</v>
      </c>
      <c r="AE486" s="26" t="s">
        <v>31</v>
      </c>
      <c r="AF486" s="26" t="s">
        <v>31</v>
      </c>
      <c r="AG486" s="26">
        <v>21</v>
      </c>
      <c r="AH486" s="26">
        <v>4</v>
      </c>
    </row>
    <row r="487" spans="1:34" x14ac:dyDescent="0.2">
      <c r="A487" s="10">
        <f t="shared" si="36"/>
        <v>2025</v>
      </c>
      <c r="B487" s="10">
        <f t="shared" si="37"/>
        <v>5</v>
      </c>
      <c r="D487" s="10" t="s">
        <v>287</v>
      </c>
      <c r="E487" s="25" t="d">
        <v>2025-05-01</v>
      </c>
      <c r="F487" s="26">
        <v>17705</v>
      </c>
      <c r="G487" s="26">
        <v>4963</v>
      </c>
      <c r="H487" s="26">
        <v>31101220</v>
      </c>
      <c r="I487" s="26">
        <v>5658258</v>
      </c>
      <c r="J487" s="26">
        <v>915265</v>
      </c>
      <c r="K487" s="26">
        <v>626695</v>
      </c>
      <c r="L487" s="26" t="s">
        <v>31</v>
      </c>
      <c r="M487" s="26" t="s">
        <v>31</v>
      </c>
      <c r="N487" s="26" t="s">
        <v>31</v>
      </c>
      <c r="O487" s="26" t="s">
        <v>31</v>
      </c>
      <c r="P487" s="26" t="s">
        <v>31</v>
      </c>
      <c r="Q487" s="26" t="s">
        <v>31</v>
      </c>
      <c r="R487" s="26" t="s">
        <v>31</v>
      </c>
      <c r="S487" s="26" t="s">
        <v>31</v>
      </c>
      <c r="T487" s="26">
        <v>171917</v>
      </c>
      <c r="U487" s="26">
        <v>11595</v>
      </c>
      <c r="V487" s="26">
        <v>21809</v>
      </c>
      <c r="W487" s="26" t="s">
        <v>31</v>
      </c>
      <c r="X487" s="26" t="s">
        <v>31</v>
      </c>
      <c r="Y487" s="26" t="s">
        <v>31</v>
      </c>
      <c r="Z487" s="26" t="s">
        <v>31</v>
      </c>
      <c r="AA487" s="26">
        <v>14006</v>
      </c>
      <c r="AB487" s="26">
        <v>3139</v>
      </c>
      <c r="AC487" s="26" t="s">
        <v>31</v>
      </c>
      <c r="AD487" s="26" t="s">
        <v>31</v>
      </c>
      <c r="AE487" s="26" t="s">
        <v>31</v>
      </c>
      <c r="AF487" s="26" t="s">
        <v>31</v>
      </c>
      <c r="AG487" s="26">
        <v>34</v>
      </c>
      <c r="AH487" s="26">
        <v>13</v>
      </c>
    </row>
    <row r="488" spans="1:34" x14ac:dyDescent="0.2">
      <c r="A488" s="10">
        <f t="shared" si="36"/>
        <v>2025</v>
      </c>
      <c r="B488" s="10">
        <f t="shared" si="37"/>
        <v>6</v>
      </c>
      <c r="D488" s="10" t="s">
        <v>287</v>
      </c>
      <c r="E488" s="25" t="d">
        <v>2025-06-01</v>
      </c>
      <c r="F488" s="26">
        <v>22023</v>
      </c>
      <c r="G488" s="26">
        <v>4318</v>
      </c>
      <c r="H488" s="26">
        <v>39175992</v>
      </c>
      <c r="I488" s="26">
        <v>8015562</v>
      </c>
      <c r="J488" s="26">
        <v>1236600</v>
      </c>
      <c r="K488" s="26">
        <v>321335</v>
      </c>
      <c r="L488" s="26" t="s">
        <v>31</v>
      </c>
      <c r="M488" s="26" t="s">
        <v>31</v>
      </c>
      <c r="N488" s="26" t="s">
        <v>31</v>
      </c>
      <c r="O488" s="26" t="s">
        <v>31</v>
      </c>
      <c r="P488" s="26" t="s">
        <v>31</v>
      </c>
      <c r="Q488" s="26" t="s">
        <v>31</v>
      </c>
      <c r="R488" s="26" t="s">
        <v>31</v>
      </c>
      <c r="S488" s="26" t="s">
        <v>31</v>
      </c>
      <c r="T488" s="26">
        <v>187363</v>
      </c>
      <c r="U488" s="26">
        <v>15446</v>
      </c>
      <c r="V488" s="26">
        <v>34585</v>
      </c>
      <c r="W488" s="26" t="s">
        <v>31</v>
      </c>
      <c r="X488" s="26" t="s">
        <v>31</v>
      </c>
      <c r="Y488" s="26" t="s">
        <v>31</v>
      </c>
      <c r="Z488" s="26" t="s">
        <v>31</v>
      </c>
      <c r="AA488" s="26">
        <v>17150</v>
      </c>
      <c r="AB488" s="26">
        <v>3144</v>
      </c>
      <c r="AC488" s="26" t="s">
        <v>31</v>
      </c>
      <c r="AD488" s="26" t="s">
        <v>31</v>
      </c>
      <c r="AE488" s="26" t="s">
        <v>31</v>
      </c>
      <c r="AF488" s="26" t="s">
        <v>31</v>
      </c>
      <c r="AG488" s="26">
        <v>56</v>
      </c>
      <c r="AH488" s="26">
        <v>22</v>
      </c>
    </row>
    <row r="489" spans="1:34" x14ac:dyDescent="0.2">
      <c r="A489" s="10">
        <f t="shared" si="36"/>
        <v>2025</v>
      </c>
      <c r="B489" s="10">
        <f t="shared" si="37"/>
        <v>7</v>
      </c>
      <c r="D489" s="10" t="s">
        <v>287</v>
      </c>
      <c r="E489" s="25" t="d">
        <v>2025-07-01</v>
      </c>
      <c r="F489" s="26">
        <v>26225</v>
      </c>
      <c r="G489" s="26">
        <v>4202</v>
      </c>
      <c r="H489" s="26">
        <v>46061464</v>
      </c>
      <c r="I489" s="26">
        <v>6885472</v>
      </c>
      <c r="J489" s="26">
        <v>1337841</v>
      </c>
      <c r="K489" s="26">
        <v>101241</v>
      </c>
      <c r="L489" s="26" t="s">
        <v>31</v>
      </c>
      <c r="M489" s="26" t="s">
        <v>31</v>
      </c>
      <c r="N489" s="26" t="s">
        <v>31</v>
      </c>
      <c r="O489" s="26" t="s">
        <v>31</v>
      </c>
      <c r="P489" s="26" t="s">
        <v>31</v>
      </c>
      <c r="Q489" s="26" t="s">
        <v>31</v>
      </c>
      <c r="R489" s="26" t="s">
        <v>31</v>
      </c>
      <c r="S489" s="26" t="s">
        <v>31</v>
      </c>
      <c r="T489" s="26">
        <v>195460</v>
      </c>
      <c r="U489" s="26">
        <v>8097</v>
      </c>
      <c r="V489" s="26">
        <v>31476</v>
      </c>
      <c r="W489" s="26" t="s">
        <v>31</v>
      </c>
      <c r="X489" s="26" t="s">
        <v>31</v>
      </c>
      <c r="Y489" s="26" t="s">
        <v>31</v>
      </c>
      <c r="Z489" s="26" t="s">
        <v>31</v>
      </c>
      <c r="AA489" s="26">
        <v>17558</v>
      </c>
      <c r="AB489" s="26">
        <v>408</v>
      </c>
      <c r="AC489" s="26" t="s">
        <v>31</v>
      </c>
      <c r="AD489" s="26" t="s">
        <v>31</v>
      </c>
      <c r="AE489" s="26" t="s">
        <v>31</v>
      </c>
      <c r="AF489" s="26" t="s">
        <v>31</v>
      </c>
      <c r="AG489" s="26">
        <v>108</v>
      </c>
      <c r="AH489" s="26">
        <v>52</v>
      </c>
    </row>
    <row r="490" spans="1:34" x14ac:dyDescent="0.2">
      <c r="A490" s="10">
        <f t="shared" si="36"/>
        <v>2025</v>
      </c>
      <c r="B490" s="10">
        <f t="shared" si="37"/>
        <v>8</v>
      </c>
      <c r="D490" s="10" t="s">
        <v>287</v>
      </c>
      <c r="E490" s="25" t="d">
        <v>2025-08-01</v>
      </c>
      <c r="F490" s="26">
        <v>30463</v>
      </c>
      <c r="G490" s="26">
        <v>4238</v>
      </c>
      <c r="H490" s="26">
        <v>55122125</v>
      </c>
      <c r="I490" s="26">
        <v>9004342</v>
      </c>
      <c r="J490" s="26">
        <v>1402783</v>
      </c>
      <c r="K490" s="26">
        <v>64942</v>
      </c>
      <c r="L490" s="26" t="s">
        <v>31</v>
      </c>
      <c r="M490" s="26" t="s">
        <v>31</v>
      </c>
      <c r="N490" s="26" t="s">
        <v>31</v>
      </c>
      <c r="O490" s="26" t="s">
        <v>31</v>
      </c>
      <c r="P490" s="26" t="s">
        <v>31</v>
      </c>
      <c r="Q490" s="26" t="s">
        <v>31</v>
      </c>
      <c r="R490" s="26" t="s">
        <v>31</v>
      </c>
      <c r="S490" s="26" t="s">
        <v>31</v>
      </c>
      <c r="T490" s="26">
        <v>212893</v>
      </c>
      <c r="U490" s="26">
        <v>17433</v>
      </c>
      <c r="V490" s="26">
        <v>22951</v>
      </c>
      <c r="W490" s="26" t="s">
        <v>31</v>
      </c>
      <c r="X490" s="26" t="s">
        <v>31</v>
      </c>
      <c r="Y490" s="26" t="s">
        <v>31</v>
      </c>
      <c r="Z490" s="26" t="s">
        <v>31</v>
      </c>
      <c r="AA490" s="26">
        <v>18257</v>
      </c>
      <c r="AB490" s="26">
        <v>699</v>
      </c>
      <c r="AC490" s="26" t="s">
        <v>31</v>
      </c>
      <c r="AD490" s="26" t="s">
        <v>31</v>
      </c>
      <c r="AE490" s="26" t="s">
        <v>31</v>
      </c>
      <c r="AF490" s="26" t="s">
        <v>31</v>
      </c>
      <c r="AG490" s="26">
        <v>190</v>
      </c>
      <c r="AH490" s="26">
        <v>82</v>
      </c>
    </row>
    <row r="491" spans="1:34" x14ac:dyDescent="0.2">
      <c r="A491" s="10">
        <f t="shared" si="36"/>
        <v>2025</v>
      </c>
      <c r="B491" s="10">
        <f t="shared" si="37"/>
        <v>9</v>
      </c>
      <c r="D491" s="10" t="s">
        <v>287</v>
      </c>
      <c r="E491" s="25" t="d">
        <v>2025-09-01</v>
      </c>
      <c r="F491" s="26">
        <v>34621</v>
      </c>
      <c r="G491" s="26">
        <v>4158</v>
      </c>
      <c r="H491" s="26">
        <v>60510741</v>
      </c>
      <c r="I491" s="26">
        <v>5369046</v>
      </c>
      <c r="J491" s="26">
        <v>1240734</v>
      </c>
      <c r="K491" s="26">
        <v>-162049</v>
      </c>
      <c r="L491" s="26" t="s">
        <v>31</v>
      </c>
      <c r="M491" s="26" t="s">
        <v>31</v>
      </c>
      <c r="N491" s="26" t="s">
        <v>31</v>
      </c>
      <c r="O491" s="26" t="s">
        <v>31</v>
      </c>
      <c r="P491" s="26" t="s">
        <v>31</v>
      </c>
      <c r="Q491" s="26" t="s">
        <v>31</v>
      </c>
      <c r="R491" s="26" t="s">
        <v>31</v>
      </c>
      <c r="S491" s="26" t="s">
        <v>31</v>
      </c>
      <c r="T491" s="26">
        <v>212893</v>
      </c>
      <c r="U491" s="26">
        <v>0</v>
      </c>
      <c r="V491" s="26">
        <v>0</v>
      </c>
      <c r="W491" s="26" t="s">
        <v>31</v>
      </c>
      <c r="X491" s="26" t="s">
        <v>31</v>
      </c>
      <c r="Y491" s="26" t="s">
        <v>31</v>
      </c>
      <c r="Z491" s="26" t="s">
        <v>31</v>
      </c>
      <c r="AA491" s="26">
        <v>18360</v>
      </c>
      <c r="AB491" s="26">
        <v>103</v>
      </c>
      <c r="AC491" s="26" t="s">
        <v>31</v>
      </c>
      <c r="AD491" s="26" t="s">
        <v>31</v>
      </c>
      <c r="AE491" s="26" t="s">
        <v>31</v>
      </c>
      <c r="AF491" s="26" t="s">
        <v>31</v>
      </c>
      <c r="AG491" s="26">
        <v>262</v>
      </c>
      <c r="AH491" s="26">
        <v>72</v>
      </c>
    </row>
    <row r="492" spans="1:34" x14ac:dyDescent="0.2">
      <c r="A492" s="10">
        <f t="shared" si="36"/>
        <v>2025</v>
      </c>
      <c r="B492" s="10">
        <f t="shared" si="37"/>
        <v>10</v>
      </c>
      <c r="D492" s="10" t="s">
        <v>287</v>
      </c>
      <c r="E492" s="25" t="d">
        <v>2025-10-01</v>
      </c>
      <c r="F492" s="26">
        <v>38609</v>
      </c>
      <c r="G492" s="26">
        <v>3988</v>
      </c>
      <c r="H492" s="26">
        <v>69923863</v>
      </c>
      <c r="I492" s="26">
        <v>9316200</v>
      </c>
      <c r="J492" s="26">
        <v>1113479</v>
      </c>
      <c r="K492" s="26">
        <v>-127255</v>
      </c>
      <c r="L492" s="26" t="s">
        <v>31</v>
      </c>
      <c r="M492" s="26" t="s">
        <v>31</v>
      </c>
      <c r="N492" s="26" t="s">
        <v>31</v>
      </c>
      <c r="O492" s="26" t="s">
        <v>31</v>
      </c>
      <c r="P492" s="26" t="s">
        <v>31</v>
      </c>
      <c r="Q492" s="26" t="s">
        <v>31</v>
      </c>
      <c r="R492" s="26" t="s">
        <v>31</v>
      </c>
      <c r="S492" s="26" t="s">
        <v>31</v>
      </c>
      <c r="T492" s="26">
        <v>225217</v>
      </c>
      <c r="U492" s="26">
        <v>12324</v>
      </c>
      <c r="V492" s="26">
        <v>0</v>
      </c>
      <c r="W492" s="26" t="s">
        <v>31</v>
      </c>
      <c r="X492" s="26" t="s">
        <v>31</v>
      </c>
      <c r="Y492" s="26" t="s">
        <v>31</v>
      </c>
      <c r="Z492" s="26" t="s">
        <v>31</v>
      </c>
      <c r="AA492" s="26">
        <v>18442</v>
      </c>
      <c r="AB492" s="26">
        <v>82</v>
      </c>
      <c r="AC492" s="26" t="s">
        <v>31</v>
      </c>
      <c r="AD492" s="26" t="s">
        <v>31</v>
      </c>
      <c r="AE492" s="26" t="s">
        <v>31</v>
      </c>
      <c r="AF492" s="26" t="s">
        <v>31</v>
      </c>
      <c r="AG492" s="26">
        <v>319</v>
      </c>
      <c r="AH492" s="26">
        <v>57</v>
      </c>
    </row>
    <row r="493" spans="1:34" x14ac:dyDescent="0.2">
      <c r="A493" s="10">
        <f t="shared" si="36"/>
        <v>2025</v>
      </c>
      <c r="B493" s="10">
        <f t="shared" si="37"/>
        <v>11</v>
      </c>
      <c r="D493" s="10" t="s">
        <v>287</v>
      </c>
      <c r="E493" s="25" t="d">
        <v>2025-11-01</v>
      </c>
      <c r="F493" s="26">
        <v>42414</v>
      </c>
      <c r="G493" s="26">
        <v>3805</v>
      </c>
      <c r="H493" s="26">
        <v>75655912</v>
      </c>
      <c r="I493" s="26">
        <v>5539686</v>
      </c>
      <c r="J493" s="26">
        <v>1043567</v>
      </c>
      <c r="K493" s="26">
        <v>-69912</v>
      </c>
      <c r="L493" s="26" t="s">
        <v>31</v>
      </c>
      <c r="M493" s="26" t="s">
        <v>31</v>
      </c>
      <c r="N493" s="26" t="s">
        <v>31</v>
      </c>
      <c r="O493" s="26" t="s">
        <v>31</v>
      </c>
      <c r="P493" s="26" t="s">
        <v>31</v>
      </c>
      <c r="Q493" s="26" t="s">
        <v>31</v>
      </c>
      <c r="R493" s="26" t="s">
        <v>31</v>
      </c>
      <c r="S493" s="26" t="s">
        <v>31</v>
      </c>
      <c r="T493" s="26">
        <v>225217</v>
      </c>
      <c r="U493" s="26">
        <v>0</v>
      </c>
      <c r="V493" s="26">
        <v>0</v>
      </c>
      <c r="W493" s="26" t="s">
        <v>31</v>
      </c>
      <c r="X493" s="26" t="s">
        <v>31</v>
      </c>
      <c r="Y493" s="26" t="s">
        <v>31</v>
      </c>
      <c r="Z493" s="26" t="s">
        <v>31</v>
      </c>
      <c r="AA493" s="26">
        <v>18452</v>
      </c>
      <c r="AB493" s="26">
        <v>10</v>
      </c>
      <c r="AC493" s="26" t="s">
        <v>31</v>
      </c>
      <c r="AD493" s="26" t="s">
        <v>31</v>
      </c>
      <c r="AE493" s="26" t="s">
        <v>31</v>
      </c>
      <c r="AF493" s="26" t="s">
        <v>31</v>
      </c>
      <c r="AG493" s="26">
        <v>376</v>
      </c>
      <c r="AH493" s="26">
        <v>57</v>
      </c>
    </row>
    <row r="494" spans="1:34" x14ac:dyDescent="0.2">
      <c r="A494" s="10">
        <f t="shared" si="36"/>
        <v>2025</v>
      </c>
      <c r="B494" s="10">
        <f t="shared" si="37"/>
        <v>12</v>
      </c>
      <c r="D494" s="10" t="s">
        <v>287</v>
      </c>
      <c r="E494" s="25" t="d">
        <v>2025-12-01</v>
      </c>
      <c r="F494" s="26">
        <v>46704</v>
      </c>
      <c r="G494" s="26">
        <v>4290</v>
      </c>
      <c r="H494" s="26">
        <v>83357517</v>
      </c>
      <c r="I494" s="26">
        <v>7661690</v>
      </c>
      <c r="J494" s="26">
        <v>984446</v>
      </c>
      <c r="K494" s="26">
        <v>-59121</v>
      </c>
      <c r="L494" s="26" t="s">
        <v>31</v>
      </c>
      <c r="M494" s="26" t="s">
        <v>31</v>
      </c>
      <c r="N494" s="26" t="s">
        <v>31</v>
      </c>
      <c r="O494" s="26" t="s">
        <v>31</v>
      </c>
      <c r="P494" s="26" t="s">
        <v>31</v>
      </c>
      <c r="Q494" s="26" t="s">
        <v>31</v>
      </c>
      <c r="R494" s="26" t="s">
        <v>31</v>
      </c>
      <c r="S494" s="26" t="s">
        <v>31</v>
      </c>
      <c r="T494" s="26">
        <v>225217</v>
      </c>
      <c r="U494" s="26">
        <v>0</v>
      </c>
      <c r="V494" s="26">
        <v>0</v>
      </c>
      <c r="W494" s="26" t="s">
        <v>31</v>
      </c>
      <c r="X494" s="26" t="s">
        <v>31</v>
      </c>
      <c r="Y494" s="26" t="s">
        <v>31</v>
      </c>
      <c r="Z494" s="26" t="s">
        <v>31</v>
      </c>
      <c r="AA494" s="26">
        <v>18417</v>
      </c>
      <c r="AB494" s="26">
        <v>-35</v>
      </c>
      <c r="AC494" s="26" t="s">
        <v>31</v>
      </c>
      <c r="AD494" s="26" t="s">
        <v>31</v>
      </c>
      <c r="AE494" s="26" t="s">
        <v>31</v>
      </c>
      <c r="AF494" s="26" t="s">
        <v>31</v>
      </c>
      <c r="AG494" s="26">
        <v>416</v>
      </c>
      <c r="AH494" s="26">
        <v>40</v>
      </c>
    </row>
    <row r="495" spans="1:34" x14ac:dyDescent="0.2">
      <c r="A495" s="10">
        <f t="shared" si="36"/>
        <v>2026</v>
      </c>
      <c r="B495" s="10">
        <f t="shared" si="37"/>
        <v>1</v>
      </c>
      <c r="D495" s="10" t="s">
        <v>287</v>
      </c>
      <c r="E495" s="25" t="d">
        <v>2026-01-01</v>
      </c>
      <c r="F495" s="26">
        <v>54906</v>
      </c>
      <c r="G495" s="26">
        <v>8202</v>
      </c>
      <c r="H495" s="26">
        <v>96530586</v>
      </c>
      <c r="I495" s="26">
        <v>13117309</v>
      </c>
      <c r="J495" s="26">
        <v>1374515</v>
      </c>
      <c r="K495" s="26">
        <v>390069</v>
      </c>
      <c r="L495" s="26" t="s">
        <v>31</v>
      </c>
      <c r="M495" s="26" t="s">
        <v>31</v>
      </c>
      <c r="N495" s="26" t="s">
        <v>31</v>
      </c>
      <c r="O495" s="26" t="s">
        <v>31</v>
      </c>
      <c r="P495" s="26" t="s">
        <v>31</v>
      </c>
      <c r="Q495" s="26" t="s">
        <v>31</v>
      </c>
      <c r="R495" s="26" t="s">
        <v>31</v>
      </c>
      <c r="S495" s="26" t="s">
        <v>31</v>
      </c>
      <c r="T495" s="26">
        <v>225217</v>
      </c>
      <c r="U495" s="26">
        <v>0</v>
      </c>
      <c r="V495" s="26">
        <v>0</v>
      </c>
      <c r="W495" s="26" t="s">
        <v>31</v>
      </c>
      <c r="X495" s="26" t="s">
        <v>31</v>
      </c>
      <c r="Y495" s="26" t="s">
        <v>31</v>
      </c>
      <c r="Z495" s="26" t="s">
        <v>31</v>
      </c>
      <c r="AA495" s="26">
        <v>18322</v>
      </c>
      <c r="AB495" s="26">
        <v>-95</v>
      </c>
      <c r="AC495" s="26" t="s">
        <v>31</v>
      </c>
      <c r="AD495" s="26" t="s">
        <v>31</v>
      </c>
      <c r="AE495" s="26" t="s">
        <v>31</v>
      </c>
      <c r="AF495" s="26" t="s">
        <v>31</v>
      </c>
      <c r="AG495" s="26">
        <v>466</v>
      </c>
      <c r="AH495" s="26">
        <v>50</v>
      </c>
    </row>
    <row r="496" spans="1:34" x14ac:dyDescent="0.2">
      <c r="A496" s="10">
        <f t="shared" si="36"/>
        <v>2026</v>
      </c>
      <c r="B496" s="10">
        <f t="shared" si="37"/>
        <v>2</v>
      </c>
      <c r="D496" s="10" t="s">
        <v>287</v>
      </c>
      <c r="E496" s="25" t="d">
        <v>2026-02-01</v>
      </c>
      <c r="F496" s="26">
        <v>60106</v>
      </c>
      <c r="G496" s="26">
        <v>5200</v>
      </c>
      <c r="H496" s="26">
        <v>107734574</v>
      </c>
      <c r="I496" s="26">
        <v>11203988</v>
      </c>
      <c r="J496" s="26">
        <v>1030702</v>
      </c>
      <c r="K496" s="26">
        <v>-343813</v>
      </c>
      <c r="L496" s="26" t="s">
        <v>31</v>
      </c>
      <c r="M496" s="26" t="s">
        <v>31</v>
      </c>
      <c r="N496" s="26" t="s">
        <v>31</v>
      </c>
      <c r="O496" s="26" t="s">
        <v>31</v>
      </c>
      <c r="P496" s="26" t="s">
        <v>31</v>
      </c>
      <c r="Q496" s="26" t="s">
        <v>31</v>
      </c>
      <c r="R496" s="26" t="s">
        <v>31</v>
      </c>
      <c r="S496" s="26" t="s">
        <v>31</v>
      </c>
      <c r="T496" s="26">
        <v>225217</v>
      </c>
      <c r="U496" s="26">
        <v>0</v>
      </c>
      <c r="V496" s="26">
        <v>0</v>
      </c>
      <c r="W496" s="26" t="s">
        <v>31</v>
      </c>
      <c r="X496" s="26" t="s">
        <v>31</v>
      </c>
      <c r="Y496" s="26" t="s">
        <v>31</v>
      </c>
      <c r="Z496" s="26" t="s">
        <v>31</v>
      </c>
      <c r="AA496" s="26">
        <v>18215</v>
      </c>
      <c r="AB496" s="26">
        <v>-107</v>
      </c>
      <c r="AC496" s="26" t="s">
        <v>31</v>
      </c>
      <c r="AD496" s="26" t="s">
        <v>31</v>
      </c>
      <c r="AE496" s="26" t="s">
        <v>31</v>
      </c>
      <c r="AF496" s="26" t="s">
        <v>31</v>
      </c>
      <c r="AG496" s="26">
        <v>501</v>
      </c>
      <c r="AH496" s="26">
        <v>35</v>
      </c>
    </row>
    <row r="497" spans="1:34" x14ac:dyDescent="0.2">
      <c r="A497" s="10">
        <f t="shared" si="36"/>
        <v>2026</v>
      </c>
      <c r="B497" s="10">
        <f t="shared" si="37"/>
        <v>3</v>
      </c>
      <c r="D497" s="10" t="s">
        <v>287</v>
      </c>
      <c r="E497" s="25" t="d">
        <v>2026-03-01</v>
      </c>
      <c r="F497" s="26">
        <v>63850</v>
      </c>
      <c r="G497" s="26">
        <v>3744</v>
      </c>
      <c r="H497" s="26">
        <v>117011024</v>
      </c>
      <c r="I497" s="26">
        <v>9261287</v>
      </c>
      <c r="J497" s="26">
        <v>1074352</v>
      </c>
      <c r="K497" s="26">
        <v>43650</v>
      </c>
      <c r="L497" s="26" t="s">
        <v>31</v>
      </c>
      <c r="M497" s="26" t="s">
        <v>31</v>
      </c>
      <c r="N497" s="26" t="s">
        <v>31</v>
      </c>
      <c r="O497" s="26" t="s">
        <v>31</v>
      </c>
      <c r="P497" s="26" t="s">
        <v>31</v>
      </c>
      <c r="Q497" s="26" t="s">
        <v>31</v>
      </c>
      <c r="R497" s="26" t="s">
        <v>31</v>
      </c>
      <c r="S497" s="26" t="s">
        <v>31</v>
      </c>
      <c r="T497" s="26">
        <v>225217</v>
      </c>
      <c r="U497" s="26">
        <v>0</v>
      </c>
      <c r="V497" s="26">
        <v>0</v>
      </c>
      <c r="W497" s="26" t="s">
        <v>31</v>
      </c>
      <c r="X497" s="26" t="s">
        <v>31</v>
      </c>
      <c r="Y497" s="26" t="s">
        <v>31</v>
      </c>
      <c r="Z497" s="26" t="s">
        <v>31</v>
      </c>
      <c r="AA497" s="26">
        <v>18121</v>
      </c>
      <c r="AB497" s="26">
        <v>-94</v>
      </c>
      <c r="AC497" s="26" t="s">
        <v>31</v>
      </c>
      <c r="AD497" s="26" t="s">
        <v>31</v>
      </c>
      <c r="AE497" s="26" t="s">
        <v>31</v>
      </c>
      <c r="AF497" s="26" t="s">
        <v>31</v>
      </c>
      <c r="AG497" s="26">
        <v>543</v>
      </c>
      <c r="AH497" s="26">
        <v>42</v>
      </c>
    </row>
    <row r="498" spans="1:34" x14ac:dyDescent="0.2">
      <c r="A498" s="10">
        <f t="shared" si="36"/>
        <v>2026</v>
      </c>
      <c r="B498" s="10">
        <f t="shared" si="37"/>
        <v>4</v>
      </c>
      <c r="D498" s="10" t="s">
        <v>287</v>
      </c>
      <c r="E498" s="25" t="d">
        <v>2026-04-01</v>
      </c>
      <c r="F498" s="26">
        <v>66894</v>
      </c>
      <c r="G498" s="26">
        <v>3044</v>
      </c>
      <c r="H498" s="26">
        <v>125420104</v>
      </c>
      <c r="I498" s="26">
        <v>8412059</v>
      </c>
      <c r="J498" s="26">
        <v>878317</v>
      </c>
      <c r="K498" s="26">
        <v>-196035</v>
      </c>
      <c r="L498" s="26" t="s">
        <v>31</v>
      </c>
      <c r="M498" s="26" t="s">
        <v>31</v>
      </c>
      <c r="N498" s="26" t="s">
        <v>31</v>
      </c>
      <c r="O498" s="26" t="s">
        <v>31</v>
      </c>
      <c r="P498" s="26" t="s">
        <v>31</v>
      </c>
      <c r="Q498" s="26" t="s">
        <v>31</v>
      </c>
      <c r="R498" s="26" t="s">
        <v>31</v>
      </c>
      <c r="S498" s="26" t="s">
        <v>31</v>
      </c>
      <c r="T498" s="26">
        <v>290969</v>
      </c>
      <c r="U498" s="26">
        <v>65752</v>
      </c>
      <c r="V498" s="26">
        <v>34602</v>
      </c>
      <c r="W498" s="26" t="s">
        <v>31</v>
      </c>
      <c r="X498" s="26" t="s">
        <v>31</v>
      </c>
      <c r="Y498" s="26">
        <v>6933254</v>
      </c>
      <c r="Z498" s="26">
        <v>152872</v>
      </c>
      <c r="AA498" s="26">
        <v>18090</v>
      </c>
      <c r="AB498" s="26">
        <v>-31</v>
      </c>
      <c r="AC498" s="26" t="s">
        <v>31</v>
      </c>
      <c r="AD498" s="26" t="s">
        <v>31</v>
      </c>
      <c r="AE498" s="26" t="s">
        <v>31</v>
      </c>
      <c r="AF498" s="26" t="s">
        <v>31</v>
      </c>
      <c r="AG498" s="26">
        <v>591</v>
      </c>
      <c r="AH498" s="26">
        <v>48</v>
      </c>
    </row>
    <row r="499" spans="1:34" x14ac:dyDescent="0.2">
      <c r="A499" s="10">
        <f t="shared" si="36"/>
        <v>2026</v>
      </c>
      <c r="B499" s="10">
        <f t="shared" si="37"/>
        <v>5</v>
      </c>
      <c r="D499" s="10" t="s">
        <v>287</v>
      </c>
      <c r="E499" s="25" t="d">
        <v>2026-05-01</v>
      </c>
      <c r="F499" s="26">
        <v>71071</v>
      </c>
      <c r="G499" s="26">
        <v>4177</v>
      </c>
      <c r="H499" s="26">
        <v>134163100</v>
      </c>
      <c r="I499" s="26">
        <v>8668319</v>
      </c>
      <c r="J499" s="26">
        <v>1030054</v>
      </c>
      <c r="K499" s="26">
        <v>151737</v>
      </c>
      <c r="L499" s="26" t="s">
        <v>31</v>
      </c>
      <c r="M499" s="26" t="s">
        <v>31</v>
      </c>
      <c r="N499" s="26" t="s">
        <v>31</v>
      </c>
      <c r="O499" s="26" t="s">
        <v>31</v>
      </c>
      <c r="P499" s="26" t="s">
        <v>31</v>
      </c>
      <c r="Q499" s="26" t="s">
        <v>31</v>
      </c>
      <c r="R499" s="26" t="s">
        <v>31</v>
      </c>
      <c r="S499" s="26" t="s">
        <v>31</v>
      </c>
      <c r="T499" s="26">
        <v>297180</v>
      </c>
      <c r="U499" s="26">
        <v>6211</v>
      </c>
      <c r="V499" s="26">
        <v>99707</v>
      </c>
      <c r="W499" s="26" t="s">
        <v>31</v>
      </c>
      <c r="X499" s="26" t="s">
        <v>31</v>
      </c>
      <c r="Y499" s="26">
        <v>6933885</v>
      </c>
      <c r="Z499" s="26">
        <v>631</v>
      </c>
      <c r="AA499" s="26">
        <v>18327</v>
      </c>
      <c r="AB499" s="26">
        <v>237</v>
      </c>
      <c r="AC499" s="26" t="s">
        <v>31</v>
      </c>
      <c r="AD499" s="26" t="s">
        <v>31</v>
      </c>
      <c r="AE499" s="26" t="s">
        <v>31</v>
      </c>
      <c r="AF499" s="26" t="s">
        <v>31</v>
      </c>
      <c r="AG499" s="26">
        <v>632</v>
      </c>
      <c r="AH499" s="26">
        <v>41</v>
      </c>
    </row>
    <row r="500" spans="1:34" x14ac:dyDescent="0.2">
      <c r="A500" s="10">
        <f t="shared" si="36"/>
        <v>2026</v>
      </c>
      <c r="B500" s="10">
        <f t="shared" si="37"/>
        <v>6</v>
      </c>
      <c r="D500" s="10" t="s">
        <v>287</v>
      </c>
      <c r="E500" s="25" t="d">
        <v>2026-06-01</v>
      </c>
      <c r="F500" s="26">
        <v>75331</v>
      </c>
      <c r="G500" s="26">
        <v>4260</v>
      </c>
      <c r="H500" s="26">
        <v>142564943</v>
      </c>
      <c r="I500" s="26">
        <v>8353510</v>
      </c>
      <c r="J500" s="26">
        <v>1399584</v>
      </c>
      <c r="K500" s="26">
        <v>369530</v>
      </c>
      <c r="L500" s="26" t="s">
        <v>31</v>
      </c>
      <c r="M500" s="26" t="s">
        <v>31</v>
      </c>
      <c r="N500" s="26" t="s">
        <v>31</v>
      </c>
      <c r="O500" s="26" t="s">
        <v>31</v>
      </c>
      <c r="P500" s="26" t="s">
        <v>31</v>
      </c>
      <c r="Q500" s="26" t="s">
        <v>31</v>
      </c>
      <c r="R500" s="26" t="s">
        <v>31</v>
      </c>
      <c r="S500" s="26" t="s">
        <v>31</v>
      </c>
      <c r="T500" s="26">
        <v>302617</v>
      </c>
      <c r="U500" s="26">
        <v>5437</v>
      </c>
      <c r="V500" s="26">
        <v>52463</v>
      </c>
      <c r="W500" s="26" t="s">
        <v>31</v>
      </c>
      <c r="X500" s="26" t="s">
        <v>31</v>
      </c>
      <c r="Y500" s="26">
        <v>7400843</v>
      </c>
      <c r="Z500" s="26">
        <v>466958</v>
      </c>
      <c r="AA500" s="26">
        <v>19514</v>
      </c>
      <c r="AB500" s="26">
        <v>1187</v>
      </c>
      <c r="AC500" s="26" t="s">
        <v>31</v>
      </c>
      <c r="AD500" s="26" t="s">
        <v>31</v>
      </c>
      <c r="AE500" s="26" t="s">
        <v>31</v>
      </c>
      <c r="AF500" s="26" t="s">
        <v>31</v>
      </c>
      <c r="AG500" s="26">
        <v>682</v>
      </c>
      <c r="AH500" s="26">
        <v>50</v>
      </c>
    </row>
    <row r="501" spans="1:34" x14ac:dyDescent="0.2">
      <c r="A501" s="10">
        <f t="shared" si="36"/>
        <v>2026</v>
      </c>
      <c r="B501" s="10">
        <f t="shared" si="37"/>
        <v>7</v>
      </c>
      <c r="D501" s="10" t="s">
        <v>287</v>
      </c>
      <c r="E501" s="25" t="d">
        <v>2026-07-01</v>
      </c>
      <c r="F501" s="26">
        <v>79045</v>
      </c>
      <c r="G501" s="26">
        <v>3714</v>
      </c>
      <c r="H501" s="26">
        <v>150174429</v>
      </c>
      <c r="I501" s="26">
        <v>7575442</v>
      </c>
      <c r="J501" s="26">
        <v>1514687</v>
      </c>
      <c r="K501" s="26">
        <v>115103</v>
      </c>
      <c r="L501" s="26" t="s">
        <v>31</v>
      </c>
      <c r="M501" s="26" t="s">
        <v>31</v>
      </c>
      <c r="N501" s="26" t="s">
        <v>31</v>
      </c>
      <c r="O501" s="26" t="s">
        <v>31</v>
      </c>
      <c r="P501" s="26" t="s">
        <v>31</v>
      </c>
      <c r="Q501" s="26" t="s">
        <v>31</v>
      </c>
      <c r="R501" s="26" t="s">
        <v>31</v>
      </c>
      <c r="S501" s="26" t="s">
        <v>31</v>
      </c>
      <c r="T501" s="26">
        <v>314912</v>
      </c>
      <c r="U501" s="26">
        <v>12295</v>
      </c>
      <c r="V501" s="26">
        <v>61723</v>
      </c>
      <c r="W501" s="26" t="s">
        <v>31</v>
      </c>
      <c r="X501" s="26" t="s">
        <v>31</v>
      </c>
      <c r="Y501" s="26">
        <v>7570814</v>
      </c>
      <c r="Z501" s="26">
        <v>169971</v>
      </c>
      <c r="AA501" s="26">
        <v>19549</v>
      </c>
      <c r="AB501" s="26">
        <v>35</v>
      </c>
      <c r="AC501" s="26" t="s">
        <v>31</v>
      </c>
      <c r="AD501" s="26" t="s">
        <v>31</v>
      </c>
      <c r="AE501" s="26" t="s">
        <v>31</v>
      </c>
      <c r="AF501" s="26" t="s">
        <v>31</v>
      </c>
      <c r="AG501" s="26">
        <v>723</v>
      </c>
      <c r="AH501" s="26">
        <v>41</v>
      </c>
    </row>
    <row r="502" spans="1:34" x14ac:dyDescent="0.2">
      <c r="A502" s="10">
        <f t="shared" ref="A502:A508" si="38">YEAR(E502)</f>
        <v>2026</v>
      </c>
      <c r="B502" s="10">
        <f t="shared" ref="B502:B508" si="39">MONTH(E502)</f>
        <v>1</v>
      </c>
      <c r="D502" s="10" t="s">
        <v>42</v>
      </c>
      <c r="E502" s="25" t="d">
        <v>2026-01-01</v>
      </c>
      <c r="F502" s="26">
        <v>1830487</v>
      </c>
      <c r="G502" s="26">
        <v>19632</v>
      </c>
      <c r="H502" s="26">
        <v>375706184</v>
      </c>
      <c r="I502" s="26">
        <v>13195351</v>
      </c>
      <c r="J502" s="26">
        <v>1198159</v>
      </c>
      <c r="K502" s="26">
        <v>107324</v>
      </c>
      <c r="L502" s="26">
        <v>37600</v>
      </c>
      <c r="M502" s="26">
        <v>-100</v>
      </c>
      <c r="N502" s="26">
        <v>67200</v>
      </c>
      <c r="O502" s="26">
        <v>0</v>
      </c>
      <c r="P502" s="26">
        <v>173000</v>
      </c>
      <c r="Q502" s="26">
        <v>5000</v>
      </c>
      <c r="R502" s="26">
        <v>93973813</v>
      </c>
      <c r="S502" s="26">
        <v>1300185</v>
      </c>
      <c r="T502" s="26">
        <v>1550648</v>
      </c>
      <c r="U502" s="26">
        <v>0</v>
      </c>
      <c r="V502" s="26">
        <v>0</v>
      </c>
      <c r="W502" s="26">
        <v>4400</v>
      </c>
      <c r="X502" s="26">
        <v>179</v>
      </c>
      <c r="Y502" s="26" t="s">
        <v>31</v>
      </c>
      <c r="Z502" s="26" t="s">
        <v>31</v>
      </c>
      <c r="AA502" s="26">
        <v>1423530</v>
      </c>
      <c r="AB502" s="26">
        <v>22078</v>
      </c>
      <c r="AC502" s="26">
        <v>1119</v>
      </c>
      <c r="AD502" s="26">
        <v>4</v>
      </c>
      <c r="AE502" s="26">
        <v>112052</v>
      </c>
      <c r="AF502" s="26">
        <v>1936</v>
      </c>
      <c r="AG502" s="26">
        <v>34635</v>
      </c>
      <c r="AH502" s="26">
        <v>120</v>
      </c>
    </row>
    <row r="503" spans="1:34" x14ac:dyDescent="0.2">
      <c r="A503" s="10">
        <f t="shared" si="38"/>
        <v>2026</v>
      </c>
      <c r="B503" s="10">
        <f t="shared" si="39"/>
        <v>2</v>
      </c>
      <c r="D503" s="10" t="s">
        <v>42</v>
      </c>
      <c r="E503" s="25" t="d">
        <v>2026-02-01</v>
      </c>
      <c r="F503" s="26">
        <v>1841189</v>
      </c>
      <c r="G503" s="26">
        <v>10702</v>
      </c>
      <c r="H503" s="26">
        <v>385289348</v>
      </c>
      <c r="I503" s="26">
        <v>9583164</v>
      </c>
      <c r="J503" s="26">
        <v>948951</v>
      </c>
      <c r="K503" s="26">
        <v>-249208</v>
      </c>
      <c r="L503" s="26">
        <v>37600</v>
      </c>
      <c r="M503" s="26">
        <v>0</v>
      </c>
      <c r="N503" s="26">
        <v>67200</v>
      </c>
      <c r="O503" s="26">
        <v>0</v>
      </c>
      <c r="P503" s="26">
        <v>176000</v>
      </c>
      <c r="Q503" s="26">
        <v>3000</v>
      </c>
      <c r="R503" s="26">
        <v>94967517</v>
      </c>
      <c r="S503" s="26">
        <v>993754</v>
      </c>
      <c r="T503" s="26">
        <v>1550648</v>
      </c>
      <c r="U503" s="26">
        <v>0</v>
      </c>
      <c r="V503" s="26">
        <v>0</v>
      </c>
      <c r="W503" s="26">
        <v>4590</v>
      </c>
      <c r="X503" s="26">
        <v>190</v>
      </c>
      <c r="Y503" s="26" t="s">
        <v>31</v>
      </c>
      <c r="Z503" s="26" t="s">
        <v>31</v>
      </c>
      <c r="AA503" s="26">
        <v>1430059</v>
      </c>
      <c r="AB503" s="26">
        <v>6529</v>
      </c>
      <c r="AC503" s="26">
        <v>1124</v>
      </c>
      <c r="AD503" s="26">
        <v>5</v>
      </c>
      <c r="AE503" s="26">
        <v>113082</v>
      </c>
      <c r="AF503" s="26">
        <v>1030</v>
      </c>
      <c r="AG503" s="26">
        <v>34702</v>
      </c>
      <c r="AH503" s="26">
        <v>67</v>
      </c>
    </row>
    <row r="504" spans="1:34" x14ac:dyDescent="0.2">
      <c r="A504" s="10">
        <f t="shared" si="38"/>
        <v>2026</v>
      </c>
      <c r="B504" s="10">
        <f t="shared" si="39"/>
        <v>3</v>
      </c>
      <c r="D504" s="10" t="s">
        <v>42</v>
      </c>
      <c r="E504" s="25" t="d">
        <v>2026-03-01</v>
      </c>
      <c r="F504" s="26">
        <v>1850540</v>
      </c>
      <c r="G504" s="26">
        <v>9351</v>
      </c>
      <c r="H504" s="26">
        <v>393335698</v>
      </c>
      <c r="I504" s="26">
        <v>8029886</v>
      </c>
      <c r="J504" s="26">
        <v>970747</v>
      </c>
      <c r="K504" s="26">
        <v>21796</v>
      </c>
      <c r="L504" s="26">
        <v>37600</v>
      </c>
      <c r="M504" s="26">
        <v>0</v>
      </c>
      <c r="N504" s="26">
        <v>67200</v>
      </c>
      <c r="O504" s="26">
        <v>0</v>
      </c>
      <c r="P504" s="26">
        <v>181000</v>
      </c>
      <c r="Q504" s="26">
        <v>5000</v>
      </c>
      <c r="R504" s="26">
        <v>96055981</v>
      </c>
      <c r="S504" s="26">
        <v>1088479</v>
      </c>
      <c r="T504" s="26">
        <v>1550648</v>
      </c>
      <c r="U504" s="26">
        <v>0</v>
      </c>
      <c r="V504" s="26">
        <v>0</v>
      </c>
      <c r="W504" s="26">
        <v>4777</v>
      </c>
      <c r="X504" s="26">
        <v>187</v>
      </c>
      <c r="Y504" s="26" t="s">
        <v>31</v>
      </c>
      <c r="Z504" s="26" t="s">
        <v>31</v>
      </c>
      <c r="AA504" s="26">
        <v>1441192</v>
      </c>
      <c r="AB504" s="26">
        <v>11133</v>
      </c>
      <c r="AC504" s="26">
        <v>1126</v>
      </c>
      <c r="AD504" s="26">
        <v>2</v>
      </c>
      <c r="AE504" s="26">
        <v>114862</v>
      </c>
      <c r="AF504" s="26">
        <v>1780</v>
      </c>
      <c r="AG504" s="26">
        <v>34767</v>
      </c>
      <c r="AH504" s="26">
        <v>65</v>
      </c>
    </row>
    <row r="505" spans="1:34" x14ac:dyDescent="0.2">
      <c r="A505" s="10">
        <f t="shared" si="38"/>
        <v>2026</v>
      </c>
      <c r="B505" s="10">
        <f t="shared" si="39"/>
        <v>4</v>
      </c>
      <c r="D505" s="10" t="s">
        <v>42</v>
      </c>
      <c r="E505" s="25" t="d">
        <v>2026-04-01</v>
      </c>
      <c r="F505" s="26">
        <v>1864517</v>
      </c>
      <c r="G505" s="26">
        <v>13977</v>
      </c>
      <c r="H505" s="26">
        <v>402319635</v>
      </c>
      <c r="I505" s="26">
        <v>8923716</v>
      </c>
      <c r="J505" s="26">
        <v>1081397</v>
      </c>
      <c r="K505" s="26">
        <v>110650</v>
      </c>
      <c r="L505" s="26">
        <v>37371</v>
      </c>
      <c r="M505" s="26">
        <v>-36</v>
      </c>
      <c r="N505" s="26">
        <v>67243</v>
      </c>
      <c r="O505" s="26">
        <v>0</v>
      </c>
      <c r="P505" s="26">
        <v>185000</v>
      </c>
      <c r="Q505" s="26">
        <v>4000</v>
      </c>
      <c r="R505" s="26">
        <v>97297485</v>
      </c>
      <c r="S505" s="26">
        <v>1241504</v>
      </c>
      <c r="T505" s="26">
        <v>1580408</v>
      </c>
      <c r="U505" s="26">
        <v>29760</v>
      </c>
      <c r="V505" s="26">
        <v>44206</v>
      </c>
      <c r="W505" s="26">
        <v>4949</v>
      </c>
      <c r="X505" s="26">
        <v>172</v>
      </c>
      <c r="Y505" s="26">
        <v>22692366</v>
      </c>
      <c r="Z505" s="26">
        <v>163805</v>
      </c>
      <c r="AA505" s="26">
        <v>1450225</v>
      </c>
      <c r="AB505" s="26">
        <v>9033</v>
      </c>
      <c r="AC505" s="26">
        <v>1128</v>
      </c>
      <c r="AD505" s="26">
        <v>2</v>
      </c>
      <c r="AE505" s="26">
        <v>116135</v>
      </c>
      <c r="AF505" s="26">
        <v>1273</v>
      </c>
      <c r="AG505" s="26">
        <v>34857</v>
      </c>
      <c r="AH505" s="26">
        <v>90</v>
      </c>
    </row>
    <row r="506" spans="1:34" x14ac:dyDescent="0.2">
      <c r="A506" s="10">
        <f t="shared" si="38"/>
        <v>2026</v>
      </c>
      <c r="B506" s="10">
        <f t="shared" si="39"/>
        <v>5</v>
      </c>
      <c r="D506" s="10" t="s">
        <v>42</v>
      </c>
      <c r="E506" s="25" t="d">
        <v>2026-05-01</v>
      </c>
      <c r="F506" s="26">
        <v>1875781</v>
      </c>
      <c r="G506" s="26">
        <v>11264</v>
      </c>
      <c r="H506" s="26">
        <v>410997568</v>
      </c>
      <c r="I506" s="26">
        <v>8644905</v>
      </c>
      <c r="J506" s="26">
        <v>1097576</v>
      </c>
      <c r="K506" s="26">
        <v>16179</v>
      </c>
      <c r="L506" s="26">
        <v>37293</v>
      </c>
      <c r="M506" s="26">
        <v>-78</v>
      </c>
      <c r="N506" s="26">
        <v>67244</v>
      </c>
      <c r="O506" s="26">
        <v>1</v>
      </c>
      <c r="P506" s="26">
        <v>189000</v>
      </c>
      <c r="Q506" s="26">
        <v>4000</v>
      </c>
      <c r="R506" s="26">
        <v>98520881</v>
      </c>
      <c r="S506" s="26">
        <v>1223397</v>
      </c>
      <c r="T506" s="26">
        <v>1581511</v>
      </c>
      <c r="U506" s="26">
        <v>1103</v>
      </c>
      <c r="V506" s="26">
        <v>61492</v>
      </c>
      <c r="W506" s="26">
        <v>5087</v>
      </c>
      <c r="X506" s="26">
        <v>138</v>
      </c>
      <c r="Y506" s="26">
        <v>22706403</v>
      </c>
      <c r="Z506" s="26">
        <v>14037</v>
      </c>
      <c r="AA506" s="26">
        <v>1452343</v>
      </c>
      <c r="AB506" s="26">
        <v>2118</v>
      </c>
      <c r="AC506" s="26">
        <v>1129</v>
      </c>
      <c r="AD506" s="26">
        <v>1</v>
      </c>
      <c r="AE506" s="26">
        <v>117684</v>
      </c>
      <c r="AF506" s="26">
        <v>1549</v>
      </c>
      <c r="AG506" s="26">
        <v>34951</v>
      </c>
      <c r="AH506" s="26">
        <v>94</v>
      </c>
    </row>
    <row r="507" spans="1:34" x14ac:dyDescent="0.2">
      <c r="A507" s="10">
        <f t="shared" si="38"/>
        <v>2026</v>
      </c>
      <c r="B507" s="10">
        <f t="shared" si="39"/>
        <v>6</v>
      </c>
      <c r="D507" s="10" t="s">
        <v>42</v>
      </c>
      <c r="E507" s="25" t="d">
        <v>2026-06-01</v>
      </c>
      <c r="F507" s="26">
        <v>1907412</v>
      </c>
      <c r="G507" s="26">
        <v>31631</v>
      </c>
      <c r="H507" s="26">
        <v>419258161</v>
      </c>
      <c r="I507" s="26">
        <v>8260593</v>
      </c>
      <c r="J507" s="26">
        <v>1097225</v>
      </c>
      <c r="K507" s="26">
        <v>-351</v>
      </c>
      <c r="L507" s="26">
        <v>37191</v>
      </c>
      <c r="M507" s="26">
        <v>-102</v>
      </c>
      <c r="N507" s="26">
        <v>67243</v>
      </c>
      <c r="O507" s="26">
        <v>-1</v>
      </c>
      <c r="P507" s="26">
        <v>192000</v>
      </c>
      <c r="Q507" s="26">
        <v>3000</v>
      </c>
      <c r="R507" s="26">
        <v>99473806</v>
      </c>
      <c r="S507" s="26">
        <v>952290</v>
      </c>
      <c r="T507" s="26">
        <v>1576279</v>
      </c>
      <c r="U507" s="26">
        <v>-5232</v>
      </c>
      <c r="V507" s="26">
        <v>209047</v>
      </c>
      <c r="W507" s="26">
        <v>5260</v>
      </c>
      <c r="X507" s="26">
        <v>173</v>
      </c>
      <c r="Y507" s="26">
        <v>23172670</v>
      </c>
      <c r="Z507" s="26">
        <v>466267</v>
      </c>
      <c r="AA507" s="26">
        <v>1460929</v>
      </c>
      <c r="AB507" s="26">
        <v>8586</v>
      </c>
      <c r="AC507" s="26">
        <v>1129</v>
      </c>
      <c r="AD507" s="26">
        <v>0</v>
      </c>
      <c r="AE507" s="26">
        <v>119271</v>
      </c>
      <c r="AF507" s="26">
        <v>1587</v>
      </c>
      <c r="AG507" s="26">
        <v>35053</v>
      </c>
      <c r="AH507" s="26">
        <v>102</v>
      </c>
    </row>
    <row r="508" spans="1:34" x14ac:dyDescent="0.2">
      <c r="A508" s="10">
        <f t="shared" si="38"/>
        <v>2026</v>
      </c>
      <c r="B508" s="10">
        <f t="shared" si="39"/>
        <v>7</v>
      </c>
      <c r="D508" s="10" t="s">
        <v>42</v>
      </c>
      <c r="E508" s="25" t="d">
        <v>2026-07-01</v>
      </c>
      <c r="F508" s="26">
        <v>1936760</v>
      </c>
      <c r="G508" s="26">
        <v>29348</v>
      </c>
      <c r="H508" s="26">
        <v>426663898</v>
      </c>
      <c r="I508" s="26">
        <v>7405737</v>
      </c>
      <c r="J508" s="26">
        <v>1057331</v>
      </c>
      <c r="K508" s="26">
        <v>-39894</v>
      </c>
      <c r="L508" s="26">
        <v>37119</v>
      </c>
      <c r="M508" s="26">
        <v>-72</v>
      </c>
      <c r="N508" s="26">
        <v>67257</v>
      </c>
      <c r="O508" s="26">
        <v>14</v>
      </c>
      <c r="P508" s="26">
        <v>194000</v>
      </c>
      <c r="Q508" s="26">
        <v>2000</v>
      </c>
      <c r="R508" s="26">
        <v>100476118</v>
      </c>
      <c r="S508" s="26">
        <v>1002313</v>
      </c>
      <c r="T508" s="26">
        <v>1577514</v>
      </c>
      <c r="U508" s="26">
        <v>1235</v>
      </c>
      <c r="V508" s="26">
        <v>93855</v>
      </c>
      <c r="W508" s="26">
        <v>5413</v>
      </c>
      <c r="X508" s="26">
        <v>153</v>
      </c>
      <c r="Y508" s="26">
        <v>23362125</v>
      </c>
      <c r="Z508" s="26">
        <v>189455</v>
      </c>
      <c r="AA508" s="26">
        <v>1461443</v>
      </c>
      <c r="AB508" s="26">
        <v>514</v>
      </c>
      <c r="AC508" s="26">
        <v>1129</v>
      </c>
      <c r="AD508" s="26">
        <v>0</v>
      </c>
      <c r="AE508" s="26">
        <v>121155</v>
      </c>
      <c r="AF508" s="26">
        <v>1884</v>
      </c>
      <c r="AG508" s="26">
        <v>35138</v>
      </c>
      <c r="AH508" s="26">
        <v>85</v>
      </c>
    </row>
    <row r="509" spans="1:34" x14ac:dyDescent="0.2">
      <c r="A509" s="10">
        <f t="shared" ref="A509:A513" si="40">YEAR(E509)</f>
        <v>2026</v>
      </c>
      <c r="B509" s="10">
        <f t="shared" ref="B509:B513" si="41">MONTH(E509)</f>
        <v>3</v>
      </c>
      <c r="D509" s="10" t="s">
        <v>223</v>
      </c>
      <c r="E509" s="25" t="d">
        <v>2026-03-01</v>
      </c>
      <c r="F509" s="26" t="s">
        <v>31</v>
      </c>
      <c r="G509" s="26" t="s">
        <v>31</v>
      </c>
      <c r="H509" s="26">
        <v>108902109</v>
      </c>
      <c r="I509" s="26">
        <v>4634370</v>
      </c>
      <c r="J509" s="26" t="s">
        <v>31</v>
      </c>
      <c r="K509" s="26" t="s">
        <v>31</v>
      </c>
      <c r="L509" s="26" t="s">
        <v>31</v>
      </c>
      <c r="M509" s="26" t="s">
        <v>31</v>
      </c>
      <c r="N509" s="26" t="s">
        <v>31</v>
      </c>
      <c r="O509" s="26" t="s">
        <v>31</v>
      </c>
      <c r="P509" s="26" t="s">
        <v>31</v>
      </c>
      <c r="Q509" s="26" t="s">
        <v>31</v>
      </c>
      <c r="R509" s="26" t="s">
        <v>31</v>
      </c>
      <c r="S509" s="26" t="s">
        <v>31</v>
      </c>
      <c r="T509" s="26" t="s">
        <v>31</v>
      </c>
      <c r="U509" s="26" t="s">
        <v>31</v>
      </c>
      <c r="V509" s="26" t="s">
        <v>31</v>
      </c>
      <c r="W509" s="26" t="s">
        <v>31</v>
      </c>
      <c r="X509" s="26" t="s">
        <v>31</v>
      </c>
      <c r="Y509" s="26" t="s">
        <v>31</v>
      </c>
      <c r="Z509" s="26" t="s">
        <v>31</v>
      </c>
      <c r="AA509" s="26" t="s">
        <v>31</v>
      </c>
      <c r="AB509" s="26" t="s">
        <v>31</v>
      </c>
      <c r="AC509" s="26" t="s">
        <v>31</v>
      </c>
      <c r="AD509" s="26" t="s">
        <v>31</v>
      </c>
      <c r="AE509" s="26" t="s">
        <v>31</v>
      </c>
      <c r="AF509" s="26" t="s">
        <v>31</v>
      </c>
      <c r="AG509" s="26" t="s">
        <v>31</v>
      </c>
      <c r="AH509" s="26" t="s">
        <v>31</v>
      </c>
    </row>
    <row r="510" spans="1:34" x14ac:dyDescent="0.2">
      <c r="A510" s="10">
        <f t="shared" si="40"/>
        <v>2026</v>
      </c>
      <c r="B510" s="10">
        <f t="shared" si="41"/>
        <v>4</v>
      </c>
      <c r="D510" s="10" t="s">
        <v>223</v>
      </c>
      <c r="E510" s="25" t="d">
        <v>2026-04-01</v>
      </c>
      <c r="F510" s="26">
        <v>75386</v>
      </c>
      <c r="G510" s="26">
        <v>13444</v>
      </c>
      <c r="H510" s="26">
        <v>121814871</v>
      </c>
      <c r="I510" s="26">
        <v>12684020</v>
      </c>
      <c r="J510" s="26">
        <v>1933371</v>
      </c>
      <c r="K510" s="26">
        <v>-76356</v>
      </c>
      <c r="L510" s="26">
        <v>5691</v>
      </c>
      <c r="M510" s="26">
        <v>1</v>
      </c>
      <c r="N510" s="26">
        <v>97</v>
      </c>
      <c r="O510" s="26">
        <v>0</v>
      </c>
      <c r="P510" s="26">
        <v>92000</v>
      </c>
      <c r="Q510" s="26">
        <v>17300</v>
      </c>
      <c r="R510" s="26">
        <v>37493344</v>
      </c>
      <c r="S510" s="26">
        <v>6203187</v>
      </c>
      <c r="T510" s="26" t="s">
        <v>31</v>
      </c>
      <c r="U510" s="26" t="s">
        <v>31</v>
      </c>
      <c r="V510" s="26" t="s">
        <v>31</v>
      </c>
      <c r="W510" s="26" t="s">
        <v>31</v>
      </c>
      <c r="X510" s="26" t="s">
        <v>31</v>
      </c>
      <c r="Y510" s="26">
        <v>5791273</v>
      </c>
      <c r="Z510" s="26">
        <v>144881</v>
      </c>
      <c r="AA510" s="26" t="s">
        <v>31</v>
      </c>
      <c r="AB510" s="26" t="s">
        <v>31</v>
      </c>
      <c r="AC510" s="26">
        <v>70</v>
      </c>
      <c r="AD510" s="26">
        <v>13</v>
      </c>
      <c r="AE510" s="26">
        <v>41894</v>
      </c>
      <c r="AF510" s="26">
        <v>10736</v>
      </c>
      <c r="AG510" s="26">
        <v>93</v>
      </c>
      <c r="AH510" s="26">
        <v>24</v>
      </c>
    </row>
    <row r="511" spans="1:34" x14ac:dyDescent="0.2">
      <c r="A511" s="10">
        <f t="shared" si="40"/>
        <v>2026</v>
      </c>
      <c r="B511" s="10">
        <f t="shared" si="41"/>
        <v>5</v>
      </c>
      <c r="D511" s="10" t="s">
        <v>223</v>
      </c>
      <c r="E511" s="25" t="d">
        <v>2026-05-01</v>
      </c>
      <c r="F511" s="26">
        <v>92943</v>
      </c>
      <c r="G511" s="26">
        <v>17557</v>
      </c>
      <c r="H511" s="26">
        <v>136188799</v>
      </c>
      <c r="I511" s="26">
        <v>14342529</v>
      </c>
      <c r="J511" s="26">
        <v>2349301</v>
      </c>
      <c r="K511" s="26">
        <v>415930</v>
      </c>
      <c r="L511" s="26">
        <v>5691</v>
      </c>
      <c r="M511" s="26">
        <v>0</v>
      </c>
      <c r="N511" s="26">
        <v>97</v>
      </c>
      <c r="O511" s="26">
        <v>0</v>
      </c>
      <c r="P511" s="26">
        <v>103000</v>
      </c>
      <c r="Q511" s="26">
        <v>11000</v>
      </c>
      <c r="R511" s="26">
        <v>42340566</v>
      </c>
      <c r="S511" s="26">
        <v>4593638</v>
      </c>
      <c r="T511" s="26" t="s">
        <v>31</v>
      </c>
      <c r="U511" s="26" t="s">
        <v>31</v>
      </c>
      <c r="V511" s="26" t="s">
        <v>31</v>
      </c>
      <c r="W511" s="26">
        <v>3</v>
      </c>
      <c r="X511" s="26">
        <v>3</v>
      </c>
      <c r="Y511" s="26">
        <v>5909307</v>
      </c>
      <c r="Z511" s="26">
        <v>118034</v>
      </c>
      <c r="AA511" s="26" t="s">
        <v>31</v>
      </c>
      <c r="AB511" s="26" t="s">
        <v>31</v>
      </c>
      <c r="AC511" s="26">
        <v>83</v>
      </c>
      <c r="AD511" s="26">
        <v>13</v>
      </c>
      <c r="AE511" s="26">
        <v>52597</v>
      </c>
      <c r="AF511" s="26">
        <v>10701</v>
      </c>
      <c r="AG511" s="26">
        <v>135</v>
      </c>
      <c r="AH511" s="26">
        <v>42</v>
      </c>
    </row>
    <row r="512" spans="1:34" x14ac:dyDescent="0.2">
      <c r="A512" s="10">
        <f t="shared" si="40"/>
        <v>2026</v>
      </c>
      <c r="B512" s="10">
        <f t="shared" si="41"/>
        <v>6</v>
      </c>
      <c r="D512" s="10" t="s">
        <v>223</v>
      </c>
      <c r="E512" s="25" t="d">
        <v>2026-06-01</v>
      </c>
      <c r="F512" s="26">
        <v>111256</v>
      </c>
      <c r="G512" s="26">
        <v>18313</v>
      </c>
      <c r="H512" s="26">
        <v>151203569</v>
      </c>
      <c r="I512" s="26">
        <v>14988773</v>
      </c>
      <c r="J512" s="26">
        <v>2382304</v>
      </c>
      <c r="K512" s="26">
        <v>33003</v>
      </c>
      <c r="L512" s="26">
        <v>5691</v>
      </c>
      <c r="M512" s="26">
        <v>0</v>
      </c>
      <c r="N512" s="26">
        <v>97</v>
      </c>
      <c r="O512" s="26">
        <v>0</v>
      </c>
      <c r="P512" s="26">
        <v>123000</v>
      </c>
      <c r="Q512" s="26">
        <v>20000</v>
      </c>
      <c r="R512" s="26">
        <v>47655095</v>
      </c>
      <c r="S512" s="26">
        <v>4995050</v>
      </c>
      <c r="T512" s="26">
        <v>49126</v>
      </c>
      <c r="U512" s="26">
        <v>519</v>
      </c>
      <c r="V512" s="26">
        <v>12306</v>
      </c>
      <c r="W512" s="26">
        <v>15</v>
      </c>
      <c r="X512" s="26">
        <v>12</v>
      </c>
      <c r="Y512" s="26">
        <v>6267118</v>
      </c>
      <c r="Z512" s="26">
        <v>357811</v>
      </c>
      <c r="AA512" s="26" t="s">
        <v>31</v>
      </c>
      <c r="AB512" s="26" t="s">
        <v>31</v>
      </c>
      <c r="AC512" s="26">
        <v>94</v>
      </c>
      <c r="AD512" s="26">
        <v>11</v>
      </c>
      <c r="AE512" s="26">
        <v>62183</v>
      </c>
      <c r="AF512" s="26">
        <v>9584</v>
      </c>
      <c r="AG512" s="26">
        <v>186</v>
      </c>
      <c r="AH512" s="26">
        <v>51</v>
      </c>
    </row>
    <row r="513" spans="1:34" x14ac:dyDescent="0.2">
      <c r="A513" s="10">
        <f t="shared" si="40"/>
        <v>2026</v>
      </c>
      <c r="B513" s="10">
        <f t="shared" si="41"/>
        <v>7</v>
      </c>
      <c r="D513" s="10" t="s">
        <v>223</v>
      </c>
      <c r="E513" s="25" t="d">
        <v>2026-07-01</v>
      </c>
      <c r="F513" s="26">
        <v>133089</v>
      </c>
      <c r="G513" s="26">
        <v>21833</v>
      </c>
      <c r="H513" s="26">
        <v>165507166</v>
      </c>
      <c r="I513" s="26">
        <v>14158560</v>
      </c>
      <c r="J513" s="26">
        <v>2409743</v>
      </c>
      <c r="K513" s="26">
        <v>27439</v>
      </c>
      <c r="L513" s="26">
        <v>5691</v>
      </c>
      <c r="M513" s="26">
        <v>0</v>
      </c>
      <c r="N513" s="26">
        <v>97</v>
      </c>
      <c r="O513" s="26">
        <v>0</v>
      </c>
      <c r="P513" s="26">
        <v>135000</v>
      </c>
      <c r="Q513" s="26">
        <v>12000</v>
      </c>
      <c r="R513" s="26">
        <v>50720662</v>
      </c>
      <c r="S513" s="26">
        <v>2829088</v>
      </c>
      <c r="T513" s="26">
        <v>52845</v>
      </c>
      <c r="U513" s="26">
        <v>3719</v>
      </c>
      <c r="V513" s="26">
        <v>119221</v>
      </c>
      <c r="W513" s="26">
        <v>24</v>
      </c>
      <c r="X513" s="26">
        <v>9</v>
      </c>
      <c r="Y513" s="26">
        <v>6430134</v>
      </c>
      <c r="Z513" s="26">
        <v>163016</v>
      </c>
      <c r="AA513" s="26" t="s">
        <v>31</v>
      </c>
      <c r="AB513" s="26" t="s">
        <v>31</v>
      </c>
      <c r="AC513" s="26">
        <v>117</v>
      </c>
      <c r="AD513" s="26">
        <v>23</v>
      </c>
      <c r="AE513" s="26">
        <v>70190</v>
      </c>
      <c r="AF513" s="26">
        <v>7993</v>
      </c>
      <c r="AG513" s="26">
        <v>232</v>
      </c>
      <c r="AH513" s="26">
        <v>46</v>
      </c>
    </row>
  </sheetData>
  <autoFilter ref="A1:AH501" xr:uid="{44127CE0-6BA2-7341-AA17-D9914D3765D7}"/>
  <phoneticPr fontId="24" type="noConversion"/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C1:L37"/>
  <sheetViews>
    <sheetView showGridLines="0" zoomScale="150" workbookViewId="0">
      <selection activeCell="C10" sqref="C10"/>
    </sheetView>
  </sheetViews>
  <sheetFormatPr baseColWidth="10" defaultRowHeight="16" x14ac:dyDescent="0.2"/>
  <cols>
    <col min="3" max="3" width="15" bestFit="1" customWidth="1"/>
    <col min="4" max="4" width="21.1640625" bestFit="1" customWidth="1"/>
    <col min="5" max="5" width="13.33203125" bestFit="1" customWidth="1"/>
    <col min="6" max="6" width="16.83203125" bestFit="1" customWidth="1"/>
    <col min="7" max="7" width="20.5" bestFit="1" customWidth="1"/>
    <col min="10" max="10" width="20.5" bestFit="1" customWidth="1"/>
    <col min="11" max="11" width="12.83203125" bestFit="1" customWidth="1"/>
  </cols>
  <sheetData>
    <row r="1" spans="3:11" x14ac:dyDescent="0.2">
      <c r="C1" s="9"/>
      <c r="D1" s="59"/>
    </row>
    <row r="2" spans="3:11" x14ac:dyDescent="0.2">
      <c r="C2" s="67" t="s">
        <v>495</v>
      </c>
      <c r="D2" s="68">
        <v>1</v>
      </c>
    </row>
    <row r="3" spans="3:11" x14ac:dyDescent="0.2">
      <c r="C3" s="45" t="s">
        <v>485</v>
      </c>
      <c r="D3" s="46"/>
      <c r="E3" s="46"/>
      <c r="F3" s="47"/>
      <c r="G3" s="47"/>
      <c r="I3" s="48" t="s">
        <v>538</v>
      </c>
      <c r="J3" s="49"/>
      <c r="K3" s="50"/>
    </row>
    <row r="4" spans="3:11" x14ac:dyDescent="0.2">
      <c r="C4" s="56" t="s">
        <v>480</v>
      </c>
      <c r="D4" s="54" t="s">
        <v>481</v>
      </c>
      <c r="E4" s="54" t="s">
        <v>482</v>
      </c>
      <c r="F4" s="52" t="s">
        <v>536</v>
      </c>
      <c r="G4" s="55" t="s">
        <v>691</v>
      </c>
      <c r="I4" s="51" t="s">
        <v>489</v>
      </c>
      <c r="J4" s="52" t="s">
        <v>481</v>
      </c>
      <c r="K4" s="53" t="s">
        <v>490</v>
      </c>
    </row>
    <row r="5" spans="3:11" x14ac:dyDescent="0.2">
      <c r="C5" s="43" t="s">
        <v>287</v>
      </c>
      <c r="D5" s="2">
        <f>SUMIFS('Artist Profile Data (Weekly)'!$K:$K,'Artist Profile Data (Weekly)'!$E:$E,$C5,'Artist Profile Data (Weekly)'!$B:$B,$D$2)</f>
        <v>79136</v>
      </c>
      <c r="E5" s="2">
        <f>SUMIFS('Artist Profile Data (Weekly)'!$L:$L,'Artist Profile Data (Weekly)'!$E:$E,$C5,'Artist Profile Data (Weekly)'!$B:$B,$D$2)</f>
        <v>150403474</v>
      </c>
      <c r="F5" s="2">
        <f>SUMIFS('Artist Profile Data (Weekly)'!$M:$M,'Artist Profile Data (Weekly)'!$E:$E,$C5,'Artist Profile Data (Weekly)'!$B:$B,D$2)</f>
        <v>1515723</v>
      </c>
      <c r="G5" s="70">
        <f>IFERROR(F5/D5,0)</f>
        <v>19.153394156894461</v>
      </c>
      <c r="I5" s="43">
        <v>1</v>
      </c>
      <c r="J5" s="2">
        <f>SUMIFS('Artist Profile Data (Weekly)'!$K:$K,'Artist Profile Data (Weekly)'!$A:$A,1,'Artist Profile Data (Weekly)'!$B:$B,$I5)</f>
        <v>36070934</v>
      </c>
      <c r="K5" s="44"/>
    </row>
    <row r="6" spans="3:11" x14ac:dyDescent="0.2">
      <c r="C6" s="43" t="s">
        <v>540</v>
      </c>
      <c r="D6" s="2">
        <f>SUMIFS('Artist Profile Data (Weekly)'!$K:$K,'Artist Profile Data (Weekly)'!$E:$E,$C6,'Artist Profile Data (Weekly)'!$B:$B,$D$2)</f>
        <v>318313</v>
      </c>
      <c r="E6" s="2">
        <f>SUMIFS('Artist Profile Data (Weekly)'!$L:$L,'Artist Profile Data (Weekly)'!$E:$E,$C6,'Artist Profile Data (Weekly)'!$B:$B,$D$2)</f>
        <v>98169042</v>
      </c>
      <c r="F6" s="2">
        <f>SUMIFS('Artist Profile Data (Weekly)'!$M:$M,'Artist Profile Data (Weekly)'!$E:$E,$C6,'Artist Profile Data (Weekly)'!$B:$B,D$2)</f>
        <v>1995769</v>
      </c>
      <c r="G6" s="70">
        <f>IFERROR(F6/D6,0)</f>
        <v>6.269831895021567</v>
      </c>
      <c r="I6" s="43">
        <v>2</v>
      </c>
      <c r="J6" s="2">
        <f>SUMIFS('Artist Profile Data (Weekly)'!$K:$K,'Artist Profile Data (Weekly)'!$A:$A,1,'Artist Profile Data (Weekly)'!$B:$B,$I6)</f>
        <v>0</v>
      </c>
      <c r="K6" s="29">
        <f>IFERROR((J6-J5)/J5,0)</f>
        <v>-1</v>
      </c>
    </row>
    <row r="7" spans="3:11" x14ac:dyDescent="0.2">
      <c r="C7" s="43" t="s">
        <v>479</v>
      </c>
      <c r="D7" s="2">
        <f>SUMIFS('Artist Profile Data (Weekly)'!$K:$K,'Artist Profile Data (Weekly)'!$E:$E,$C7,'Artist Profile Data (Weekly)'!$B:$B,$D$2)</f>
        <v>257831</v>
      </c>
      <c r="E7" s="2">
        <f>SUMIFS('Artist Profile Data (Weekly)'!$L:$L,'Artist Profile Data (Weekly)'!$E:$E,$C7,'Artist Profile Data (Weekly)'!$B:$B,$D$2)</f>
        <v>127394961</v>
      </c>
      <c r="F7" s="2">
        <f>SUMIFS('Artist Profile Data (Weekly)'!$M:$M,'Artist Profile Data (Weekly)'!$E:$E,$C7,'Artist Profile Data (Weekly)'!$B:$B,D$2)</f>
        <v>1603306</v>
      </c>
      <c r="G7" s="70">
        <f>IFERROR(F7/D7,0)</f>
        <v>6.2184376587764856</v>
      </c>
      <c r="I7" s="43">
        <v>3</v>
      </c>
      <c r="J7" s="2">
        <f>SUMIFS('Artist Profile Data (Weekly)'!$K:$K,'Artist Profile Data (Weekly)'!$A:$A,1,'Artist Profile Data (Weekly)'!$B:$B,$I7)</f>
        <v>0</v>
      </c>
      <c r="K7" s="29">
        <f t="shared" ref="K7:K24" si="0">IFERROR((J7-J6)/J6,0)</f>
        <v>0</v>
      </c>
    </row>
    <row r="8" spans="3:11" x14ac:dyDescent="0.2">
      <c r="C8" s="43" t="s">
        <v>134</v>
      </c>
      <c r="D8" s="2">
        <f>SUMIFS('Artist Profile Data (Weekly)'!$K:$K,'Artist Profile Data (Weekly)'!$E:$E,$C8,'Artist Profile Data (Weekly)'!$B:$B,$D$2)</f>
        <v>398249</v>
      </c>
      <c r="E8" s="2">
        <f>SUMIFS('Artist Profile Data (Weekly)'!$L:$L,'Artist Profile Data (Weekly)'!$E:$E,$C8,'Artist Profile Data (Weekly)'!$B:$B,$D$2)</f>
        <v>233409823</v>
      </c>
      <c r="F8" s="2">
        <f>SUMIFS('Artist Profile Data (Weekly)'!$M:$M,'Artist Profile Data (Weekly)'!$E:$E,$C8,'Artist Profile Data (Weekly)'!$B:$B,D$2)</f>
        <v>2061888</v>
      </c>
      <c r="G8" s="70">
        <f>IFERROR(F8/D8,0)</f>
        <v>5.1773839984532293</v>
      </c>
      <c r="I8" s="43">
        <v>4</v>
      </c>
      <c r="J8" s="2">
        <f>SUMIFS('Artist Profile Data (Weekly)'!$K:$K,'Artist Profile Data (Weekly)'!$A:$A,1,'Artist Profile Data (Weekly)'!$B:$B,$I8)</f>
        <v>0</v>
      </c>
      <c r="K8" s="29">
        <f t="shared" si="0"/>
        <v>0</v>
      </c>
    </row>
    <row r="9" spans="3:11" x14ac:dyDescent="0.2">
      <c r="C9" s="43" t="s">
        <v>478</v>
      </c>
      <c r="D9" s="2">
        <f>SUMIFS('Artist Profile Data (Weekly)'!$K:$K,'Artist Profile Data (Weekly)'!$E:$E,$C9,'Artist Profile Data (Weekly)'!$B:$B,$D$2)</f>
        <v>492332</v>
      </c>
      <c r="E9" s="2">
        <f>SUMIFS('Artist Profile Data (Weekly)'!$L:$L,'Artist Profile Data (Weekly)'!$E:$E,$C9,'Artist Profile Data (Weekly)'!$B:$B,$D$2)</f>
        <v>286861518</v>
      </c>
      <c r="F9" s="2">
        <f>SUMIFS('Artist Profile Data (Weekly)'!$M:$M,'Artist Profile Data (Weekly)'!$E:$E,$C9,'Artist Profile Data (Weekly)'!$B:$B,D$2)</f>
        <v>2277376</v>
      </c>
      <c r="G9" s="70">
        <f>IFERROR(F9/D9,0)</f>
        <v>4.6256916064769298</v>
      </c>
      <c r="I9" s="43">
        <v>5</v>
      </c>
      <c r="J9" s="2">
        <f>SUMIFS('Artist Profile Data (Weekly)'!$K:$K,'Artist Profile Data (Weekly)'!$A:$A,1,'Artist Profile Data (Weekly)'!$B:$B,$I9)</f>
        <v>0</v>
      </c>
      <c r="K9" s="29">
        <f t="shared" si="0"/>
        <v>0</v>
      </c>
    </row>
    <row r="10" spans="3:11" x14ac:dyDescent="0.2">
      <c r="C10" s="43" t="s">
        <v>125</v>
      </c>
      <c r="D10" s="2">
        <f>SUMIFS('Artist Profile Data (Weekly)'!$K:$K,'Artist Profile Data (Weekly)'!$E:$E,$C10,'Artist Profile Data (Weekly)'!$B:$B,$D$2)</f>
        <v>439698</v>
      </c>
      <c r="E10" s="2">
        <f>SUMIFS('Artist Profile Data (Weekly)'!$L:$L,'Artist Profile Data (Weekly)'!$E:$E,$C10,'Artist Profile Data (Weekly)'!$B:$B,$D$2)</f>
        <v>91714661</v>
      </c>
      <c r="F10" s="2">
        <f>SUMIFS('Artist Profile Data (Weekly)'!$M:$M,'Artist Profile Data (Weekly)'!$E:$E,$C10,'Artist Profile Data (Weekly)'!$B:$B,D$2)</f>
        <v>800754</v>
      </c>
      <c r="G10" s="70">
        <f>IFERROR(F10/D10,0)</f>
        <v>1.8211454225400161</v>
      </c>
      <c r="I10" s="43">
        <v>6</v>
      </c>
      <c r="J10" s="2">
        <f>SUMIFS('Artist Profile Data (Weekly)'!$K:$K,'Artist Profile Data (Weekly)'!$A:$A,1,'Artist Profile Data (Weekly)'!$B:$B,$I10)</f>
        <v>0</v>
      </c>
      <c r="K10" s="29">
        <f t="shared" si="0"/>
        <v>0</v>
      </c>
    </row>
    <row r="11" spans="3:11" x14ac:dyDescent="0.2">
      <c r="C11" s="43" t="s">
        <v>58</v>
      </c>
      <c r="D11" s="2">
        <f>SUMIFS('Artist Profile Data (Weekly)'!$K:$K,'Artist Profile Data (Weekly)'!$E:$E,$C11,'Artist Profile Data (Weekly)'!$B:$B,$D$2)</f>
        <v>1570892</v>
      </c>
      <c r="E11" s="2">
        <f>SUMIFS('Artist Profile Data (Weekly)'!$L:$L,'Artist Profile Data (Weekly)'!$E:$E,$C11,'Artist Profile Data (Weekly)'!$B:$B,$D$2)</f>
        <v>386533451</v>
      </c>
      <c r="F11" s="2">
        <f>SUMIFS('Artist Profile Data (Weekly)'!$M:$M,'Artist Profile Data (Weekly)'!$E:$E,$C11,'Artist Profile Data (Weekly)'!$B:$B,D$2)</f>
        <v>2458020</v>
      </c>
      <c r="G11" s="70">
        <f>IFERROR(F11/D11,0)</f>
        <v>1.5647288292256882</v>
      </c>
      <c r="I11" s="43">
        <v>7</v>
      </c>
      <c r="J11" s="2">
        <f>SUMIFS('Artist Profile Data (Weekly)'!$K:$K,'Artist Profile Data (Weekly)'!$A:$A,1,'Artist Profile Data (Weekly)'!$B:$B,$I11)</f>
        <v>0</v>
      </c>
      <c r="K11" s="29">
        <f t="shared" si="0"/>
        <v>0</v>
      </c>
    </row>
    <row r="12" spans="3:11" x14ac:dyDescent="0.2">
      <c r="C12" s="43" t="s">
        <v>45</v>
      </c>
      <c r="D12" s="2">
        <f>SUMIFS('Artist Profile Data (Weekly)'!$K:$K,'Artist Profile Data (Weekly)'!$E:$E,$C12,'Artist Profile Data (Weekly)'!$B:$B,$D$2)</f>
        <v>1838533</v>
      </c>
      <c r="E12" s="2">
        <f>SUMIFS('Artist Profile Data (Weekly)'!$L:$L,'Artist Profile Data (Weekly)'!$E:$E,$C12,'Artist Profile Data (Weekly)'!$B:$B,$D$2)</f>
        <v>461935885</v>
      </c>
      <c r="F12" s="2">
        <f>SUMIFS('Artist Profile Data (Weekly)'!$M:$M,'Artist Profile Data (Weekly)'!$E:$E,$C12,'Artist Profile Data (Weekly)'!$B:$B,D$2)</f>
        <v>2823644</v>
      </c>
      <c r="G12" s="70">
        <f>IFERROR(F12/D12,0)</f>
        <v>1.535813607914571</v>
      </c>
      <c r="I12" s="43">
        <v>8</v>
      </c>
      <c r="J12" s="2">
        <f>SUMIFS('Artist Profile Data (Weekly)'!$K:$K,'Artist Profile Data (Weekly)'!$A:$A,1,'Artist Profile Data (Weekly)'!$B:$B,$I12)</f>
        <v>0</v>
      </c>
      <c r="K12" s="29">
        <f t="shared" si="0"/>
        <v>0</v>
      </c>
    </row>
    <row r="13" spans="3:11" x14ac:dyDescent="0.2">
      <c r="C13" s="43" t="s">
        <v>60</v>
      </c>
      <c r="D13" s="2">
        <f>SUMIFS('Artist Profile Data (Weekly)'!$K:$K,'Artist Profile Data (Weekly)'!$E:$E,$C13,'Artist Profile Data (Weekly)'!$B:$B,$D$2)</f>
        <v>1551136</v>
      </c>
      <c r="E13" s="2">
        <f>SUMIFS('Artist Profile Data (Weekly)'!$L:$L,'Artist Profile Data (Weekly)'!$E:$E,$C13,'Artist Profile Data (Weekly)'!$B:$B,$D$2)</f>
        <v>420009551</v>
      </c>
      <c r="F13" s="2">
        <f>SUMIFS('Artist Profile Data (Weekly)'!$M:$M,'Artist Profile Data (Weekly)'!$E:$E,$C13,'Artist Profile Data (Weekly)'!$B:$B,D$2)</f>
        <v>2278538</v>
      </c>
      <c r="G13" s="70">
        <f>IFERROR(F13/D13,0)</f>
        <v>1.4689479194603181</v>
      </c>
      <c r="I13" s="43">
        <v>9</v>
      </c>
      <c r="J13" s="2">
        <f>SUMIFS('Artist Profile Data (Weekly)'!$K:$K,'Artist Profile Data (Weekly)'!$A:$A,1,'Artist Profile Data (Weekly)'!$B:$B,$I13)</f>
        <v>0</v>
      </c>
      <c r="K13" s="29">
        <f t="shared" si="0"/>
        <v>0</v>
      </c>
    </row>
    <row r="14" spans="3:11" x14ac:dyDescent="0.2">
      <c r="C14" s="43" t="s">
        <v>65</v>
      </c>
      <c r="D14" s="2">
        <f>SUMIFS('Artist Profile Data (Weekly)'!$K:$K,'Artist Profile Data (Weekly)'!$E:$E,$C14,'Artist Profile Data (Weekly)'!$B:$B,$D$2)</f>
        <v>1275926</v>
      </c>
      <c r="E14" s="2">
        <f>SUMIFS('Artist Profile Data (Weekly)'!$L:$L,'Artist Profile Data (Weekly)'!$E:$E,$C14,'Artist Profile Data (Weekly)'!$B:$B,$D$2)</f>
        <v>186616030</v>
      </c>
      <c r="F14" s="2">
        <f>SUMIFS('Artist Profile Data (Weekly)'!$M:$M,'Artist Profile Data (Weekly)'!$E:$E,$C14,'Artist Profile Data (Weekly)'!$B:$B,D$2)</f>
        <v>1685783</v>
      </c>
      <c r="G14" s="70">
        <f>IFERROR(F14/D14,0)</f>
        <v>1.3212231743847214</v>
      </c>
      <c r="I14" s="43">
        <v>10</v>
      </c>
      <c r="J14" s="2">
        <f>SUMIFS('Artist Profile Data (Weekly)'!$K:$K,'Artist Profile Data (Weekly)'!$A:$A,1,'Artist Profile Data (Weekly)'!$B:$B,$I14)</f>
        <v>0</v>
      </c>
      <c r="K14" s="29">
        <f t="shared" si="0"/>
        <v>0</v>
      </c>
    </row>
    <row r="15" spans="3:11" x14ac:dyDescent="0.2">
      <c r="C15" s="43" t="s">
        <v>91</v>
      </c>
      <c r="D15" s="2">
        <f>SUMIFS('Artist Profile Data (Weekly)'!$K:$K,'Artist Profile Data (Weekly)'!$E:$E,$C15,'Artist Profile Data (Weekly)'!$B:$B,$D$2)</f>
        <v>802995</v>
      </c>
      <c r="E15" s="2">
        <f>SUMIFS('Artist Profile Data (Weekly)'!$L:$L,'Artist Profile Data (Weekly)'!$E:$E,$C15,'Artist Profile Data (Weekly)'!$B:$B,$D$2)</f>
        <v>198722502</v>
      </c>
      <c r="F15" s="2">
        <f>SUMIFS('Artist Profile Data (Weekly)'!$M:$M,'Artist Profile Data (Weekly)'!$E:$E,$C15,'Artist Profile Data (Weekly)'!$B:$B,D$2)</f>
        <v>993429</v>
      </c>
      <c r="G15" s="70">
        <f>IFERROR(F15/D15,0)</f>
        <v>1.2371546522705621</v>
      </c>
      <c r="I15" s="43">
        <v>11</v>
      </c>
      <c r="J15" s="2">
        <f>SUMIFS('Artist Profile Data (Weekly)'!$K:$K,'Artist Profile Data (Weekly)'!$A:$A,1,'Artist Profile Data (Weekly)'!$B:$B,$I15)</f>
        <v>0</v>
      </c>
      <c r="K15" s="29">
        <f t="shared" si="0"/>
        <v>0</v>
      </c>
    </row>
    <row r="16" spans="3:11" x14ac:dyDescent="0.2">
      <c r="C16" s="43" t="s">
        <v>49</v>
      </c>
      <c r="D16" s="2">
        <f>SUMIFS('Artist Profile Data (Weekly)'!$K:$K,'Artist Profile Data (Weekly)'!$E:$E,$C16,'Artist Profile Data (Weekly)'!$B:$B,$D$2)</f>
        <v>1693660</v>
      </c>
      <c r="E16" s="2">
        <f>SUMIFS('Artist Profile Data (Weekly)'!$L:$L,'Artist Profile Data (Weekly)'!$E:$E,$C16,'Artist Profile Data (Weekly)'!$B:$B,$D$2)</f>
        <v>271735115</v>
      </c>
      <c r="F16" s="2">
        <f>SUMIFS('Artist Profile Data (Weekly)'!$M:$M,'Artist Profile Data (Weekly)'!$E:$E,$C16,'Artist Profile Data (Weekly)'!$B:$B,D$2)</f>
        <v>2017591</v>
      </c>
      <c r="G16" s="70">
        <f>IFERROR(F16/D16,0)</f>
        <v>1.1912609378505721</v>
      </c>
      <c r="I16" s="43">
        <v>12</v>
      </c>
      <c r="J16" s="2">
        <f>SUMIFS('Artist Profile Data (Weekly)'!$K:$K,'Artist Profile Data (Weekly)'!$A:$A,1,'Artist Profile Data (Weekly)'!$B:$B,$I16)</f>
        <v>0</v>
      </c>
      <c r="K16" s="29">
        <f t="shared" si="0"/>
        <v>0</v>
      </c>
    </row>
    <row r="17" spans="3:11" x14ac:dyDescent="0.2">
      <c r="C17" s="43" t="s">
        <v>32</v>
      </c>
      <c r="D17" s="2">
        <f>SUMIFS('Artist Profile Data (Weekly)'!$K:$K,'Artist Profile Data (Weekly)'!$E:$E,$C17,'Artist Profile Data (Weekly)'!$B:$B,$D$2)</f>
        <v>4458982</v>
      </c>
      <c r="E17" s="2">
        <f>SUMIFS('Artist Profile Data (Weekly)'!$L:$L,'Artist Profile Data (Weekly)'!$E:$E,$C17,'Artist Profile Data (Weekly)'!$B:$B,$D$2)</f>
        <v>1463831442</v>
      </c>
      <c r="F17" s="2">
        <f>SUMIFS('Artist Profile Data (Weekly)'!$M:$M,'Artist Profile Data (Weekly)'!$E:$E,$C17,'Artist Profile Data (Weekly)'!$B:$B,D$2)</f>
        <v>4691122</v>
      </c>
      <c r="G17" s="70">
        <f>IFERROR(F17/D17,0)</f>
        <v>1.0520612103838949</v>
      </c>
      <c r="I17" s="43">
        <v>13</v>
      </c>
      <c r="J17" s="2">
        <f>SUMIFS('Artist Profile Data (Weekly)'!$K:$K,'Artist Profile Data (Weekly)'!$A:$A,1,'Artist Profile Data (Weekly)'!$B:$B,$I17)</f>
        <v>0</v>
      </c>
      <c r="K17" s="29">
        <f t="shared" si="0"/>
        <v>0</v>
      </c>
    </row>
    <row r="18" spans="3:11" x14ac:dyDescent="0.2">
      <c r="C18" s="43" t="s">
        <v>56</v>
      </c>
      <c r="D18" s="2">
        <f>SUMIFS('Artist Profile Data (Weekly)'!$K:$K,'Artist Profile Data (Weekly)'!$E:$E,$C18,'Artist Profile Data (Weekly)'!$B:$B,$D$2)</f>
        <v>1601098</v>
      </c>
      <c r="E18" s="2">
        <f>SUMIFS('Artist Profile Data (Weekly)'!$L:$L,'Artist Profile Data (Weekly)'!$E:$E,$C18,'Artist Profile Data (Weekly)'!$B:$B,$D$2)</f>
        <v>208116967</v>
      </c>
      <c r="F18" s="2">
        <f>SUMIFS('Artist Profile Data (Weekly)'!$M:$M,'Artist Profile Data (Weekly)'!$E:$E,$C18,'Artist Profile Data (Weekly)'!$B:$B,D$2)</f>
        <v>1544604</v>
      </c>
      <c r="G18" s="70">
        <f>IFERROR(F18/D18,0)</f>
        <v>0.96471546401282116</v>
      </c>
      <c r="I18" s="43">
        <v>14</v>
      </c>
      <c r="J18" s="2">
        <f>SUMIFS('Artist Profile Data (Weekly)'!$K:$K,'Artist Profile Data (Weekly)'!$A:$A,1,'Artist Profile Data (Weekly)'!$B:$B,$I18)</f>
        <v>0</v>
      </c>
      <c r="K18" s="29">
        <f t="shared" si="0"/>
        <v>0</v>
      </c>
    </row>
    <row r="19" spans="3:11" x14ac:dyDescent="0.2">
      <c r="C19" s="43" t="s">
        <v>81</v>
      </c>
      <c r="D19" s="2">
        <f>SUMIFS('Artist Profile Data (Weekly)'!$K:$K,'Artist Profile Data (Weekly)'!$E:$E,$C19,'Artist Profile Data (Weekly)'!$B:$B,$D$2)</f>
        <v>935363</v>
      </c>
      <c r="E19" s="2">
        <f>SUMIFS('Artist Profile Data (Weekly)'!$L:$L,'Artist Profile Data (Weekly)'!$E:$E,$C19,'Artist Profile Data (Weekly)'!$B:$B,$D$2)</f>
        <v>139368557</v>
      </c>
      <c r="F19" s="2">
        <f>SUMIFS('Artist Profile Data (Weekly)'!$M:$M,'Artist Profile Data (Weekly)'!$E:$E,$C19,'Artist Profile Data (Weekly)'!$B:$B,D$2)</f>
        <v>785224</v>
      </c>
      <c r="G19" s="70">
        <f>IFERROR(F19/D19,0)</f>
        <v>0.83948584667129234</v>
      </c>
      <c r="I19" s="43">
        <v>15</v>
      </c>
      <c r="J19" s="2">
        <f>SUMIFS('Artist Profile Data (Weekly)'!$K:$K,'Artist Profile Data (Weekly)'!$A:$A,1,'Artist Profile Data (Weekly)'!$B:$B,$I19)</f>
        <v>0</v>
      </c>
      <c r="K19" s="29">
        <f t="shared" si="0"/>
        <v>0</v>
      </c>
    </row>
    <row r="20" spans="3:11" x14ac:dyDescent="0.2">
      <c r="C20" s="43" t="s">
        <v>41</v>
      </c>
      <c r="D20" s="2">
        <f>SUMIFS('Artist Profile Data (Weekly)'!$K:$K,'Artist Profile Data (Weekly)'!$E:$E,$C20,'Artist Profile Data (Weekly)'!$B:$B,$D$2)</f>
        <v>2097947</v>
      </c>
      <c r="E20" s="2">
        <f>SUMIFS('Artist Profile Data (Weekly)'!$L:$L,'Artist Profile Data (Weekly)'!$E:$E,$C20,'Artist Profile Data (Weekly)'!$B:$B,$D$2)</f>
        <v>465967624</v>
      </c>
      <c r="F20" s="2">
        <f>SUMIFS('Artist Profile Data (Weekly)'!$M:$M,'Artist Profile Data (Weekly)'!$E:$E,$C20,'Artist Profile Data (Weekly)'!$B:$B,D$2)</f>
        <v>1469069</v>
      </c>
      <c r="G20" s="70">
        <f>IFERROR(F20/D20,0)</f>
        <v>0.70024123583674902</v>
      </c>
      <c r="I20" s="43">
        <v>16</v>
      </c>
      <c r="J20" s="2">
        <f>SUMIFS('Artist Profile Data (Weekly)'!$K:$K,'Artist Profile Data (Weekly)'!$A:$A,1,'Artist Profile Data (Weekly)'!$B:$B,$I20)</f>
        <v>0</v>
      </c>
      <c r="K20" s="29">
        <f t="shared" si="0"/>
        <v>0</v>
      </c>
    </row>
    <row r="21" spans="3:11" x14ac:dyDescent="0.2">
      <c r="C21" s="43" t="s">
        <v>26</v>
      </c>
      <c r="D21" s="2">
        <f>SUMIFS('Artist Profile Data (Weekly)'!$K:$K,'Artist Profile Data (Weekly)'!$E:$E,$C21,'Artist Profile Data (Weekly)'!$B:$B,$D$2)</f>
        <v>7907778</v>
      </c>
      <c r="E21" s="2">
        <f>SUMIFS('Artist Profile Data (Weekly)'!$L:$L,'Artist Profile Data (Weekly)'!$E:$E,$C21,'Artist Profile Data (Weekly)'!$B:$B,$D$2)</f>
        <v>1149482954</v>
      </c>
      <c r="F21" s="2">
        <f>SUMIFS('Artist Profile Data (Weekly)'!$M:$M,'Artist Profile Data (Weekly)'!$E:$E,$C21,'Artist Profile Data (Weekly)'!$B:$B,D$2)</f>
        <v>3813927</v>
      </c>
      <c r="G21" s="70">
        <f>IFERROR(F21/D21,0)</f>
        <v>0.48230071709145095</v>
      </c>
      <c r="I21" s="43">
        <v>17</v>
      </c>
      <c r="J21" s="2">
        <f>SUMIFS('Artist Profile Data (Weekly)'!$K:$K,'Artist Profile Data (Weekly)'!$A:$A,1,'Artist Profile Data (Weekly)'!$B:$B,$I21)</f>
        <v>0</v>
      </c>
      <c r="K21" s="29">
        <f t="shared" si="0"/>
        <v>0</v>
      </c>
    </row>
    <row r="22" spans="3:11" x14ac:dyDescent="0.2">
      <c r="C22" s="43" t="s">
        <v>39</v>
      </c>
      <c r="D22" s="2">
        <f>SUMIFS('Artist Profile Data (Weekly)'!$K:$K,'Artist Profile Data (Weekly)'!$E:$E,$C22,'Artist Profile Data (Weekly)'!$B:$B,$D$2)</f>
        <v>2146180</v>
      </c>
      <c r="E22" s="2">
        <f>SUMIFS('Artist Profile Data (Weekly)'!$L:$L,'Artist Profile Data (Weekly)'!$E:$E,$C22,'Artist Profile Data (Weekly)'!$B:$B,$D$2)</f>
        <v>223599478</v>
      </c>
      <c r="F22" s="2">
        <f>SUMIFS('Artist Profile Data (Weekly)'!$M:$M,'Artist Profile Data (Weekly)'!$E:$E,$C22,'Artist Profile Data (Weekly)'!$B:$B,D$2)</f>
        <v>802700</v>
      </c>
      <c r="G22" s="70">
        <f>IFERROR(F22/D22,0)</f>
        <v>0.37401336327801021</v>
      </c>
      <c r="I22" s="43">
        <v>18</v>
      </c>
      <c r="J22" s="2">
        <f>SUMIFS('Artist Profile Data (Weekly)'!$K:$K,'Artist Profile Data (Weekly)'!$A:$A,1,'Artist Profile Data (Weekly)'!$B:$B,$I22)</f>
        <v>0</v>
      </c>
      <c r="K22" s="29">
        <f t="shared" si="0"/>
        <v>0</v>
      </c>
    </row>
    <row r="23" spans="3:11" x14ac:dyDescent="0.2">
      <c r="C23" s="43" t="s">
        <v>61</v>
      </c>
      <c r="D23" s="2">
        <f>SUMIFS('Artist Profile Data (Weekly)'!$K:$K,'Artist Profile Data (Weekly)'!$E:$E,$C23,'Artist Profile Data (Weekly)'!$B:$B,$D$2)</f>
        <v>1535855</v>
      </c>
      <c r="E23" s="2">
        <f>SUMIFS('Artist Profile Data (Weekly)'!$L:$L,'Artist Profile Data (Weekly)'!$E:$E,$C23,'Artist Profile Data (Weekly)'!$B:$B,$D$2)</f>
        <v>209306995</v>
      </c>
      <c r="F23" s="2">
        <f>SUMIFS('Artist Profile Data (Weekly)'!$M:$M,'Artist Profile Data (Weekly)'!$E:$E,$C23,'Artist Profile Data (Weekly)'!$B:$B,D$2)</f>
        <v>562917</v>
      </c>
      <c r="G23" s="70">
        <f>IFERROR(F23/D23,0)</f>
        <v>0.36651702146361476</v>
      </c>
      <c r="I23" s="43">
        <v>19</v>
      </c>
      <c r="J23" s="2">
        <f>SUMIFS('Artist Profile Data (Weekly)'!$K:$K,'Artist Profile Data (Weekly)'!$A:$A,1,'Artist Profile Data (Weekly)'!$B:$B,$I23)</f>
        <v>0</v>
      </c>
      <c r="K23" s="29">
        <f t="shared" si="0"/>
        <v>0</v>
      </c>
    </row>
    <row r="24" spans="3:11" x14ac:dyDescent="0.2">
      <c r="C24" s="43" t="s">
        <v>30</v>
      </c>
      <c r="D24" s="2">
        <f>SUMIFS('Artist Profile Data (Weekly)'!$K:$K,'Artist Profile Data (Weekly)'!$E:$E,$C24,'Artist Profile Data (Weekly)'!$B:$B,$D$2)</f>
        <v>4669030</v>
      </c>
      <c r="E24" s="2">
        <f>SUMIFS('Artist Profile Data (Weekly)'!$L:$L,'Artist Profile Data (Weekly)'!$E:$E,$C24,'Artist Profile Data (Weekly)'!$B:$B,$D$2)</f>
        <v>620779039</v>
      </c>
      <c r="F24" s="2">
        <f>SUMIFS('Artist Profile Data (Weekly)'!$M:$M,'Artist Profile Data (Weekly)'!$E:$E,$C24,'Artist Profile Data (Weekly)'!$B:$B,D$2)</f>
        <v>1667314</v>
      </c>
      <c r="G24" s="70">
        <f>IFERROR(F24/D24,0)</f>
        <v>0.3571007254183417</v>
      </c>
      <c r="I24" s="43">
        <v>20</v>
      </c>
      <c r="J24" s="2">
        <f>SUMIFS('Artist Profile Data (Weekly)'!$K:$K,'Artist Profile Data (Weekly)'!$A:$A,1,'Artist Profile Data (Weekly)'!$B:$B,$I24)</f>
        <v>0</v>
      </c>
      <c r="K24" s="29">
        <f t="shared" si="0"/>
        <v>0</v>
      </c>
    </row>
    <row r="25" spans="3:11" x14ac:dyDescent="0.2">
      <c r="C25" s="43"/>
      <c r="F25" s="31"/>
      <c r="G25" s="44"/>
      <c r="I25" s="30"/>
      <c r="J25" s="31"/>
      <c r="K25" s="32"/>
    </row>
    <row r="26" spans="3:11" ht="17" thickBot="1" x14ac:dyDescent="0.25">
      <c r="C26" s="57" t="s">
        <v>483</v>
      </c>
      <c r="D26" s="58">
        <f>SUBTOTAL(9,D5:D24)</f>
        <v>36070934</v>
      </c>
      <c r="E26" s="58">
        <f>SUBTOTAL(9,E5:E24)</f>
        <v>7393959069</v>
      </c>
      <c r="F26" s="58">
        <f>SUBTOTAL(9,F5:F24)</f>
        <v>37848698</v>
      </c>
      <c r="G26" s="71"/>
    </row>
    <row r="27" spans="3:11" ht="17" thickTop="1" x14ac:dyDescent="0.2">
      <c r="C27" s="30"/>
      <c r="D27" s="31"/>
      <c r="E27" s="31"/>
      <c r="F27" s="69"/>
      <c r="G27" s="32"/>
    </row>
    <row r="28" spans="3:11" x14ac:dyDescent="0.2">
      <c r="I28" t="s">
        <v>698</v>
      </c>
    </row>
    <row r="30" spans="3:11" ht="17" customHeight="1" x14ac:dyDescent="0.2">
      <c r="I30" s="4"/>
    </row>
    <row r="37" spans="12:12" x14ac:dyDescent="0.2">
      <c r="L37" s="1"/>
    </row>
  </sheetData>
  <sortState xmlns:xlrd2="http://schemas.microsoft.com/office/spreadsheetml/2017/richdata2" ref="C5:G24">
    <sortCondition descending="1" ref="G5:G24"/>
  </sortState>
  <pageMargins left="0.7" right="0.7" top="0.75" bottom="0.75" header="0.3" footer="0.3"/>
  <pageSetup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Lookups!$H$2:$H$21</xm:f>
          </x14:formula1>
          <xm:sqref>D2</xm:sqref>
        </x14:dataValidation>
      </x14:dataValidations>
    </ext>
  </extLst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J80"/>
  <sheetViews>
    <sheetView showGridLines="0" zoomScale="138" workbookViewId="0">
      <selection activeCell="F78" sqref="F78"/>
    </sheetView>
  </sheetViews>
  <sheetFormatPr baseColWidth="10" defaultRowHeight="16" x14ac:dyDescent="0.2"/>
  <cols>
    <col min="3" max="3" width="15.6640625" bestFit="1" customWidth="1"/>
    <col min="4" max="6" width="14.33203125" bestFit="1" customWidth="1"/>
  </cols>
  <sheetData>
    <row r="1" spans="1:10" x14ac:dyDescent="0.2">
      <c r="A1">
        <v>2026</v>
      </c>
    </row>
    <row r="2" spans="1:10" x14ac:dyDescent="0.2">
      <c r="D2">
        <v>5</v>
      </c>
      <c r="E2">
        <v>6</v>
      </c>
      <c r="F2">
        <v>7</v>
      </c>
    </row>
    <row r="3" spans="1:10" x14ac:dyDescent="0.2">
      <c r="C3" s="16" t="s">
        <v>499</v>
      </c>
      <c r="D3" s="17"/>
      <c r="E3" s="17"/>
      <c r="F3" s="18"/>
      <c r="H3" s="19" t="s">
        <v>538</v>
      </c>
      <c r="I3" s="20"/>
      <c r="J3" s="21"/>
    </row>
    <row r="4" spans="1:10" x14ac:dyDescent="0.2">
      <c r="C4" s="60" t="s">
        <v>480</v>
      </c>
      <c r="D4" s="54" t="s">
        <v>497</v>
      </c>
      <c r="E4" s="54" t="s">
        <v>498</v>
      </c>
      <c r="F4" s="54" t="s">
        <v>532</v>
      </c>
      <c r="H4" s="56" t="s">
        <v>529</v>
      </c>
      <c r="I4" s="54" t="s">
        <v>530</v>
      </c>
      <c r="J4" s="55" t="s">
        <v>531</v>
      </c>
    </row>
    <row r="5" spans="1:10" x14ac:dyDescent="0.2">
      <c r="C5" t="s">
        <v>134</v>
      </c>
      <c r="D5" s="2">
        <f>SUMIFS('Streaming Data (2024-2026)'!$F:$F,'Streaming Data (2024-2026)'!$D:$D,$C5,'Streaming Data (2024-2026)'!$B:$B,D$2,'Streaming Data (2024-2026)'!$A:$A,$A$1)</f>
        <v>326254</v>
      </c>
      <c r="E5" s="2">
        <f>SUMIFS('Streaming Data (2024-2026)'!$F:$F,'Streaming Data (2024-2026)'!$D:$D,$C5,'Streaming Data (2024-2026)'!$B:$B,E$2,'Streaming Data (2024-2026)'!$A:$A,$A$1)</f>
        <v>361146</v>
      </c>
      <c r="F5" s="2">
        <f>SUMIFS('Streaming Data (2024-2026)'!$F:$F,'Streaming Data (2024-2026)'!$D:$D,$C5,'Streaming Data (2024-2026)'!$B:$B,F$2,'Streaming Data (2024-2026)'!$A:$A,$A$1)</f>
        <v>397115</v>
      </c>
      <c r="H5" s="27">
        <f t="shared" ref="H5:H24" si="0">IFERROR((E5-D5)/D5,0)</f>
        <v>0.10694734777198134</v>
      </c>
      <c r="I5" s="28">
        <f t="shared" ref="I5:I24" si="1">IFERROR((F5-E5)/E5,0)</f>
        <v>9.9596838951559755E-2</v>
      </c>
      <c r="J5" s="29">
        <f t="shared" ref="J5:J24" si="2">IFERROR((F5-D5)/D5,0)</f>
        <v>0.21719580449588358</v>
      </c>
    </row>
    <row r="6" spans="1:10" x14ac:dyDescent="0.2">
      <c r="C6" t="s">
        <v>65</v>
      </c>
      <c r="D6" s="2">
        <f>SUMIFS('Streaming Data (2024-2026)'!$F:$F,'Streaming Data (2024-2026)'!$D:$D,$C6,'Streaming Data (2024-2026)'!$B:$B,D$2,'Streaming Data (2024-2026)'!$A:$A,$A$1)</f>
        <v>1128567</v>
      </c>
      <c r="E6" s="2">
        <f>SUMIFS('Streaming Data (2024-2026)'!$F:$F,'Streaming Data (2024-2026)'!$D:$D,$C6,'Streaming Data (2024-2026)'!$B:$B,E$2,'Streaming Data (2024-2026)'!$A:$A,$A$1)</f>
        <v>1191790</v>
      </c>
      <c r="F6" s="2">
        <f>SUMIFS('Streaming Data (2024-2026)'!$F:$F,'Streaming Data (2024-2026)'!$D:$D,$C6,'Streaming Data (2024-2026)'!$B:$B,F$2,'Streaming Data (2024-2026)'!$A:$A,$A$1)</f>
        <v>1273152</v>
      </c>
      <c r="H6" s="27">
        <f t="shared" si="0"/>
        <v>5.6020599574504656E-2</v>
      </c>
      <c r="I6" s="28">
        <f t="shared" si="1"/>
        <v>6.8268738620058902E-2</v>
      </c>
      <c r="J6" s="29">
        <f t="shared" si="2"/>
        <v>0.12811379386425439</v>
      </c>
    </row>
    <row r="7" spans="1:10" x14ac:dyDescent="0.2">
      <c r="C7" t="s">
        <v>287</v>
      </c>
      <c r="D7" s="2">
        <f>SUMIFS('Streaming Data (2024-2026)'!$F:$F,'Streaming Data (2024-2026)'!$D:$D,$C7,'Streaming Data (2024-2026)'!$B:$B,D$2,'Streaming Data (2024-2026)'!$A:$A,$A$1)</f>
        <v>71071</v>
      </c>
      <c r="E7" s="2">
        <f>SUMIFS('Streaming Data (2024-2026)'!$F:$F,'Streaming Data (2024-2026)'!$D:$D,$C7,'Streaming Data (2024-2026)'!$B:$B,E$2,'Streaming Data (2024-2026)'!$A:$A,$A$1)</f>
        <v>75331</v>
      </c>
      <c r="F7" s="2">
        <f>SUMIFS('Streaming Data (2024-2026)'!$F:$F,'Streaming Data (2024-2026)'!$D:$D,$C7,'Streaming Data (2024-2026)'!$B:$B,F$2,'Streaming Data (2024-2026)'!$A:$A,$A$1)</f>
        <v>79045</v>
      </c>
      <c r="H7" s="27">
        <f t="shared" si="0"/>
        <v>5.9940059940059943E-2</v>
      </c>
      <c r="I7" s="28">
        <f t="shared" si="1"/>
        <v>4.9302412021611286E-2</v>
      </c>
      <c r="J7" s="29">
        <f t="shared" si="2"/>
        <v>0.11219766149343614</v>
      </c>
    </row>
    <row r="8" spans="1:10" x14ac:dyDescent="0.2">
      <c r="C8" t="s">
        <v>478</v>
      </c>
      <c r="D8" s="2">
        <f>SUMIFS('Streaming Data (2024-2026)'!$F:$F,'Streaming Data (2024-2026)'!$D:$D,$C8,'Streaming Data (2024-2026)'!$B:$B,D$2,'Streaming Data (2024-2026)'!$A:$A,$A$1)</f>
        <v>442078</v>
      </c>
      <c r="E8" s="2">
        <f>SUMIFS('Streaming Data (2024-2026)'!$F:$F,'Streaming Data (2024-2026)'!$D:$D,$C8,'Streaming Data (2024-2026)'!$B:$B,E$2,'Streaming Data (2024-2026)'!$A:$A,$A$1)</f>
        <v>470273</v>
      </c>
      <c r="F8" s="2">
        <f>SUMIFS('Streaming Data (2024-2026)'!$F:$F,'Streaming Data (2024-2026)'!$D:$D,$C8,'Streaming Data (2024-2026)'!$B:$B,F$2,'Streaming Data (2024-2026)'!$A:$A,$A$1)</f>
        <v>491635</v>
      </c>
      <c r="H8" s="27">
        <f t="shared" si="0"/>
        <v>6.3778337759399922E-2</v>
      </c>
      <c r="I8" s="28">
        <f t="shared" si="1"/>
        <v>4.5424678856749168E-2</v>
      </c>
      <c r="J8" s="29">
        <f t="shared" si="2"/>
        <v>0.11210012712688711</v>
      </c>
    </row>
    <row r="9" spans="1:10" x14ac:dyDescent="0.2">
      <c r="C9" t="s">
        <v>540</v>
      </c>
      <c r="D9" s="2">
        <f>SUMIFS('Streaming Data (2024-2026)'!$F:$F,'Streaming Data (2024-2026)'!$D:$D,$C9,'Streaming Data (2024-2026)'!$B:$B,D$2,'Streaming Data (2024-2026)'!$A:$A,$A$1)</f>
        <v>293673</v>
      </c>
      <c r="E9" s="2">
        <f>SUMIFS('Streaming Data (2024-2026)'!$F:$F,'Streaming Data (2024-2026)'!$D:$D,$C9,'Streaming Data (2024-2026)'!$B:$B,E$2,'Streaming Data (2024-2026)'!$A:$A,$A$1)</f>
        <v>309630</v>
      </c>
      <c r="F9" s="2">
        <f>SUMIFS('Streaming Data (2024-2026)'!$F:$F,'Streaming Data (2024-2026)'!$D:$D,$C9,'Streaming Data (2024-2026)'!$B:$B,F$2,'Streaming Data (2024-2026)'!$A:$A,$A$1)</f>
        <v>318057</v>
      </c>
      <c r="H9" s="27">
        <f t="shared" si="0"/>
        <v>5.4335945081774625E-2</v>
      </c>
      <c r="I9" s="28">
        <f t="shared" si="1"/>
        <v>2.7216355004360041E-2</v>
      </c>
      <c r="J9" s="29">
        <f t="shared" si="2"/>
        <v>8.3031126456977661E-2</v>
      </c>
    </row>
    <row r="10" spans="1:10" x14ac:dyDescent="0.2">
      <c r="C10" t="s">
        <v>49</v>
      </c>
      <c r="D10" s="2">
        <f>SUMIFS('Streaming Data (2024-2026)'!$F:$F,'Streaming Data (2024-2026)'!$D:$D,$C10,'Streaming Data (2024-2026)'!$B:$B,D$2,'Streaming Data (2024-2026)'!$A:$A,$A$1)</f>
        <v>1564098</v>
      </c>
      <c r="E10" s="2">
        <f>SUMIFS('Streaming Data (2024-2026)'!$F:$F,'Streaming Data (2024-2026)'!$D:$D,$C10,'Streaming Data (2024-2026)'!$B:$B,E$2,'Streaming Data (2024-2026)'!$A:$A,$A$1)</f>
        <v>1634196</v>
      </c>
      <c r="F10" s="2">
        <f>SUMIFS('Streaming Data (2024-2026)'!$F:$F,'Streaming Data (2024-2026)'!$D:$D,$C10,'Streaming Data (2024-2026)'!$B:$B,F$2,'Streaming Data (2024-2026)'!$A:$A,$A$1)</f>
        <v>1691439</v>
      </c>
      <c r="H10" s="27">
        <f t="shared" si="0"/>
        <v>4.4816884875500125E-2</v>
      </c>
      <c r="I10" s="28">
        <f t="shared" si="1"/>
        <v>3.5028234067394609E-2</v>
      </c>
      <c r="J10" s="29">
        <f t="shared" si="2"/>
        <v>8.1414975276485238E-2</v>
      </c>
    </row>
    <row r="11" spans="1:10" x14ac:dyDescent="0.2">
      <c r="C11" t="s">
        <v>45</v>
      </c>
      <c r="D11" s="2">
        <f>SUMIFS('Streaming Data (2024-2026)'!$F:$F,'Streaming Data (2024-2026)'!$D:$D,$C11,'Streaming Data (2024-2026)'!$B:$B,D$2,'Streaming Data (2024-2026)'!$A:$A,$A$1)</f>
        <v>1706291</v>
      </c>
      <c r="E11" s="2">
        <f>SUMIFS('Streaming Data (2024-2026)'!$F:$F,'Streaming Data (2024-2026)'!$D:$D,$C11,'Streaming Data (2024-2026)'!$B:$B,E$2,'Streaming Data (2024-2026)'!$A:$A,$A$1)</f>
        <v>1775021</v>
      </c>
      <c r="F11" s="2">
        <f>SUMIFS('Streaming Data (2024-2026)'!$F:$F,'Streaming Data (2024-2026)'!$D:$D,$C11,'Streaming Data (2024-2026)'!$B:$B,F$2,'Streaming Data (2024-2026)'!$A:$A,$A$1)</f>
        <v>1836645</v>
      </c>
      <c r="H11" s="27">
        <f t="shared" si="0"/>
        <v>4.0280350772523559E-2</v>
      </c>
      <c r="I11" s="28">
        <f t="shared" si="1"/>
        <v>3.4717335738563095E-2</v>
      </c>
      <c r="J11" s="29">
        <f t="shared" si="2"/>
        <v>7.6396112972523439E-2</v>
      </c>
    </row>
    <row r="12" spans="1:10" x14ac:dyDescent="0.2">
      <c r="C12" t="s">
        <v>91</v>
      </c>
      <c r="D12" s="2">
        <f>SUMIFS('Streaming Data (2024-2026)'!$F:$F,'Streaming Data (2024-2026)'!$D:$D,$C12,'Streaming Data (2024-2026)'!$B:$B,D$2,'Streaming Data (2024-2026)'!$A:$A,$A$1)</f>
        <v>755355</v>
      </c>
      <c r="E12" s="2">
        <f>SUMIFS('Streaming Data (2024-2026)'!$F:$F,'Streaming Data (2024-2026)'!$D:$D,$C12,'Streaming Data (2024-2026)'!$B:$B,E$2,'Streaming Data (2024-2026)'!$A:$A,$A$1)</f>
        <v>780255</v>
      </c>
      <c r="F12" s="2">
        <f>SUMIFS('Streaming Data (2024-2026)'!$F:$F,'Streaming Data (2024-2026)'!$D:$D,$C12,'Streaming Data (2024-2026)'!$B:$B,F$2,'Streaming Data (2024-2026)'!$A:$A,$A$1)</f>
        <v>802257</v>
      </c>
      <c r="H12" s="27">
        <f t="shared" si="0"/>
        <v>3.2964632523780207E-2</v>
      </c>
      <c r="I12" s="28">
        <f t="shared" si="1"/>
        <v>2.8198473575946324E-2</v>
      </c>
      <c r="J12" s="29">
        <f t="shared" si="2"/>
        <v>6.2092658418889134E-2</v>
      </c>
    </row>
    <row r="13" spans="1:10" x14ac:dyDescent="0.2">
      <c r="C13" t="s">
        <v>479</v>
      </c>
      <c r="D13" s="2">
        <f>SUMIFS('Streaming Data (2024-2026)'!$F:$F,'Streaming Data (2024-2026)'!$D:$D,$C13,'Streaming Data (2024-2026)'!$B:$B,D$2,'Streaming Data (2024-2026)'!$A:$A,$A$1)</f>
        <v>245041</v>
      </c>
      <c r="E13" s="2">
        <f>SUMIFS('Streaming Data (2024-2026)'!$F:$F,'Streaming Data (2024-2026)'!$D:$D,$C13,'Streaming Data (2024-2026)'!$B:$B,E$2,'Streaming Data (2024-2026)'!$A:$A,$A$1)</f>
        <v>251255</v>
      </c>
      <c r="F13" s="2">
        <f>SUMIFS('Streaming Data (2024-2026)'!$F:$F,'Streaming Data (2024-2026)'!$D:$D,$C13,'Streaming Data (2024-2026)'!$B:$B,F$2,'Streaming Data (2024-2026)'!$A:$A,$A$1)</f>
        <v>257555</v>
      </c>
      <c r="H13" s="27">
        <f t="shared" si="0"/>
        <v>2.5359021551495463E-2</v>
      </c>
      <c r="I13" s="28">
        <f t="shared" si="1"/>
        <v>2.5074127878052178E-2</v>
      </c>
      <c r="J13" s="29">
        <f t="shared" si="2"/>
        <v>5.1069004778792122E-2</v>
      </c>
    </row>
    <row r="14" spans="1:10" x14ac:dyDescent="0.2">
      <c r="C14" t="s">
        <v>30</v>
      </c>
      <c r="D14" s="2">
        <f>SUMIFS('Streaming Data (2024-2026)'!$F:$F,'Streaming Data (2024-2026)'!$D:$D,$C14,'Streaming Data (2024-2026)'!$B:$B,D$2,'Streaming Data (2024-2026)'!$A:$A,$A$1)</f>
        <v>4455569</v>
      </c>
      <c r="E14" s="2">
        <f>SUMIFS('Streaming Data (2024-2026)'!$F:$F,'Streaming Data (2024-2026)'!$D:$D,$C14,'Streaming Data (2024-2026)'!$B:$B,E$2,'Streaming Data (2024-2026)'!$A:$A,$A$1)</f>
        <v>4576550</v>
      </c>
      <c r="F14" s="2">
        <f>SUMIFS('Streaming Data (2024-2026)'!$F:$F,'Streaming Data (2024-2026)'!$D:$D,$C14,'Streaming Data (2024-2026)'!$B:$B,F$2,'Streaming Data (2024-2026)'!$A:$A,$A$1)</f>
        <v>4665879</v>
      </c>
      <c r="H14" s="27">
        <f t="shared" si="0"/>
        <v>2.7152760960496854E-2</v>
      </c>
      <c r="I14" s="28">
        <f t="shared" si="1"/>
        <v>1.9518851536637859E-2</v>
      </c>
      <c r="J14" s="29">
        <f t="shared" si="2"/>
        <v>4.7201603207132466E-2</v>
      </c>
    </row>
    <row r="15" spans="1:10" x14ac:dyDescent="0.2">
      <c r="C15" t="s">
        <v>125</v>
      </c>
      <c r="D15" s="2">
        <f>SUMIFS('Streaming Data (2024-2026)'!$F:$F,'Streaming Data (2024-2026)'!$D:$D,$C15,'Streaming Data (2024-2026)'!$B:$B,D$2,'Streaming Data (2024-2026)'!$A:$A,$A$1)</f>
        <v>420847</v>
      </c>
      <c r="E15" s="2">
        <f>SUMIFS('Streaming Data (2024-2026)'!$F:$F,'Streaming Data (2024-2026)'!$D:$D,$C15,'Streaming Data (2024-2026)'!$B:$B,E$2,'Streaming Data (2024-2026)'!$A:$A,$A$1)</f>
        <v>427745</v>
      </c>
      <c r="F15" s="2">
        <f>SUMIFS('Streaming Data (2024-2026)'!$F:$F,'Streaming Data (2024-2026)'!$D:$D,$C15,'Streaming Data (2024-2026)'!$B:$B,F$2,'Streaming Data (2024-2026)'!$A:$A,$A$1)</f>
        <v>439293</v>
      </c>
      <c r="H15" s="27">
        <f t="shared" si="0"/>
        <v>1.6390754834892489E-2</v>
      </c>
      <c r="I15" s="28">
        <f t="shared" si="1"/>
        <v>2.6997393306759869E-2</v>
      </c>
      <c r="J15" s="29">
        <f t="shared" si="2"/>
        <v>4.3830655796524627E-2</v>
      </c>
    </row>
    <row r="16" spans="1:10" x14ac:dyDescent="0.2">
      <c r="C16" t="s">
        <v>32</v>
      </c>
      <c r="D16" s="2">
        <f>SUMIFS('Streaming Data (2024-2026)'!$F:$F,'Streaming Data (2024-2026)'!$D:$D,$C16,'Streaming Data (2024-2026)'!$B:$B,D$2,'Streaming Data (2024-2026)'!$A:$A,$A$1)</f>
        <v>4286302</v>
      </c>
      <c r="E16" s="2">
        <f>SUMIFS('Streaming Data (2024-2026)'!$F:$F,'Streaming Data (2024-2026)'!$D:$D,$C16,'Streaming Data (2024-2026)'!$B:$B,E$2,'Streaming Data (2024-2026)'!$A:$A,$A$1)</f>
        <v>4381160</v>
      </c>
      <c r="F16" s="2">
        <f>SUMIFS('Streaming Data (2024-2026)'!$F:$F,'Streaming Data (2024-2026)'!$D:$D,$C16,'Streaming Data (2024-2026)'!$B:$B,F$2,'Streaming Data (2024-2026)'!$A:$A,$A$1)</f>
        <v>4456656</v>
      </c>
      <c r="H16" s="27">
        <f t="shared" si="0"/>
        <v>2.213049850430511E-2</v>
      </c>
      <c r="I16" s="28">
        <f t="shared" si="1"/>
        <v>1.7231965963352171E-2</v>
      </c>
      <c r="J16" s="29">
        <f t="shared" si="2"/>
        <v>3.9743816464635484E-2</v>
      </c>
    </row>
    <row r="17" spans="3:10" x14ac:dyDescent="0.2">
      <c r="C17" t="s">
        <v>26</v>
      </c>
      <c r="D17" s="2">
        <f>SUMIFS('Streaming Data (2024-2026)'!$F:$F,'Streaming Data (2024-2026)'!$D:$D,$C17,'Streaming Data (2024-2026)'!$B:$B,D$2,'Streaming Data (2024-2026)'!$A:$A,$A$1)</f>
        <v>7646607</v>
      </c>
      <c r="E17" s="2">
        <f>SUMIFS('Streaming Data (2024-2026)'!$F:$F,'Streaming Data (2024-2026)'!$D:$D,$C17,'Streaming Data (2024-2026)'!$B:$B,E$2,'Streaming Data (2024-2026)'!$A:$A,$A$1)</f>
        <v>7781089</v>
      </c>
      <c r="F17" s="2">
        <f>SUMIFS('Streaming Data (2024-2026)'!$F:$F,'Streaming Data (2024-2026)'!$D:$D,$C17,'Streaming Data (2024-2026)'!$B:$B,F$2,'Streaming Data (2024-2026)'!$A:$A,$A$1)</f>
        <v>7903606</v>
      </c>
      <c r="H17" s="27">
        <f t="shared" si="0"/>
        <v>1.7587146822113389E-2</v>
      </c>
      <c r="I17" s="28">
        <f t="shared" si="1"/>
        <v>1.5745482412551765E-2</v>
      </c>
      <c r="J17" s="29">
        <f t="shared" si="2"/>
        <v>3.3609547345639708E-2</v>
      </c>
    </row>
    <row r="18" spans="3:10" x14ac:dyDescent="0.2">
      <c r="C18" t="s">
        <v>58</v>
      </c>
      <c r="D18" s="2">
        <f>SUMIFS('Streaming Data (2024-2026)'!$F:$F,'Streaming Data (2024-2026)'!$D:$D,$C18,'Streaming Data (2024-2026)'!$B:$B,D$2,'Streaming Data (2024-2026)'!$A:$A,$A$1)</f>
        <v>1522286</v>
      </c>
      <c r="E18" s="2">
        <f>SUMIFS('Streaming Data (2024-2026)'!$F:$F,'Streaming Data (2024-2026)'!$D:$D,$C18,'Streaming Data (2024-2026)'!$B:$B,E$2,'Streaming Data (2024-2026)'!$A:$A,$A$1)</f>
        <v>1549038</v>
      </c>
      <c r="F18" s="2">
        <f>SUMIFS('Streaming Data (2024-2026)'!$F:$F,'Streaming Data (2024-2026)'!$D:$D,$C18,'Streaming Data (2024-2026)'!$B:$B,F$2,'Streaming Data (2024-2026)'!$A:$A,$A$1)</f>
        <v>1570243</v>
      </c>
      <c r="H18" s="27">
        <f t="shared" si="0"/>
        <v>1.7573570275230804E-2</v>
      </c>
      <c r="I18" s="28">
        <f t="shared" si="1"/>
        <v>1.3689141260575919E-2</v>
      </c>
      <c r="J18" s="29">
        <f t="shared" si="2"/>
        <v>3.1503278621757017E-2</v>
      </c>
    </row>
    <row r="19" spans="3:10" x14ac:dyDescent="0.2">
      <c r="C19" t="s">
        <v>56</v>
      </c>
      <c r="D19" s="2">
        <f>SUMIFS('Streaming Data (2024-2026)'!$F:$F,'Streaming Data (2024-2026)'!$D:$D,$C19,'Streaming Data (2024-2026)'!$B:$B,D$2,'Streaming Data (2024-2026)'!$A:$A,$A$1)</f>
        <v>1568406</v>
      </c>
      <c r="E19" s="2">
        <f>SUMIFS('Streaming Data (2024-2026)'!$F:$F,'Streaming Data (2024-2026)'!$D:$D,$C19,'Streaming Data (2024-2026)'!$B:$B,E$2,'Streaming Data (2024-2026)'!$A:$A,$A$1)</f>
        <v>1581619</v>
      </c>
      <c r="F19" s="2">
        <f>SUMIFS('Streaming Data (2024-2026)'!$F:$F,'Streaming Data (2024-2026)'!$D:$D,$C19,'Streaming Data (2024-2026)'!$B:$B,F$2,'Streaming Data (2024-2026)'!$A:$A,$A$1)</f>
        <v>1600525</v>
      </c>
      <c r="H19" s="27">
        <f t="shared" si="0"/>
        <v>8.4244768255158416E-3</v>
      </c>
      <c r="I19" s="28">
        <f t="shared" si="1"/>
        <v>1.1953574154078828E-2</v>
      </c>
      <c r="J19" s="29">
        <f t="shared" si="2"/>
        <v>2.0478753588037791E-2</v>
      </c>
    </row>
    <row r="20" spans="3:10" x14ac:dyDescent="0.2">
      <c r="C20" t="s">
        <v>542</v>
      </c>
      <c r="D20" s="2">
        <f>SUMIFS('Streaming Data (2024-2026)'!$F:$F,'Streaming Data (2024-2026)'!$D:$D,$C20,'Streaming Data (2024-2026)'!$B:$B,D$2,'Streaming Data (2024-2026)'!$A:$A,$A$1)</f>
        <v>2111542</v>
      </c>
      <c r="E20" s="2">
        <f>SUMIFS('Streaming Data (2024-2026)'!$F:$F,'Streaming Data (2024-2026)'!$D:$D,$C20,'Streaming Data (2024-2026)'!$B:$B,E$2,'Streaming Data (2024-2026)'!$A:$A,$A$1)</f>
        <v>2127666</v>
      </c>
      <c r="F20" s="2">
        <f>SUMIFS('Streaming Data (2024-2026)'!$F:$F,'Streaming Data (2024-2026)'!$D:$D,$C20,'Streaming Data (2024-2026)'!$B:$B,F$2,'Streaming Data (2024-2026)'!$A:$A,$A$1)</f>
        <v>2145000</v>
      </c>
      <c r="H20" s="27">
        <f t="shared" si="0"/>
        <v>7.6361256370936501E-3</v>
      </c>
      <c r="I20" s="28">
        <f t="shared" si="1"/>
        <v>8.1469553961947029E-3</v>
      </c>
      <c r="J20" s="29">
        <f t="shared" si="2"/>
        <v>1.5845292208253495E-2</v>
      </c>
    </row>
    <row r="21" spans="3:10" x14ac:dyDescent="0.2">
      <c r="C21" t="s">
        <v>81</v>
      </c>
      <c r="D21" s="2">
        <f>SUMIFS('Streaming Data (2024-2026)'!$F:$F,'Streaming Data (2024-2026)'!$D:$D,$C21,'Streaming Data (2024-2026)'!$B:$B,D$2,'Streaming Data (2024-2026)'!$A:$A,$A$1)</f>
        <v>920569</v>
      </c>
      <c r="E21" s="2">
        <f>SUMIFS('Streaming Data (2024-2026)'!$F:$F,'Streaming Data (2024-2026)'!$D:$D,$C21,'Streaming Data (2024-2026)'!$B:$B,E$2,'Streaming Data (2024-2026)'!$A:$A,$A$1)</f>
        <v>927595</v>
      </c>
      <c r="F21" s="2">
        <f>SUMIFS('Streaming Data (2024-2026)'!$F:$F,'Streaming Data (2024-2026)'!$D:$D,$C21,'Streaming Data (2024-2026)'!$B:$B,F$2,'Streaming Data (2024-2026)'!$A:$A,$A$1)</f>
        <v>934958</v>
      </c>
      <c r="H21" s="27">
        <f t="shared" si="0"/>
        <v>7.632236149598781E-3</v>
      </c>
      <c r="I21" s="28">
        <f t="shared" si="1"/>
        <v>7.9377314452967074E-3</v>
      </c>
      <c r="J21" s="29">
        <f t="shared" si="2"/>
        <v>1.5630550235778088E-2</v>
      </c>
    </row>
    <row r="22" spans="3:10" x14ac:dyDescent="0.2">
      <c r="C22" t="s">
        <v>61</v>
      </c>
      <c r="D22" s="2">
        <f>SUMIFS('Streaming Data (2024-2026)'!$F:$F,'Streaming Data (2024-2026)'!$D:$D,$C22,'Streaming Data (2024-2026)'!$B:$B,D$2,'Streaming Data (2024-2026)'!$A:$A,$A$1)</f>
        <v>1513168</v>
      </c>
      <c r="E22" s="2">
        <f>SUMIFS('Streaming Data (2024-2026)'!$F:$F,'Streaming Data (2024-2026)'!$D:$D,$C22,'Streaming Data (2024-2026)'!$B:$B,E$2,'Streaming Data (2024-2026)'!$A:$A,$A$1)</f>
        <v>1524474</v>
      </c>
      <c r="F22" s="2">
        <f>SUMIFS('Streaming Data (2024-2026)'!$F:$F,'Streaming Data (2024-2026)'!$D:$D,$C22,'Streaming Data (2024-2026)'!$B:$B,F$2,'Streaming Data (2024-2026)'!$A:$A,$A$1)</f>
        <v>1534731</v>
      </c>
      <c r="H22" s="27">
        <f t="shared" si="0"/>
        <v>7.4717414061095657E-3</v>
      </c>
      <c r="I22" s="28">
        <f t="shared" si="1"/>
        <v>6.7282223245525999E-3</v>
      </c>
      <c r="J22" s="29">
        <f t="shared" si="2"/>
        <v>1.4250235267994037E-2</v>
      </c>
    </row>
    <row r="23" spans="3:10" x14ac:dyDescent="0.2">
      <c r="C23" t="s">
        <v>41</v>
      </c>
      <c r="D23" s="2">
        <f>SUMIFS('Streaming Data (2024-2026)'!$F:$F,'Streaming Data (2024-2026)'!$D:$D,$C23,'Streaming Data (2024-2026)'!$B:$B,D$2,'Streaming Data (2024-2026)'!$A:$A,$A$1)</f>
        <v>2071063</v>
      </c>
      <c r="E23" s="2">
        <f>SUMIFS('Streaming Data (2024-2026)'!$F:$F,'Streaming Data (2024-2026)'!$D:$D,$C23,'Streaming Data (2024-2026)'!$B:$B,E$2,'Streaming Data (2024-2026)'!$A:$A,$A$1)</f>
        <v>2086011</v>
      </c>
      <c r="F23" s="2">
        <f>SUMIFS('Streaming Data (2024-2026)'!$F:$F,'Streaming Data (2024-2026)'!$D:$D,$C23,'Streaming Data (2024-2026)'!$B:$B,F$2,'Streaming Data (2024-2026)'!$A:$A,$A$1)</f>
        <v>2097476</v>
      </c>
      <c r="H23" s="27">
        <f t="shared" si="0"/>
        <v>7.217549635139057E-3</v>
      </c>
      <c r="I23" s="28">
        <f t="shared" si="1"/>
        <v>5.4961359264164957E-3</v>
      </c>
      <c r="J23" s="29">
        <f t="shared" si="2"/>
        <v>1.2753354195405934E-2</v>
      </c>
    </row>
    <row r="24" spans="3:10" x14ac:dyDescent="0.2">
      <c r="C24" t="s">
        <v>60</v>
      </c>
      <c r="D24" s="2">
        <f>SUMIFS('Streaming Data (2024-2026)'!$F:$F,'Streaming Data (2024-2026)'!$D:$D,$C24,'Streaming Data (2024-2026)'!$B:$B,D$2,'Streaming Data (2024-2026)'!$A:$A,$A$1)</f>
        <v>1540959</v>
      </c>
      <c r="E24" s="2">
        <f>SUMIFS('Streaming Data (2024-2026)'!$F:$F,'Streaming Data (2024-2026)'!$D:$D,$C24,'Streaming Data (2024-2026)'!$B:$B,E$2,'Streaming Data (2024-2026)'!$A:$A,$A$1)</f>
        <v>1545812</v>
      </c>
      <c r="F24" s="2">
        <f>SUMIFS('Streaming Data (2024-2026)'!$F:$F,'Streaming Data (2024-2026)'!$D:$D,$C24,'Streaming Data (2024-2026)'!$B:$B,F$2,'Streaming Data (2024-2026)'!$A:$A,$A$1)</f>
        <v>1550966</v>
      </c>
      <c r="H24" s="27">
        <f t="shared" si="0"/>
        <v>3.149337522932148E-3</v>
      </c>
      <c r="I24" s="28">
        <f t="shared" si="1"/>
        <v>3.3341700025617603E-3</v>
      </c>
      <c r="J24" s="29">
        <f t="shared" si="2"/>
        <v>6.494007952190811E-3</v>
      </c>
    </row>
    <row r="25" spans="3:10" x14ac:dyDescent="0.2">
      <c r="H25" s="30"/>
      <c r="I25" s="31"/>
      <c r="J25" s="32"/>
    </row>
    <row r="27" spans="3:10" x14ac:dyDescent="0.2">
      <c r="C27" s="16" t="s">
        <v>482</v>
      </c>
      <c r="D27" s="17"/>
      <c r="E27" s="17"/>
      <c r="F27" s="18"/>
      <c r="H27" s="19" t="s">
        <v>538</v>
      </c>
      <c r="I27" s="20"/>
      <c r="J27" s="21"/>
    </row>
    <row r="28" spans="3:10" x14ac:dyDescent="0.2">
      <c r="C28" s="60" t="s">
        <v>480</v>
      </c>
      <c r="D28" s="54" t="s">
        <v>497</v>
      </c>
      <c r="E28" s="54" t="s">
        <v>498</v>
      </c>
      <c r="F28" s="54" t="s">
        <v>532</v>
      </c>
      <c r="H28" s="56" t="s">
        <v>529</v>
      </c>
      <c r="I28" s="54" t="s">
        <v>530</v>
      </c>
      <c r="J28" s="55" t="s">
        <v>531</v>
      </c>
    </row>
    <row r="29" spans="3:10" x14ac:dyDescent="0.2">
      <c r="C29" t="s">
        <v>134</v>
      </c>
      <c r="D29" s="2">
        <f>SUMIFS('Streaming Data (2024-2026)'!$H:$H,'Streaming Data (2024-2026)'!$D:$D,$C29,'Streaming Data (2024-2026)'!$B:$B,D$2,'Streaming Data (2024-2026)'!$A:$A,$A$1)</f>
        <v>199470478</v>
      </c>
      <c r="E29" s="2">
        <f>SUMIFS('Streaming Data (2024-2026)'!$H:$H,'Streaming Data (2024-2026)'!$D:$D,$C29,'Streaming Data (2024-2026)'!$B:$B,E$2,'Streaming Data (2024-2026)'!$A:$A,$A$1)</f>
        <v>216330865</v>
      </c>
      <c r="F29" s="2">
        <f>SUMIFS('Streaming Data (2024-2026)'!$H:$H,'Streaming Data (2024-2026)'!$D:$D,$C29,'Streaming Data (2024-2026)'!$B:$B,F$2,'Streaming Data (2024-2026)'!$A:$A,$A$1)</f>
        <v>232932135</v>
      </c>
      <c r="H29" s="27">
        <f t="shared" ref="H29:H48" si="3">IFERROR((E29-D29)/D29,0)</f>
        <v>8.4525726157832742E-2</v>
      </c>
      <c r="I29" s="28">
        <f t="shared" ref="I29:I48" si="4">IFERROR((F29-E29)/E29,0)</f>
        <v>7.674018222041501E-2</v>
      </c>
      <c r="J29" s="29">
        <f t="shared" ref="J29:J48" si="5">IFERROR((F29-D29)/D29,0)</f>
        <v>0.16775242800591272</v>
      </c>
    </row>
    <row r="30" spans="3:10" x14ac:dyDescent="0.2">
      <c r="C30" t="s">
        <v>540</v>
      </c>
      <c r="D30" s="2">
        <f>SUMIFS('Streaming Data (2024-2026)'!$H:$H,'Streaming Data (2024-2026)'!$D:$D,$C30,'Streaming Data (2024-2026)'!$B:$B,D$2,'Streaming Data (2024-2026)'!$A:$A,$A$1)</f>
        <v>84564458</v>
      </c>
      <c r="E30" s="2">
        <f>SUMIFS('Streaming Data (2024-2026)'!$H:$H,'Streaming Data (2024-2026)'!$D:$D,$C30,'Streaming Data (2024-2026)'!$B:$B,E$2,'Streaming Data (2024-2026)'!$A:$A,$A$1)</f>
        <v>91366745</v>
      </c>
      <c r="F30" s="2">
        <f>SUMIFS('Streaming Data (2024-2026)'!$H:$H,'Streaming Data (2024-2026)'!$D:$D,$C30,'Streaming Data (2024-2026)'!$B:$B,F$2,'Streaming Data (2024-2026)'!$A:$A,$A$1)</f>
        <v>97973981</v>
      </c>
      <c r="H30" s="27">
        <f t="shared" si="3"/>
        <v>8.0439077608704126E-2</v>
      </c>
      <c r="I30" s="28">
        <f t="shared" si="4"/>
        <v>7.231554544271003E-2</v>
      </c>
      <c r="J30" s="29">
        <f t="shared" si="5"/>
        <v>0.15857161882359608</v>
      </c>
    </row>
    <row r="31" spans="3:10" x14ac:dyDescent="0.2">
      <c r="C31" t="s">
        <v>287</v>
      </c>
      <c r="D31" s="2">
        <f>SUMIFS('Streaming Data (2024-2026)'!$H:$H,'Streaming Data (2024-2026)'!$D:$D,$C31,'Streaming Data (2024-2026)'!$B:$B,D$2,'Streaming Data (2024-2026)'!$A:$A,$A$1)</f>
        <v>134163100</v>
      </c>
      <c r="E31" s="2">
        <f>SUMIFS('Streaming Data (2024-2026)'!$H:$H,'Streaming Data (2024-2026)'!$D:$D,$C31,'Streaming Data (2024-2026)'!$B:$B,E$2,'Streaming Data (2024-2026)'!$A:$A,$A$1)</f>
        <v>142564943</v>
      </c>
      <c r="F31" s="2">
        <f>SUMIFS('Streaming Data (2024-2026)'!$H:$H,'Streaming Data (2024-2026)'!$D:$D,$C31,'Streaming Data (2024-2026)'!$B:$B,F$2,'Streaming Data (2024-2026)'!$A:$A,$A$1)</f>
        <v>150174429</v>
      </c>
      <c r="H31" s="27">
        <f t="shared" si="3"/>
        <v>6.2624097087798355E-2</v>
      </c>
      <c r="I31" s="28">
        <f t="shared" si="4"/>
        <v>5.337557635049172E-2</v>
      </c>
      <c r="J31" s="29">
        <f t="shared" si="5"/>
        <v>0.11934227071378047</v>
      </c>
    </row>
    <row r="32" spans="3:10" x14ac:dyDescent="0.2">
      <c r="C32" t="s">
        <v>478</v>
      </c>
      <c r="D32" s="2">
        <f>SUMIFS('Streaming Data (2024-2026)'!$H:$H,'Streaming Data (2024-2026)'!$D:$D,$C32,'Streaming Data (2024-2026)'!$B:$B,D$2,'Streaming Data (2024-2026)'!$A:$A,$A$1)</f>
        <v>262915560</v>
      </c>
      <c r="E32" s="2">
        <f>SUMIFS('Streaming Data (2024-2026)'!$H:$H,'Streaming Data (2024-2026)'!$D:$D,$C32,'Streaming Data (2024-2026)'!$B:$B,E$2,'Streaming Data (2024-2026)'!$A:$A,$A$1)</f>
        <v>275566413</v>
      </c>
      <c r="F32" s="2">
        <f>SUMIFS('Streaming Data (2024-2026)'!$H:$H,'Streaming Data (2024-2026)'!$D:$D,$C32,'Streaming Data (2024-2026)'!$B:$B,F$2,'Streaming Data (2024-2026)'!$A:$A,$A$1)</f>
        <v>286537146</v>
      </c>
      <c r="H32" s="27">
        <f t="shared" si="3"/>
        <v>4.8117551505890331E-2</v>
      </c>
      <c r="I32" s="28">
        <f t="shared" si="4"/>
        <v>3.9811575295280996E-2</v>
      </c>
      <c r="J32" s="29">
        <f t="shared" si="5"/>
        <v>8.9844762325972646E-2</v>
      </c>
    </row>
    <row r="33" spans="3:10" x14ac:dyDescent="0.2">
      <c r="C33" t="s">
        <v>479</v>
      </c>
      <c r="D33" s="2">
        <f>SUMIFS('Streaming Data (2024-2026)'!$H:$H,'Streaming Data (2024-2026)'!$D:$D,$C33,'Streaming Data (2024-2026)'!$B:$B,D$2,'Streaming Data (2024-2026)'!$A:$A,$A$1)</f>
        <v>116981530</v>
      </c>
      <c r="E33" s="2">
        <f>SUMIFS('Streaming Data (2024-2026)'!$H:$H,'Streaming Data (2024-2026)'!$D:$D,$C33,'Streaming Data (2024-2026)'!$B:$B,E$2,'Streaming Data (2024-2026)'!$A:$A,$A$1)</f>
        <v>122100279</v>
      </c>
      <c r="F33" s="2">
        <f>SUMIFS('Streaming Data (2024-2026)'!$H:$H,'Streaming Data (2024-2026)'!$D:$D,$C33,'Streaming Data (2024-2026)'!$B:$B,F$2,'Streaming Data (2024-2026)'!$A:$A,$A$1)</f>
        <v>127213464</v>
      </c>
      <c r="H33" s="27">
        <f t="shared" si="3"/>
        <v>4.375689905919336E-2</v>
      </c>
      <c r="I33" s="28">
        <f t="shared" si="4"/>
        <v>4.1876931337724459E-2</v>
      </c>
      <c r="J33" s="29">
        <f t="shared" si="5"/>
        <v>8.74662350543714E-2</v>
      </c>
    </row>
    <row r="34" spans="3:10" x14ac:dyDescent="0.2">
      <c r="C34" t="s">
        <v>45</v>
      </c>
      <c r="D34" s="2">
        <f>SUMIFS('Streaming Data (2024-2026)'!$H:$H,'Streaming Data (2024-2026)'!$D:$D,$C34,'Streaming Data (2024-2026)'!$B:$B,D$2,'Streaming Data (2024-2026)'!$A:$A,$A$1)</f>
        <v>426326820</v>
      </c>
      <c r="E34" s="2">
        <f>SUMIFS('Streaming Data (2024-2026)'!$H:$H,'Streaming Data (2024-2026)'!$D:$D,$C34,'Streaming Data (2024-2026)'!$B:$B,E$2,'Streaming Data (2024-2026)'!$A:$A,$A$1)</f>
        <v>444736661</v>
      </c>
      <c r="F34" s="2">
        <f>SUMIFS('Streaming Data (2024-2026)'!$H:$H,'Streaming Data (2024-2026)'!$D:$D,$C34,'Streaming Data (2024-2026)'!$B:$B,F$2,'Streaming Data (2024-2026)'!$A:$A,$A$1)</f>
        <v>461440317</v>
      </c>
      <c r="H34" s="27">
        <f t="shared" si="3"/>
        <v>4.3182460348143242E-2</v>
      </c>
      <c r="I34" s="28">
        <f t="shared" si="4"/>
        <v>3.7558531744249439E-2</v>
      </c>
      <c r="J34" s="29">
        <f t="shared" si="5"/>
        <v>8.2362861900173209E-2</v>
      </c>
    </row>
    <row r="35" spans="3:10" x14ac:dyDescent="0.2">
      <c r="C35" t="s">
        <v>65</v>
      </c>
      <c r="D35" s="2">
        <f>SUMIFS('Streaming Data (2024-2026)'!$H:$H,'Streaming Data (2024-2026)'!$D:$D,$C35,'Streaming Data (2024-2026)'!$B:$B,D$2,'Streaming Data (2024-2026)'!$A:$A,$A$1)</f>
        <v>172284442</v>
      </c>
      <c r="E35" s="2">
        <f>SUMIFS('Streaming Data (2024-2026)'!$H:$H,'Streaming Data (2024-2026)'!$D:$D,$C35,'Streaming Data (2024-2026)'!$B:$B,E$2,'Streaming Data (2024-2026)'!$A:$A,$A$1)</f>
        <v>179414232</v>
      </c>
      <c r="F35" s="2">
        <f>SUMIFS('Streaming Data (2024-2026)'!$H:$H,'Streaming Data (2024-2026)'!$D:$D,$C35,'Streaming Data (2024-2026)'!$B:$B,F$2,'Streaming Data (2024-2026)'!$A:$A,$A$1)</f>
        <v>186403596</v>
      </c>
      <c r="H35" s="27">
        <f t="shared" si="3"/>
        <v>4.1383829655378866E-2</v>
      </c>
      <c r="I35" s="28">
        <f t="shared" si="4"/>
        <v>3.895657508374252E-2</v>
      </c>
      <c r="J35" s="29">
        <f t="shared" si="5"/>
        <v>8.1952577006343966E-2</v>
      </c>
    </row>
    <row r="36" spans="3:10" x14ac:dyDescent="0.2">
      <c r="C36" t="s">
        <v>49</v>
      </c>
      <c r="D36" s="2">
        <f>SUMIFS('Streaming Data (2024-2026)'!$H:$H,'Streaming Data (2024-2026)'!$D:$D,$C36,'Streaming Data (2024-2026)'!$B:$B,D$2,'Streaming Data (2024-2026)'!$A:$A,$A$1)</f>
        <v>254314841</v>
      </c>
      <c r="E36" s="2">
        <f>SUMIFS('Streaming Data (2024-2026)'!$H:$H,'Streaming Data (2024-2026)'!$D:$D,$C36,'Streaming Data (2024-2026)'!$B:$B,E$2,'Streaming Data (2024-2026)'!$A:$A,$A$1)</f>
        <v>263362547</v>
      </c>
      <c r="F36" s="2">
        <f>SUMIFS('Streaming Data (2024-2026)'!$H:$H,'Streaming Data (2024-2026)'!$D:$D,$C36,'Streaming Data (2024-2026)'!$B:$B,F$2,'Streaming Data (2024-2026)'!$A:$A,$A$1)</f>
        <v>271481212</v>
      </c>
      <c r="H36" s="27">
        <f t="shared" si="3"/>
        <v>3.5576791210545203E-2</v>
      </c>
      <c r="I36" s="28">
        <f t="shared" si="4"/>
        <v>3.0826953537930357E-2</v>
      </c>
      <c r="J36" s="29">
        <f t="shared" si="5"/>
        <v>6.7500468838151681E-2</v>
      </c>
    </row>
    <row r="37" spans="3:10" x14ac:dyDescent="0.2">
      <c r="C37" t="s">
        <v>58</v>
      </c>
      <c r="D37" s="2">
        <f>SUMIFS('Streaming Data (2024-2026)'!$H:$H,'Streaming Data (2024-2026)'!$D:$D,$C37,'Streaming Data (2024-2026)'!$B:$B,D$2,'Streaming Data (2024-2026)'!$A:$A,$A$1)</f>
        <v>365417834</v>
      </c>
      <c r="E37" s="2">
        <f>SUMIFS('Streaming Data (2024-2026)'!$H:$H,'Streaming Data (2024-2026)'!$D:$D,$C37,'Streaming Data (2024-2026)'!$B:$B,E$2,'Streaming Data (2024-2026)'!$A:$A,$A$1)</f>
        <v>376549174</v>
      </c>
      <c r="F37" s="2">
        <f>SUMIFS('Streaming Data (2024-2026)'!$H:$H,'Streaming Data (2024-2026)'!$D:$D,$C37,'Streaming Data (2024-2026)'!$B:$B,F$2,'Streaming Data (2024-2026)'!$A:$A,$A$1)</f>
        <v>386216622</v>
      </c>
      <c r="H37" s="27">
        <f t="shared" si="3"/>
        <v>3.046195057901854E-2</v>
      </c>
      <c r="I37" s="28">
        <f t="shared" si="4"/>
        <v>2.5673799512836003E-2</v>
      </c>
      <c r="J37" s="29">
        <f t="shared" si="5"/>
        <v>5.6917824103790184E-2</v>
      </c>
    </row>
    <row r="38" spans="3:10" x14ac:dyDescent="0.2">
      <c r="C38" t="s">
        <v>56</v>
      </c>
      <c r="D38" s="2">
        <f>SUMIFS('Streaming Data (2024-2026)'!$H:$H,'Streaming Data (2024-2026)'!$D:$D,$C38,'Streaming Data (2024-2026)'!$B:$B,D$2,'Streaming Data (2024-2026)'!$A:$A,$A$1)</f>
        <v>196883759</v>
      </c>
      <c r="E38" s="2">
        <f>SUMIFS('Streaming Data (2024-2026)'!$H:$H,'Streaming Data (2024-2026)'!$D:$D,$C38,'Streaming Data (2024-2026)'!$B:$B,E$2,'Streaming Data (2024-2026)'!$A:$A,$A$1)</f>
        <v>202380404</v>
      </c>
      <c r="F38" s="2">
        <f>SUMIFS('Streaming Data (2024-2026)'!$H:$H,'Streaming Data (2024-2026)'!$D:$D,$C38,'Streaming Data (2024-2026)'!$B:$B,F$2,'Streaming Data (2024-2026)'!$A:$A,$A$1)</f>
        <v>207928923</v>
      </c>
      <c r="H38" s="27">
        <f t="shared" si="3"/>
        <v>2.7918224580423621E-2</v>
      </c>
      <c r="I38" s="28">
        <f t="shared" si="4"/>
        <v>2.7416285817869996E-2</v>
      </c>
      <c r="J38" s="29">
        <f t="shared" si="5"/>
        <v>5.6099924422917995E-2</v>
      </c>
    </row>
    <row r="39" spans="3:10" x14ac:dyDescent="0.2">
      <c r="C39" t="s">
        <v>26</v>
      </c>
      <c r="D39" s="2">
        <f>SUMIFS('Streaming Data (2024-2026)'!$H:$H,'Streaming Data (2024-2026)'!$D:$D,$C39,'Streaming Data (2024-2026)'!$B:$B,D$2,'Streaming Data (2024-2026)'!$A:$A,$A$1)</f>
        <v>1087941638</v>
      </c>
      <c r="E39" s="2">
        <f>SUMIFS('Streaming Data (2024-2026)'!$H:$H,'Streaming Data (2024-2026)'!$D:$D,$C39,'Streaming Data (2024-2026)'!$B:$B,E$2,'Streaming Data (2024-2026)'!$A:$A,$A$1)</f>
        <v>1121801331</v>
      </c>
      <c r="F39" s="2">
        <f>SUMIFS('Streaming Data (2024-2026)'!$H:$H,'Streaming Data (2024-2026)'!$D:$D,$C39,'Streaming Data (2024-2026)'!$B:$B,F$2,'Streaming Data (2024-2026)'!$A:$A,$A$1)</f>
        <v>1148699708</v>
      </c>
      <c r="H39" s="27">
        <f t="shared" si="3"/>
        <v>3.1122710830560195E-2</v>
      </c>
      <c r="I39" s="28">
        <f t="shared" si="4"/>
        <v>2.3977843720351229E-2</v>
      </c>
      <c r="J39" s="29">
        <f t="shared" si="5"/>
        <v>5.5846810047360279E-2</v>
      </c>
    </row>
    <row r="40" spans="3:10" x14ac:dyDescent="0.2">
      <c r="C40" t="s">
        <v>30</v>
      </c>
      <c r="D40" s="2">
        <f>SUMIFS('Streaming Data (2024-2026)'!$H:$H,'Streaming Data (2024-2026)'!$D:$D,$C40,'Streaming Data (2024-2026)'!$B:$B,D$2,'Streaming Data (2024-2026)'!$A:$A,$A$1)</f>
        <v>590156360</v>
      </c>
      <c r="E40" s="2">
        <f>SUMIFS('Streaming Data (2024-2026)'!$H:$H,'Streaming Data (2024-2026)'!$D:$D,$C40,'Streaming Data (2024-2026)'!$B:$B,E$2,'Streaming Data (2024-2026)'!$A:$A,$A$1)</f>
        <v>605741469</v>
      </c>
      <c r="F40" s="2">
        <f>SUMIFS('Streaming Data (2024-2026)'!$H:$H,'Streaming Data (2024-2026)'!$D:$D,$C40,'Streaming Data (2024-2026)'!$B:$B,F$2,'Streaming Data (2024-2026)'!$A:$A,$A$1)</f>
        <v>620313166</v>
      </c>
      <c r="H40" s="27">
        <f t="shared" si="3"/>
        <v>2.6408440298770989E-2</v>
      </c>
      <c r="I40" s="28">
        <f t="shared" si="4"/>
        <v>2.4055967348670989E-2</v>
      </c>
      <c r="J40" s="29">
        <f t="shared" si="5"/>
        <v>5.1099688224998538E-2</v>
      </c>
    </row>
    <row r="41" spans="3:10" x14ac:dyDescent="0.2">
      <c r="C41" t="s">
        <v>91</v>
      </c>
      <c r="D41" s="2">
        <f>SUMIFS('Streaming Data (2024-2026)'!$H:$H,'Streaming Data (2024-2026)'!$D:$D,$C41,'Streaming Data (2024-2026)'!$B:$B,D$2,'Streaming Data (2024-2026)'!$A:$A,$A$1)</f>
        <v>189040180</v>
      </c>
      <c r="E41" s="2">
        <f>SUMIFS('Streaming Data (2024-2026)'!$H:$H,'Streaming Data (2024-2026)'!$D:$D,$C41,'Streaming Data (2024-2026)'!$B:$B,E$2,'Streaming Data (2024-2026)'!$A:$A,$A$1)</f>
        <v>194119736</v>
      </c>
      <c r="F41" s="2">
        <f>SUMIFS('Streaming Data (2024-2026)'!$H:$H,'Streaming Data (2024-2026)'!$D:$D,$C41,'Streaming Data (2024-2026)'!$B:$B,F$2,'Streaming Data (2024-2026)'!$A:$A,$A$1)</f>
        <v>198570357</v>
      </c>
      <c r="H41" s="27">
        <f t="shared" si="3"/>
        <v>2.6870245256854917E-2</v>
      </c>
      <c r="I41" s="28">
        <f t="shared" si="4"/>
        <v>2.2927194790745026E-2</v>
      </c>
      <c r="J41" s="29">
        <f t="shared" si="5"/>
        <v>5.041349939467895E-2</v>
      </c>
    </row>
    <row r="42" spans="3:10" x14ac:dyDescent="0.2">
      <c r="C42" t="s">
        <v>125</v>
      </c>
      <c r="D42" s="2">
        <f>SUMIFS('Streaming Data (2024-2026)'!$H:$H,'Streaming Data (2024-2026)'!$D:$D,$C42,'Streaming Data (2024-2026)'!$B:$B,D$2,'Streaming Data (2024-2026)'!$A:$A,$A$1)</f>
        <v>87605939</v>
      </c>
      <c r="E42" s="2">
        <f>SUMIFS('Streaming Data (2024-2026)'!$H:$H,'Streaming Data (2024-2026)'!$D:$D,$C42,'Streaming Data (2024-2026)'!$B:$B,E$2,'Streaming Data (2024-2026)'!$A:$A,$A$1)</f>
        <v>89291302</v>
      </c>
      <c r="F42" s="2">
        <f>SUMIFS('Streaming Data (2024-2026)'!$H:$H,'Streaming Data (2024-2026)'!$D:$D,$C42,'Streaming Data (2024-2026)'!$B:$B,F$2,'Streaming Data (2024-2026)'!$A:$A,$A$1)</f>
        <v>91612788</v>
      </c>
      <c r="H42" s="27">
        <f t="shared" si="3"/>
        <v>1.9237999378101524E-2</v>
      </c>
      <c r="I42" s="28">
        <f t="shared" si="4"/>
        <v>2.5999016119173622E-2</v>
      </c>
      <c r="J42" s="29">
        <f t="shared" si="5"/>
        <v>4.5737184553207064E-2</v>
      </c>
    </row>
    <row r="43" spans="3:10" x14ac:dyDescent="0.2">
      <c r="C43" t="s">
        <v>32</v>
      </c>
      <c r="D43" s="2">
        <f>SUMIFS('Streaming Data (2024-2026)'!$H:$H,'Streaming Data (2024-2026)'!$D:$D,$C43,'Streaming Data (2024-2026)'!$B:$B,D$2,'Streaming Data (2024-2026)'!$A:$A,$A$1)</f>
        <v>1399013970</v>
      </c>
      <c r="E43" s="2">
        <f>SUMIFS('Streaming Data (2024-2026)'!$H:$H,'Streaming Data (2024-2026)'!$D:$D,$C43,'Streaming Data (2024-2026)'!$B:$B,E$2,'Streaming Data (2024-2026)'!$A:$A,$A$1)</f>
        <v>1433092880</v>
      </c>
      <c r="F43" s="2">
        <f>SUMIFS('Streaming Data (2024-2026)'!$H:$H,'Streaming Data (2024-2026)'!$D:$D,$C43,'Streaming Data (2024-2026)'!$B:$B,F$2,'Streaming Data (2024-2026)'!$A:$A,$A$1)</f>
        <v>1462975291</v>
      </c>
      <c r="H43" s="27">
        <f t="shared" si="3"/>
        <v>2.4359234954601634E-2</v>
      </c>
      <c r="I43" s="28">
        <f t="shared" si="4"/>
        <v>2.0851691761946373E-2</v>
      </c>
      <c r="J43" s="29">
        <f t="shared" si="5"/>
        <v>4.571885797537819E-2</v>
      </c>
    </row>
    <row r="44" spans="3:10" x14ac:dyDescent="0.2">
      <c r="C44" t="s">
        <v>41</v>
      </c>
      <c r="D44" s="2">
        <f>SUMIFS('Streaming Data (2024-2026)'!$H:$H,'Streaming Data (2024-2026)'!$D:$D,$C44,'Streaming Data (2024-2026)'!$B:$B,D$2,'Streaming Data (2024-2026)'!$A:$A,$A$1)</f>
        <v>447506443</v>
      </c>
      <c r="E44" s="2">
        <f>SUMIFS('Streaming Data (2024-2026)'!$H:$H,'Streaming Data (2024-2026)'!$D:$D,$C44,'Streaming Data (2024-2026)'!$B:$B,E$2,'Streaming Data (2024-2026)'!$A:$A,$A$1)</f>
        <v>456867299</v>
      </c>
      <c r="F44" s="2">
        <f>SUMIFS('Streaming Data (2024-2026)'!$H:$H,'Streaming Data (2024-2026)'!$D:$D,$C44,'Streaming Data (2024-2026)'!$B:$B,F$2,'Streaming Data (2024-2026)'!$A:$A,$A$1)</f>
        <v>465681178</v>
      </c>
      <c r="H44" s="27">
        <f t="shared" si="3"/>
        <v>2.0917812796719889E-2</v>
      </c>
      <c r="I44" s="28">
        <f t="shared" si="4"/>
        <v>1.9291989204068643E-2</v>
      </c>
      <c r="J44" s="29">
        <f t="shared" si="5"/>
        <v>4.0613348219435581E-2</v>
      </c>
    </row>
    <row r="45" spans="3:10" x14ac:dyDescent="0.2">
      <c r="C45" t="s">
        <v>81</v>
      </c>
      <c r="D45" s="2">
        <f>SUMIFS('Streaming Data (2024-2026)'!$H:$H,'Streaming Data (2024-2026)'!$D:$D,$C45,'Streaming Data (2024-2026)'!$B:$B,D$2,'Streaming Data (2024-2026)'!$A:$A,$A$1)</f>
        <v>134024742</v>
      </c>
      <c r="E45" s="2">
        <f>SUMIFS('Streaming Data (2024-2026)'!$H:$H,'Streaming Data (2024-2026)'!$D:$D,$C45,'Streaming Data (2024-2026)'!$B:$B,E$2,'Streaming Data (2024-2026)'!$A:$A,$A$1)</f>
        <v>136767779</v>
      </c>
      <c r="F45" s="2">
        <f>SUMIFS('Streaming Data (2024-2026)'!$H:$H,'Streaming Data (2024-2026)'!$D:$D,$C45,'Streaming Data (2024-2026)'!$B:$B,F$2,'Streaming Data (2024-2026)'!$A:$A,$A$1)</f>
        <v>139287478</v>
      </c>
      <c r="H45" s="27">
        <f t="shared" si="3"/>
        <v>2.0466646374890988E-2</v>
      </c>
      <c r="I45" s="28">
        <f t="shared" si="4"/>
        <v>1.8423191620301153E-2</v>
      </c>
      <c r="J45" s="29">
        <f t="shared" si="5"/>
        <v>3.9266898943181701E-2</v>
      </c>
    </row>
    <row r="46" spans="3:10" x14ac:dyDescent="0.2">
      <c r="C46" t="s">
        <v>60</v>
      </c>
      <c r="D46" s="2">
        <f>SUMIFS('Streaming Data (2024-2026)'!$H:$H,'Streaming Data (2024-2026)'!$D:$D,$C46,'Streaming Data (2024-2026)'!$B:$B,D$2,'Streaming Data (2024-2026)'!$A:$A,$A$1)</f>
        <v>404220038</v>
      </c>
      <c r="E46" s="2">
        <f>SUMIFS('Streaming Data (2024-2026)'!$H:$H,'Streaming Data (2024-2026)'!$D:$D,$C46,'Streaming Data (2024-2026)'!$B:$B,E$2,'Streaming Data (2024-2026)'!$A:$A,$A$1)</f>
        <v>412057902</v>
      </c>
      <c r="F46" s="2">
        <f>SUMIFS('Streaming Data (2024-2026)'!$H:$H,'Streaming Data (2024-2026)'!$D:$D,$C46,'Streaming Data (2024-2026)'!$B:$B,F$2,'Streaming Data (2024-2026)'!$A:$A,$A$1)</f>
        <v>419724273</v>
      </c>
      <c r="H46" s="27">
        <f t="shared" si="3"/>
        <v>1.9390092680165449E-2</v>
      </c>
      <c r="I46" s="28">
        <f t="shared" si="4"/>
        <v>1.8605081865412206E-2</v>
      </c>
      <c r="J46" s="29">
        <f t="shared" si="5"/>
        <v>3.8355928807270061E-2</v>
      </c>
    </row>
    <row r="47" spans="3:10" x14ac:dyDescent="0.2">
      <c r="C47" t="s">
        <v>542</v>
      </c>
      <c r="D47" s="2">
        <f>SUMIFS('Streaming Data (2024-2026)'!$H:$H,'Streaming Data (2024-2026)'!$D:$D,$C47,'Streaming Data (2024-2026)'!$B:$B,D$2,'Streaming Data (2024-2026)'!$A:$A,$A$1)</f>
        <v>215603125</v>
      </c>
      <c r="E47" s="2">
        <f>SUMIFS('Streaming Data (2024-2026)'!$H:$H,'Streaming Data (2024-2026)'!$D:$D,$C47,'Streaming Data (2024-2026)'!$B:$B,E$2,'Streaming Data (2024-2026)'!$A:$A,$A$1)</f>
        <v>219837866</v>
      </c>
      <c r="F47" s="2">
        <f>SUMIFS('Streaming Data (2024-2026)'!$H:$H,'Streaming Data (2024-2026)'!$D:$D,$C47,'Streaming Data (2024-2026)'!$B:$B,F$2,'Streaming Data (2024-2026)'!$A:$A,$A$1)</f>
        <v>223532613</v>
      </c>
      <c r="H47" s="27">
        <f t="shared" si="3"/>
        <v>1.9641371153595294E-2</v>
      </c>
      <c r="I47" s="28">
        <f t="shared" si="4"/>
        <v>1.6806690618075777E-2</v>
      </c>
      <c r="J47" s="29">
        <f t="shared" si="5"/>
        <v>3.6778168219964345E-2</v>
      </c>
    </row>
    <row r="48" spans="3:10" x14ac:dyDescent="0.2">
      <c r="C48" t="s">
        <v>61</v>
      </c>
      <c r="D48" s="2">
        <f>SUMIFS('Streaming Data (2024-2026)'!$H:$H,'Streaming Data (2024-2026)'!$D:$D,$C48,'Streaming Data (2024-2026)'!$B:$B,D$2,'Streaming Data (2024-2026)'!$A:$A,$A$1)</f>
        <v>203642243</v>
      </c>
      <c r="E48" s="2">
        <f>SUMIFS('Streaming Data (2024-2026)'!$H:$H,'Streaming Data (2024-2026)'!$D:$D,$C48,'Streaming Data (2024-2026)'!$B:$B,E$2,'Streaming Data (2024-2026)'!$A:$A,$A$1)</f>
        <v>206580651</v>
      </c>
      <c r="F48" s="2">
        <f>SUMIFS('Streaming Data (2024-2026)'!$H:$H,'Streaming Data (2024-2026)'!$D:$D,$C48,'Streaming Data (2024-2026)'!$B:$B,F$2,'Streaming Data (2024-2026)'!$A:$A,$A$1)</f>
        <v>209221098</v>
      </c>
      <c r="H48" s="27">
        <f t="shared" si="3"/>
        <v>1.4429265542906047E-2</v>
      </c>
      <c r="I48" s="28">
        <f t="shared" si="4"/>
        <v>1.2781676247113773E-2</v>
      </c>
      <c r="J48" s="29">
        <f t="shared" si="5"/>
        <v>2.7395371990672879E-2</v>
      </c>
    </row>
    <row r="49" spans="3:10" x14ac:dyDescent="0.2">
      <c r="H49" s="30"/>
      <c r="I49" s="31"/>
      <c r="J49" s="32"/>
    </row>
    <row r="51" spans="3:10" x14ac:dyDescent="0.2">
      <c r="C51" s="16" t="s">
        <v>533</v>
      </c>
      <c r="D51" s="17"/>
      <c r="E51" s="17"/>
      <c r="F51" s="18"/>
      <c r="H51" s="19" t="s">
        <v>538</v>
      </c>
      <c r="I51" s="20"/>
      <c r="J51" s="21"/>
    </row>
    <row r="52" spans="3:10" x14ac:dyDescent="0.2">
      <c r="C52" s="60" t="s">
        <v>480</v>
      </c>
      <c r="D52" s="54" t="s">
        <v>497</v>
      </c>
      <c r="E52" s="54" t="s">
        <v>498</v>
      </c>
      <c r="F52" s="54" t="s">
        <v>532</v>
      </c>
      <c r="H52" s="56" t="s">
        <v>529</v>
      </c>
      <c r="I52" s="54" t="s">
        <v>530</v>
      </c>
      <c r="J52" s="55" t="s">
        <v>531</v>
      </c>
    </row>
    <row r="53" spans="3:10" x14ac:dyDescent="0.2">
      <c r="C53" t="s">
        <v>287</v>
      </c>
      <c r="D53" s="2">
        <f>SUMIFS('Streaming Data (2024-2026)'!$J:$J,'Streaming Data (2024-2026)'!$D:$D,$C53,'Streaming Data (2024-2026)'!$B:$B,D$2,'Streaming Data (2024-2026)'!$A:$A,$A$1)</f>
        <v>1030054</v>
      </c>
      <c r="E53" s="2">
        <f>SUMIFS('Streaming Data (2024-2026)'!$J:$J,'Streaming Data (2024-2026)'!$D:$D,$C53,'Streaming Data (2024-2026)'!$B:$B,E$2,'Streaming Data (2024-2026)'!$A:$A,$A$1)</f>
        <v>1399584</v>
      </c>
      <c r="F53" s="2">
        <f>SUMIFS('Streaming Data (2024-2026)'!$J:$J,'Streaming Data (2024-2026)'!$D:$D,$C53,'Streaming Data (2024-2026)'!$B:$B,F$2,'Streaming Data (2024-2026)'!$A:$A,$A$1)</f>
        <v>1514687</v>
      </c>
      <c r="H53" s="27">
        <f t="shared" ref="H53:H72" si="6">IFERROR((E53-D53)/D53,0)</f>
        <v>0.35874818213414056</v>
      </c>
      <c r="I53" s="28">
        <f t="shared" ref="I53:I72" si="7">IFERROR((F53-E53)/E53,0)</f>
        <v>8.224086585728331E-2</v>
      </c>
      <c r="J53" s="29">
        <f t="shared" ref="J53:J72" si="8">IFERROR((F53-D53)/D53,0)</f>
        <v>0.47049280911486197</v>
      </c>
    </row>
    <row r="54" spans="3:10" x14ac:dyDescent="0.2">
      <c r="C54" t="s">
        <v>26</v>
      </c>
      <c r="D54" s="2">
        <f>SUMIFS('Streaming Data (2024-2026)'!$J:$J,'Streaming Data (2024-2026)'!$D:$D,$C54,'Streaming Data (2024-2026)'!$B:$B,D$2,'Streaming Data (2024-2026)'!$A:$A,$A$1)</f>
        <v>3211035</v>
      </c>
      <c r="E54" s="2">
        <f>SUMIFS('Streaming Data (2024-2026)'!$J:$J,'Streaming Data (2024-2026)'!$D:$D,$C54,'Streaming Data (2024-2026)'!$B:$B,E$2,'Streaming Data (2024-2026)'!$A:$A,$A$1)</f>
        <v>4217498</v>
      </c>
      <c r="F54" s="2">
        <f>SUMIFS('Streaming Data (2024-2026)'!$J:$J,'Streaming Data (2024-2026)'!$D:$D,$C54,'Streaming Data (2024-2026)'!$B:$B,F$2,'Streaming Data (2024-2026)'!$A:$A,$A$1)</f>
        <v>3831583</v>
      </c>
      <c r="H54" s="27">
        <f t="shared" si="6"/>
        <v>0.31343881334211554</v>
      </c>
      <c r="I54" s="28">
        <f t="shared" si="7"/>
        <v>-9.1503303617452805E-2</v>
      </c>
      <c r="J54" s="29">
        <f t="shared" si="8"/>
        <v>0.19325482282192502</v>
      </c>
    </row>
    <row r="55" spans="3:10" x14ac:dyDescent="0.2">
      <c r="C55" t="s">
        <v>56</v>
      </c>
      <c r="D55" s="2">
        <f>SUMIFS('Streaming Data (2024-2026)'!$J:$J,'Streaming Data (2024-2026)'!$D:$D,$C55,'Streaming Data (2024-2026)'!$B:$B,D$2,'Streaming Data (2024-2026)'!$A:$A,$A$1)</f>
        <v>1326877</v>
      </c>
      <c r="E55" s="2">
        <f>SUMIFS('Streaming Data (2024-2026)'!$J:$J,'Streaming Data (2024-2026)'!$D:$D,$C55,'Streaming Data (2024-2026)'!$B:$B,E$2,'Streaming Data (2024-2026)'!$A:$A,$A$1)</f>
        <v>1453953</v>
      </c>
      <c r="F55" s="2">
        <f>SUMIFS('Streaming Data (2024-2026)'!$J:$J,'Streaming Data (2024-2026)'!$D:$D,$C55,'Streaming Data (2024-2026)'!$B:$B,F$2,'Streaming Data (2024-2026)'!$A:$A,$A$1)</f>
        <v>1540449</v>
      </c>
      <c r="H55" s="27">
        <f t="shared" si="6"/>
        <v>9.5770745894306702E-2</v>
      </c>
      <c r="I55" s="28">
        <f t="shared" si="7"/>
        <v>5.9490231114760934E-2</v>
      </c>
      <c r="J55" s="29">
        <f t="shared" si="8"/>
        <v>0.16095840081635299</v>
      </c>
    </row>
    <row r="56" spans="3:10" x14ac:dyDescent="0.2">
      <c r="C56" t="s">
        <v>134</v>
      </c>
      <c r="D56" s="2">
        <f>SUMIFS('Streaming Data (2024-2026)'!$J:$J,'Streaming Data (2024-2026)'!$D:$D,$C56,'Streaming Data (2024-2026)'!$B:$B,D$2,'Streaming Data (2024-2026)'!$A:$A,$A$1)</f>
        <v>1865425</v>
      </c>
      <c r="E56" s="2">
        <f>SUMIFS('Streaming Data (2024-2026)'!$J:$J,'Streaming Data (2024-2026)'!$D:$D,$C56,'Streaming Data (2024-2026)'!$B:$B,E$2,'Streaming Data (2024-2026)'!$A:$A,$A$1)</f>
        <v>2046776</v>
      </c>
      <c r="F56" s="2">
        <f>SUMIFS('Streaming Data (2024-2026)'!$J:$J,'Streaming Data (2024-2026)'!$D:$D,$C56,'Streaming Data (2024-2026)'!$B:$B,F$2,'Streaming Data (2024-2026)'!$A:$A,$A$1)</f>
        <v>2064828</v>
      </c>
      <c r="H56" s="27">
        <f t="shared" si="6"/>
        <v>9.7216988085824949E-2</v>
      </c>
      <c r="I56" s="28">
        <f t="shared" si="7"/>
        <v>8.8197242883442054E-3</v>
      </c>
      <c r="J56" s="29">
        <f t="shared" si="8"/>
        <v>0.10689413940522938</v>
      </c>
    </row>
    <row r="57" spans="3:10" x14ac:dyDescent="0.2">
      <c r="C57" t="s">
        <v>125</v>
      </c>
      <c r="D57" s="2">
        <f>SUMIFS('Streaming Data (2024-2026)'!$J:$J,'Streaming Data (2024-2026)'!$D:$D,$C57,'Streaming Data (2024-2026)'!$B:$B,D$2,'Streaming Data (2024-2026)'!$A:$A,$A$1)</f>
        <v>719798</v>
      </c>
      <c r="E57" s="2">
        <f>SUMIFS('Streaming Data (2024-2026)'!$J:$J,'Streaming Data (2024-2026)'!$D:$D,$C57,'Streaming Data (2024-2026)'!$B:$B,E$2,'Streaming Data (2024-2026)'!$A:$A,$A$1)</f>
        <v>610897</v>
      </c>
      <c r="F57" s="2">
        <f>SUMIFS('Streaming Data (2024-2026)'!$J:$J,'Streaming Data (2024-2026)'!$D:$D,$C57,'Streaming Data (2024-2026)'!$B:$B,F$2,'Streaming Data (2024-2026)'!$A:$A,$A$1)</f>
        <v>785092</v>
      </c>
      <c r="H57" s="27">
        <f t="shared" si="6"/>
        <v>-0.15129383521487974</v>
      </c>
      <c r="I57" s="28">
        <f t="shared" si="7"/>
        <v>0.28514626851989777</v>
      </c>
      <c r="J57" s="29">
        <f t="shared" si="8"/>
        <v>9.07115607434308E-2</v>
      </c>
    </row>
    <row r="58" spans="3:10" x14ac:dyDescent="0.2">
      <c r="C58" t="s">
        <v>540</v>
      </c>
      <c r="D58" s="2">
        <f>SUMIFS('Streaming Data (2024-2026)'!$J:$J,'Streaming Data (2024-2026)'!$D:$D,$C58,'Streaming Data (2024-2026)'!$B:$B,D$2,'Streaming Data (2024-2026)'!$A:$A,$A$1)</f>
        <v>1968091</v>
      </c>
      <c r="E58" s="2">
        <f>SUMIFS('Streaming Data (2024-2026)'!$J:$J,'Streaming Data (2024-2026)'!$D:$D,$C58,'Streaming Data (2024-2026)'!$B:$B,E$2,'Streaming Data (2024-2026)'!$A:$A,$A$1)</f>
        <v>2006978</v>
      </c>
      <c r="F58" s="2">
        <f>SUMIFS('Streaming Data (2024-2026)'!$J:$J,'Streaming Data (2024-2026)'!$D:$D,$C58,'Streaming Data (2024-2026)'!$B:$B,F$2,'Streaming Data (2024-2026)'!$A:$A,$A$1)</f>
        <v>2007099</v>
      </c>
      <c r="H58" s="27">
        <f t="shared" si="6"/>
        <v>1.9758740830581514E-2</v>
      </c>
      <c r="I58" s="28">
        <f t="shared" si="7"/>
        <v>6.0289649413197356E-5</v>
      </c>
      <c r="J58" s="29">
        <f t="shared" si="8"/>
        <v>1.9820221727552233E-2</v>
      </c>
    </row>
    <row r="59" spans="3:10" x14ac:dyDescent="0.2">
      <c r="C59" t="s">
        <v>479</v>
      </c>
      <c r="D59" s="2">
        <f>SUMIFS('Streaming Data (2024-2026)'!$J:$J,'Streaming Data (2024-2026)'!$D:$D,$C59,'Streaming Data (2024-2026)'!$B:$B,D$2,'Streaming Data (2024-2026)'!$A:$A,$A$1)</f>
        <v>1621631</v>
      </c>
      <c r="E59" s="2">
        <f>SUMIFS('Streaming Data (2024-2026)'!$J:$J,'Streaming Data (2024-2026)'!$D:$D,$C59,'Streaming Data (2024-2026)'!$B:$B,E$2,'Streaming Data (2024-2026)'!$A:$A,$A$1)</f>
        <v>1588643</v>
      </c>
      <c r="F59" s="2">
        <f>SUMIFS('Streaming Data (2024-2026)'!$J:$J,'Streaming Data (2024-2026)'!$D:$D,$C59,'Streaming Data (2024-2026)'!$B:$B,F$2,'Streaming Data (2024-2026)'!$A:$A,$A$1)</f>
        <v>1602704</v>
      </c>
      <c r="H59" s="27">
        <f t="shared" si="6"/>
        <v>-2.0342482352643729E-2</v>
      </c>
      <c r="I59" s="28">
        <f t="shared" si="7"/>
        <v>8.8509501505372821E-3</v>
      </c>
      <c r="J59" s="29">
        <f t="shared" si="8"/>
        <v>-1.1671582499347879E-2</v>
      </c>
    </row>
    <row r="60" spans="3:10" x14ac:dyDescent="0.2">
      <c r="C60" t="s">
        <v>60</v>
      </c>
      <c r="D60" s="2">
        <f>SUMIFS('Streaming Data (2024-2026)'!$J:$J,'Streaming Data (2024-2026)'!$D:$D,$C60,'Streaming Data (2024-2026)'!$B:$B,D$2,'Streaming Data (2024-2026)'!$A:$A,$A$1)</f>
        <v>2338078</v>
      </c>
      <c r="E60" s="2">
        <f>SUMIFS('Streaming Data (2024-2026)'!$J:$J,'Streaming Data (2024-2026)'!$D:$D,$C60,'Streaming Data (2024-2026)'!$B:$B,E$2,'Streaming Data (2024-2026)'!$A:$A,$A$1)</f>
        <v>2261035</v>
      </c>
      <c r="F60" s="2">
        <f>SUMIFS('Streaming Data (2024-2026)'!$J:$J,'Streaming Data (2024-2026)'!$D:$D,$C60,'Streaming Data (2024-2026)'!$B:$B,F$2,'Streaming Data (2024-2026)'!$A:$A,$A$1)</f>
        <v>2278505</v>
      </c>
      <c r="H60" s="27">
        <f t="shared" si="6"/>
        <v>-3.2951424203982928E-2</v>
      </c>
      <c r="I60" s="28">
        <f t="shared" si="7"/>
        <v>7.7265500091772132E-3</v>
      </c>
      <c r="J60" s="29">
        <f t="shared" si="8"/>
        <v>-2.5479475021791403E-2</v>
      </c>
    </row>
    <row r="61" spans="3:10" x14ac:dyDescent="0.2">
      <c r="C61" t="s">
        <v>30</v>
      </c>
      <c r="D61" s="2">
        <f>SUMIFS('Streaming Data (2024-2026)'!$J:$J,'Streaming Data (2024-2026)'!$D:$D,$C61,'Streaming Data (2024-2026)'!$B:$B,D$2,'Streaming Data (2024-2026)'!$A:$A,$A$1)</f>
        <v>1746310</v>
      </c>
      <c r="E61" s="2">
        <f>SUMIFS('Streaming Data (2024-2026)'!$J:$J,'Streaming Data (2024-2026)'!$D:$D,$C61,'Streaming Data (2024-2026)'!$B:$B,E$2,'Streaming Data (2024-2026)'!$A:$A,$A$1)</f>
        <v>1671236</v>
      </c>
      <c r="F61" s="2">
        <f>SUMIFS('Streaming Data (2024-2026)'!$J:$J,'Streaming Data (2024-2026)'!$D:$D,$C61,'Streaming Data (2024-2026)'!$B:$B,F$2,'Streaming Data (2024-2026)'!$A:$A,$A$1)</f>
        <v>1671453</v>
      </c>
      <c r="H61" s="27">
        <f t="shared" si="6"/>
        <v>-4.2990076217853647E-2</v>
      </c>
      <c r="I61" s="28">
        <f t="shared" si="7"/>
        <v>1.2984401963576659E-4</v>
      </c>
      <c r="J61" s="29">
        <f t="shared" si="8"/>
        <v>-4.2865814202518455E-2</v>
      </c>
    </row>
    <row r="62" spans="3:10" x14ac:dyDescent="0.2">
      <c r="C62" t="s">
        <v>58</v>
      </c>
      <c r="D62" s="2">
        <f>SUMIFS('Streaming Data (2024-2026)'!$J:$J,'Streaming Data (2024-2026)'!$D:$D,$C62,'Streaming Data (2024-2026)'!$B:$B,D$2,'Streaming Data (2024-2026)'!$A:$A,$A$1)</f>
        <v>2646694</v>
      </c>
      <c r="E62" s="2">
        <f>SUMIFS('Streaming Data (2024-2026)'!$J:$J,'Streaming Data (2024-2026)'!$D:$D,$C62,'Streaming Data (2024-2026)'!$B:$B,E$2,'Streaming Data (2024-2026)'!$A:$A,$A$1)</f>
        <v>2702464</v>
      </c>
      <c r="F62" s="2">
        <f>SUMIFS('Streaming Data (2024-2026)'!$J:$J,'Streaming Data (2024-2026)'!$D:$D,$C62,'Streaming Data (2024-2026)'!$B:$B,F$2,'Streaming Data (2024-2026)'!$A:$A,$A$1)</f>
        <v>2454330</v>
      </c>
      <c r="H62" s="27">
        <f t="shared" si="6"/>
        <v>2.1071570797379674E-2</v>
      </c>
      <c r="I62" s="28">
        <f t="shared" si="7"/>
        <v>-9.1817689338322364E-2</v>
      </c>
      <c r="J62" s="29">
        <f t="shared" si="8"/>
        <v>-7.268086148228696E-2</v>
      </c>
    </row>
    <row r="63" spans="3:10" x14ac:dyDescent="0.2">
      <c r="C63" t="s">
        <v>61</v>
      </c>
      <c r="D63" s="2">
        <f>SUMIFS('Streaming Data (2024-2026)'!$J:$J,'Streaming Data (2024-2026)'!$D:$D,$C63,'Streaming Data (2024-2026)'!$B:$B,D$2,'Streaming Data (2024-2026)'!$A:$A,$A$1)</f>
        <v>609846</v>
      </c>
      <c r="E63" s="2">
        <f>SUMIFS('Streaming Data (2024-2026)'!$J:$J,'Streaming Data (2024-2026)'!$D:$D,$C63,'Streaming Data (2024-2026)'!$B:$B,E$2,'Streaming Data (2024-2026)'!$A:$A,$A$1)</f>
        <v>584584</v>
      </c>
      <c r="F63" s="2">
        <f>SUMIFS('Streaming Data (2024-2026)'!$J:$J,'Streaming Data (2024-2026)'!$D:$D,$C63,'Streaming Data (2024-2026)'!$B:$B,F$2,'Streaming Data (2024-2026)'!$A:$A,$A$1)</f>
        <v>565021</v>
      </c>
      <c r="H63" s="27">
        <f t="shared" si="6"/>
        <v>-4.1423572508469349E-2</v>
      </c>
      <c r="I63" s="28">
        <f t="shared" si="7"/>
        <v>-3.3464822848384493E-2</v>
      </c>
      <c r="J63" s="29">
        <f t="shared" si="8"/>
        <v>-7.3502162841110705E-2</v>
      </c>
    </row>
    <row r="64" spans="3:10" x14ac:dyDescent="0.2">
      <c r="C64" t="s">
        <v>41</v>
      </c>
      <c r="D64" s="2">
        <f>SUMIFS('Streaming Data (2024-2026)'!$J:$J,'Streaming Data (2024-2026)'!$D:$D,$C64,'Streaming Data (2024-2026)'!$B:$B,D$2,'Streaming Data (2024-2026)'!$A:$A,$A$1)</f>
        <v>1593361</v>
      </c>
      <c r="E64" s="2">
        <f>SUMIFS('Streaming Data (2024-2026)'!$J:$J,'Streaming Data (2024-2026)'!$D:$D,$C64,'Streaming Data (2024-2026)'!$B:$B,E$2,'Streaming Data (2024-2026)'!$A:$A,$A$1)</f>
        <v>1531331</v>
      </c>
      <c r="F64" s="2">
        <f>SUMIFS('Streaming Data (2024-2026)'!$J:$J,'Streaming Data (2024-2026)'!$D:$D,$C64,'Streaming Data (2024-2026)'!$B:$B,F$2,'Streaming Data (2024-2026)'!$A:$A,$A$1)</f>
        <v>1470211</v>
      </c>
      <c r="H64" s="27">
        <f t="shared" si="6"/>
        <v>-3.8930286356952379E-2</v>
      </c>
      <c r="I64" s="28">
        <f t="shared" si="7"/>
        <v>-3.9912990725062054E-2</v>
      </c>
      <c r="J64" s="29">
        <f t="shared" si="8"/>
        <v>-7.7289452923725382E-2</v>
      </c>
    </row>
    <row r="65" spans="3:10" x14ac:dyDescent="0.2">
      <c r="C65" t="s">
        <v>81</v>
      </c>
      <c r="D65" s="2">
        <f>SUMIFS('Streaming Data (2024-2026)'!$J:$J,'Streaming Data (2024-2026)'!$D:$D,$C65,'Streaming Data (2024-2026)'!$B:$B,D$2,'Streaming Data (2024-2026)'!$A:$A,$A$1)</f>
        <v>853676</v>
      </c>
      <c r="E65" s="2">
        <f>SUMIFS('Streaming Data (2024-2026)'!$J:$J,'Streaming Data (2024-2026)'!$D:$D,$C65,'Streaming Data (2024-2026)'!$B:$B,E$2,'Streaming Data (2024-2026)'!$A:$A,$A$1)</f>
        <v>790594</v>
      </c>
      <c r="F65" s="2">
        <f>SUMIFS('Streaming Data (2024-2026)'!$J:$J,'Streaming Data (2024-2026)'!$D:$D,$C65,'Streaming Data (2024-2026)'!$B:$B,F$2,'Streaming Data (2024-2026)'!$A:$A,$A$1)</f>
        <v>782871</v>
      </c>
      <c r="H65" s="27">
        <f t="shared" si="6"/>
        <v>-7.3894545471584069E-2</v>
      </c>
      <c r="I65" s="28">
        <f t="shared" si="7"/>
        <v>-9.7686043658312613E-3</v>
      </c>
      <c r="J65" s="29">
        <f t="shared" si="8"/>
        <v>-8.2941303257910493E-2</v>
      </c>
    </row>
    <row r="66" spans="3:10" x14ac:dyDescent="0.2">
      <c r="C66" t="s">
        <v>478</v>
      </c>
      <c r="D66" s="2">
        <f>SUMIFS('Streaming Data (2024-2026)'!$J:$J,'Streaming Data (2024-2026)'!$D:$D,$C66,'Streaming Data (2024-2026)'!$B:$B,D$2,'Streaming Data (2024-2026)'!$A:$A,$A$1)</f>
        <v>2491708</v>
      </c>
      <c r="E66" s="2">
        <f>SUMIFS('Streaming Data (2024-2026)'!$J:$J,'Streaming Data (2024-2026)'!$D:$D,$C66,'Streaming Data (2024-2026)'!$B:$B,E$2,'Streaming Data (2024-2026)'!$A:$A,$A$1)</f>
        <v>2405388</v>
      </c>
      <c r="F66" s="2">
        <f>SUMIFS('Streaming Data (2024-2026)'!$J:$J,'Streaming Data (2024-2026)'!$D:$D,$C66,'Streaming Data (2024-2026)'!$B:$B,F$2,'Streaming Data (2024-2026)'!$A:$A,$A$1)</f>
        <v>2281763</v>
      </c>
      <c r="H66" s="27">
        <f t="shared" si="6"/>
        <v>-3.4642903582602774E-2</v>
      </c>
      <c r="I66" s="28">
        <f t="shared" si="7"/>
        <v>-5.1395034813510335E-2</v>
      </c>
      <c r="J66" s="29">
        <f t="shared" si="8"/>
        <v>-8.4257465160444162E-2</v>
      </c>
    </row>
    <row r="67" spans="3:10" x14ac:dyDescent="0.2">
      <c r="C67" t="s">
        <v>32</v>
      </c>
      <c r="D67" s="2">
        <f>SUMIFS('Streaming Data (2024-2026)'!$J:$J,'Streaming Data (2024-2026)'!$D:$D,$C67,'Streaming Data (2024-2026)'!$B:$B,D$2,'Streaming Data (2024-2026)'!$A:$A,$A$1)</f>
        <v>5149111</v>
      </c>
      <c r="E67" s="2">
        <f>SUMIFS('Streaming Data (2024-2026)'!$J:$J,'Streaming Data (2024-2026)'!$D:$D,$C67,'Streaming Data (2024-2026)'!$B:$B,E$2,'Streaming Data (2024-2026)'!$A:$A,$A$1)</f>
        <v>4954074</v>
      </c>
      <c r="F67" s="2">
        <f>SUMIFS('Streaming Data (2024-2026)'!$J:$J,'Streaming Data (2024-2026)'!$D:$D,$C67,'Streaming Data (2024-2026)'!$B:$B,F$2,'Streaming Data (2024-2026)'!$A:$A,$A$1)</f>
        <v>4697892</v>
      </c>
      <c r="H67" s="27">
        <f t="shared" si="6"/>
        <v>-3.7877800653355505E-2</v>
      </c>
      <c r="I67" s="28">
        <f t="shared" si="7"/>
        <v>-5.171137936171321E-2</v>
      </c>
      <c r="J67" s="29">
        <f t="shared" si="8"/>
        <v>-8.7630466696095699E-2</v>
      </c>
    </row>
    <row r="68" spans="3:10" x14ac:dyDescent="0.2">
      <c r="C68" t="s">
        <v>65</v>
      </c>
      <c r="D68" s="2">
        <f>SUMIFS('Streaming Data (2024-2026)'!$J:$J,'Streaming Data (2024-2026)'!$D:$D,$C68,'Streaming Data (2024-2026)'!$B:$B,D$2,'Streaming Data (2024-2026)'!$A:$A,$A$1)</f>
        <v>1860358</v>
      </c>
      <c r="E68" s="2">
        <f>SUMIFS('Streaming Data (2024-2026)'!$J:$J,'Streaming Data (2024-2026)'!$D:$D,$C68,'Streaming Data (2024-2026)'!$B:$B,E$2,'Streaming Data (2024-2026)'!$A:$A,$A$1)</f>
        <v>1723409</v>
      </c>
      <c r="F68" s="2">
        <f>SUMIFS('Streaming Data (2024-2026)'!$J:$J,'Streaming Data (2024-2026)'!$D:$D,$C68,'Streaming Data (2024-2026)'!$B:$B,F$2,'Streaming Data (2024-2026)'!$A:$A,$A$1)</f>
        <v>1689667</v>
      </c>
      <c r="H68" s="27">
        <f t="shared" si="6"/>
        <v>-7.3614325844810521E-2</v>
      </c>
      <c r="I68" s="28">
        <f t="shared" si="7"/>
        <v>-1.9578637456343792E-2</v>
      </c>
      <c r="J68" s="29">
        <f t="shared" si="8"/>
        <v>-9.1751695103845607E-2</v>
      </c>
    </row>
    <row r="69" spans="3:10" x14ac:dyDescent="0.2">
      <c r="C69" t="s">
        <v>45</v>
      </c>
      <c r="D69" s="2">
        <f>SUMIFS('Streaming Data (2024-2026)'!$J:$J,'Streaming Data (2024-2026)'!$D:$D,$C69,'Streaming Data (2024-2026)'!$B:$B,D$2,'Streaming Data (2024-2026)'!$A:$A,$A$1)</f>
        <v>3133097</v>
      </c>
      <c r="E69" s="2">
        <f>SUMIFS('Streaming Data (2024-2026)'!$J:$J,'Streaming Data (2024-2026)'!$D:$D,$C69,'Streaming Data (2024-2026)'!$B:$B,E$2,'Streaming Data (2024-2026)'!$A:$A,$A$1)</f>
        <v>2960217</v>
      </c>
      <c r="F69" s="2">
        <f>SUMIFS('Streaming Data (2024-2026)'!$J:$J,'Streaming Data (2024-2026)'!$D:$D,$C69,'Streaming Data (2024-2026)'!$B:$B,F$2,'Streaming Data (2024-2026)'!$A:$A,$A$1)</f>
        <v>2828057</v>
      </c>
      <c r="H69" s="27">
        <f t="shared" si="6"/>
        <v>-5.5178629962621649E-2</v>
      </c>
      <c r="I69" s="28">
        <f t="shared" si="7"/>
        <v>-4.4645375659960067E-2</v>
      </c>
      <c r="J69" s="29">
        <f t="shared" si="8"/>
        <v>-9.7360534959498535E-2</v>
      </c>
    </row>
    <row r="70" spans="3:10" x14ac:dyDescent="0.2">
      <c r="C70" t="s">
        <v>49</v>
      </c>
      <c r="D70" s="2">
        <f>SUMIFS('Streaming Data (2024-2026)'!$J:$J,'Streaming Data (2024-2026)'!$D:$D,$C70,'Streaming Data (2024-2026)'!$B:$B,D$2,'Streaming Data (2024-2026)'!$A:$A,$A$1)</f>
        <v>2264738</v>
      </c>
      <c r="E70" s="2">
        <f>SUMIFS('Streaming Data (2024-2026)'!$J:$J,'Streaming Data (2024-2026)'!$D:$D,$C70,'Streaming Data (2024-2026)'!$B:$B,E$2,'Streaming Data (2024-2026)'!$A:$A,$A$1)</f>
        <v>2136262</v>
      </c>
      <c r="F70" s="2">
        <f>SUMIFS('Streaming Data (2024-2026)'!$J:$J,'Streaming Data (2024-2026)'!$D:$D,$C70,'Streaming Data (2024-2026)'!$B:$B,F$2,'Streaming Data (2024-2026)'!$A:$A,$A$1)</f>
        <v>2014789</v>
      </c>
      <c r="H70" s="27">
        <f t="shared" si="6"/>
        <v>-5.6728857819315082E-2</v>
      </c>
      <c r="I70" s="28">
        <f t="shared" si="7"/>
        <v>-5.6862407326442169E-2</v>
      </c>
      <c r="J70" s="29">
        <f t="shared" si="8"/>
        <v>-0.11036552572527153</v>
      </c>
    </row>
    <row r="71" spans="3:10" x14ac:dyDescent="0.2">
      <c r="C71" t="s">
        <v>542</v>
      </c>
      <c r="D71" s="2">
        <f>SUMIFS('Streaming Data (2024-2026)'!$J:$J,'Streaming Data (2024-2026)'!$D:$D,$C71,'Streaming Data (2024-2026)'!$B:$B,D$2,'Streaming Data (2024-2026)'!$A:$A,$A$1)</f>
        <v>920477</v>
      </c>
      <c r="E71" s="2">
        <f>SUMIFS('Streaming Data (2024-2026)'!$J:$J,'Streaming Data (2024-2026)'!$D:$D,$C71,'Streaming Data (2024-2026)'!$B:$B,E$2,'Streaming Data (2024-2026)'!$A:$A,$A$1)</f>
        <v>861540</v>
      </c>
      <c r="F71" s="2">
        <f>SUMIFS('Streaming Data (2024-2026)'!$J:$J,'Streaming Data (2024-2026)'!$D:$D,$C71,'Streaming Data (2024-2026)'!$B:$B,F$2,'Streaming Data (2024-2026)'!$A:$A,$A$1)</f>
        <v>806533</v>
      </c>
      <c r="H71" s="27">
        <f t="shared" si="6"/>
        <v>-6.4028759002126068E-2</v>
      </c>
      <c r="I71" s="28">
        <f t="shared" si="7"/>
        <v>-6.3847296701255885E-2</v>
      </c>
      <c r="J71" s="29">
        <f t="shared" si="8"/>
        <v>-0.12378799252996001</v>
      </c>
    </row>
    <row r="72" spans="3:10" x14ac:dyDescent="0.2">
      <c r="C72" t="s">
        <v>91</v>
      </c>
      <c r="D72" s="2">
        <f>SUMIFS('Streaming Data (2024-2026)'!$J:$J,'Streaming Data (2024-2026)'!$D:$D,$C72,'Streaming Data (2024-2026)'!$B:$B,D$2,'Streaming Data (2024-2026)'!$A:$A,$A$1)</f>
        <v>1296472</v>
      </c>
      <c r="E72" s="2">
        <f>SUMIFS('Streaming Data (2024-2026)'!$J:$J,'Streaming Data (2024-2026)'!$D:$D,$C72,'Streaming Data (2024-2026)'!$B:$B,E$2,'Streaming Data (2024-2026)'!$A:$A,$A$1)</f>
        <v>1133849</v>
      </c>
      <c r="F72" s="2">
        <f>SUMIFS('Streaming Data (2024-2026)'!$J:$J,'Streaming Data (2024-2026)'!$D:$D,$C72,'Streaming Data (2024-2026)'!$B:$B,F$2,'Streaming Data (2024-2026)'!$A:$A,$A$1)</f>
        <v>1000659</v>
      </c>
      <c r="H72" s="27">
        <f t="shared" si="6"/>
        <v>-0.12543502674951715</v>
      </c>
      <c r="I72" s="28">
        <f t="shared" si="7"/>
        <v>-0.11746714068628186</v>
      </c>
      <c r="J72" s="29">
        <f t="shared" si="8"/>
        <v>-0.22816767350162595</v>
      </c>
    </row>
    <row r="73" spans="3:10" x14ac:dyDescent="0.2">
      <c r="H73" s="30"/>
      <c r="I73" s="31"/>
      <c r="J73" s="32"/>
    </row>
    <row r="75" spans="3:10" x14ac:dyDescent="0.2">
      <c r="C75" s="13" t="s">
        <v>539</v>
      </c>
      <c r="D75" s="14"/>
      <c r="E75" s="14"/>
      <c r="F75" s="15"/>
      <c r="H75" s="22" t="s">
        <v>538</v>
      </c>
      <c r="I75" s="23"/>
      <c r="J75" s="24"/>
    </row>
    <row r="76" spans="3:10" x14ac:dyDescent="0.2">
      <c r="C76" s="1" t="s">
        <v>528</v>
      </c>
      <c r="D76" s="54" t="s">
        <v>497</v>
      </c>
      <c r="E76" s="54" t="s">
        <v>498</v>
      </c>
      <c r="F76" s="54" t="s">
        <v>532</v>
      </c>
      <c r="H76" s="56" t="s">
        <v>529</v>
      </c>
      <c r="I76" s="54" t="s">
        <v>530</v>
      </c>
      <c r="J76" s="55" t="s">
        <v>531</v>
      </c>
    </row>
    <row r="77" spans="3:10" x14ac:dyDescent="0.2">
      <c r="C77" t="s">
        <v>534</v>
      </c>
      <c r="D77" s="2">
        <f>SUMIFS('Streaming Data (2024-2026)'!$F:$F,'Streaming Data (2024-2026)'!$B:$B,D$2,'Streaming Data (2024-2026)'!$A:$A,$A$1)</f>
        <v>36558470</v>
      </c>
      <c r="E77" s="2">
        <f>SUMIFS('Streaming Data (2024-2026)'!$F:$F,'Streaming Data (2024-2026)'!$B:$B,E$2,'Streaming Data (2024-2026)'!$A:$A,$A$1)</f>
        <v>37376324</v>
      </c>
      <c r="F77" s="2">
        <f>SUMIFS('Streaming Data (2024-2026)'!$F:$F,'Streaming Data (2024-2026)'!$B:$B,F$2,'Streaming Data (2024-2026)'!$A:$A,$A$1)</f>
        <v>38116082</v>
      </c>
      <c r="H77" s="33">
        <f>IFERROR((E77-D77)/D77,0)</f>
        <v>2.2371122205059456E-2</v>
      </c>
      <c r="I77" s="34">
        <f>IFERROR((F77-E77)/E77,0)</f>
        <v>1.9792155055162727E-2</v>
      </c>
      <c r="J77" s="35">
        <f>IFERROR((F77-D77)/D77,0)</f>
        <v>4.2606049979662719E-2</v>
      </c>
    </row>
    <row r="78" spans="3:10" x14ac:dyDescent="0.2">
      <c r="C78" t="s">
        <v>535</v>
      </c>
      <c r="D78" s="2">
        <f>SUMIFS('Streaming Data (2024-2026)'!$H:$H,'Streaming Data (2024-2026)'!$B:$B,D$2,'Streaming Data (2024-2026)'!$A:$A,$A$1)</f>
        <v>7519263867</v>
      </c>
      <c r="E78" s="2">
        <f>SUMIFS('Streaming Data (2024-2026)'!$H:$H,'Streaming Data (2024-2026)'!$B:$B,E$2,'Streaming Data (2024-2026)'!$A:$A,$A$1)</f>
        <v>7760992208</v>
      </c>
      <c r="F78" s="2">
        <f>SUMIFS('Streaming Data (2024-2026)'!$H:$H,'Streaming Data (2024-2026)'!$B:$B,F$2,'Streaming Data (2024-2026)'!$A:$A,$A$1)</f>
        <v>7980090839</v>
      </c>
      <c r="H78" s="33">
        <f t="shared" ref="H78:H79" si="9">IFERROR((E78-D78)/D78,0)</f>
        <v>3.2147873152966452E-2</v>
      </c>
      <c r="I78" s="34">
        <f t="shared" ref="I78:I79" si="10">IFERROR((F78-E78)/E78,0)</f>
        <v>2.8230750028862803E-2</v>
      </c>
      <c r="J78" s="35">
        <f t="shared" ref="J78:J79" si="11">IFERROR((F78-D78)/D78,0)</f>
        <v>6.1286181752770244E-2</v>
      </c>
    </row>
    <row r="79" spans="3:10" x14ac:dyDescent="0.2">
      <c r="C79" t="s">
        <v>536</v>
      </c>
      <c r="D79" s="2">
        <f>SUMIFS('Streaming Data (2024-2026)'!$J:$J,'Streaming Data (2024-2026)'!$B:$B,D$2,'Streaming Data (2024-2026)'!$A:$A,$A$1)</f>
        <v>42093714</v>
      </c>
      <c r="E79" s="2">
        <f>SUMIFS('Streaming Data (2024-2026)'!$J:$J,'Streaming Data (2024-2026)'!$B:$B,E$2,'Streaming Data (2024-2026)'!$A:$A,$A$1)</f>
        <v>42519841</v>
      </c>
      <c r="F79" s="2">
        <f>SUMIFS('Streaming Data (2024-2026)'!$J:$J,'Streaming Data (2024-2026)'!$B:$B,F$2,'Streaming Data (2024-2026)'!$A:$A,$A$1)</f>
        <v>41355267</v>
      </c>
      <c r="H79" s="33">
        <f t="shared" si="9"/>
        <v>1.0123292993343377E-2</v>
      </c>
      <c r="I79" s="34">
        <f t="shared" si="10"/>
        <v>-2.7388954723513666E-2</v>
      </c>
      <c r="J79" s="35">
        <f t="shared" si="11"/>
        <v>-1.7542928143617832E-2</v>
      </c>
    </row>
    <row r="80" spans="3:10" x14ac:dyDescent="0.2">
      <c r="H80" s="30"/>
      <c r="I80" s="31"/>
      <c r="J80" s="32"/>
    </row>
  </sheetData>
  <sortState xmlns:xlrd2="http://schemas.microsoft.com/office/spreadsheetml/2017/richdata2" ref="C53:J72">
    <sortCondition descending="1" ref="J53:J72"/>
  </sortState>
  <conditionalFormatting sqref="H5:H24">
    <cfRule type="colorScale" priority="9">
      <colorScale>
        <cfvo type="min"/>
        <cfvo type="max"/>
        <color rgb="FFFCFCFF"/>
        <color rgb="FF63BE7B"/>
      </colorScale>
    </cfRule>
  </conditionalFormatting>
  <conditionalFormatting sqref="I5:I24">
    <cfRule type="colorScale" priority="8">
      <colorScale>
        <cfvo type="min"/>
        <cfvo type="max"/>
        <color rgb="FFFCFCFF"/>
        <color rgb="FF63BE7B"/>
      </colorScale>
    </cfRule>
  </conditionalFormatting>
  <conditionalFormatting sqref="J5:J24">
    <cfRule type="colorScale" priority="7">
      <colorScale>
        <cfvo type="min"/>
        <cfvo type="max"/>
        <color rgb="FFFCFCFF"/>
        <color rgb="FF63BE7B"/>
      </colorScale>
    </cfRule>
  </conditionalFormatting>
  <conditionalFormatting sqref="H29:H48">
    <cfRule type="colorScale" priority="6">
      <colorScale>
        <cfvo type="min"/>
        <cfvo type="max"/>
        <color rgb="FFFCFCFF"/>
        <color rgb="FF63BE7B"/>
      </colorScale>
    </cfRule>
  </conditionalFormatting>
  <conditionalFormatting sqref="I29:I48">
    <cfRule type="colorScale" priority="5">
      <colorScale>
        <cfvo type="min"/>
        <cfvo type="max"/>
        <color rgb="FFFCFCFF"/>
        <color rgb="FF63BE7B"/>
      </colorScale>
    </cfRule>
  </conditionalFormatting>
  <conditionalFormatting sqref="J29:J48">
    <cfRule type="colorScale" priority="4">
      <colorScale>
        <cfvo type="min"/>
        <cfvo type="max"/>
        <color rgb="FFFCFCFF"/>
        <color rgb="FF63BE7B"/>
      </colorScale>
    </cfRule>
  </conditionalFormatting>
  <conditionalFormatting sqref="H53:H72">
    <cfRule type="colorScale" priority="3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I53:I72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J53:J72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0FCB-F437-6943-884E-25E3330AE17E}">
  <sheetPr>
    <tabColor theme="9" tint="0.39997558519241921"/>
  </sheetPr>
  <dimension ref="B2:AC91"/>
  <sheetViews>
    <sheetView showGridLines="0" zoomScale="171" zoomScaleNormal="108" workbookViewId="0">
      <pane xSplit="3" topLeftCell="G1" activePane="topRight" state="frozen"/>
      <selection activeCell="A57" sqref="A57"/>
      <selection pane="topRight" activeCell="C5" sqref="C5:C24"/>
    </sheetView>
  </sheetViews>
  <sheetFormatPr baseColWidth="10" defaultRowHeight="16" x14ac:dyDescent="0.2"/>
  <cols>
    <col min="2" max="2" width="20.33203125" bestFit="1" customWidth="1"/>
    <col min="3" max="3" width="15.6640625" bestFit="1" customWidth="1"/>
    <col min="4" max="4" width="14.33203125" bestFit="1" customWidth="1"/>
    <col min="5" max="7" width="14.33203125" customWidth="1"/>
    <col min="8" max="8" width="15.1640625" bestFit="1" customWidth="1"/>
    <col min="9" max="10" width="15.1640625" customWidth="1"/>
    <col min="12" max="12" width="11.33203125" bestFit="1" customWidth="1"/>
    <col min="13" max="14" width="11.33203125" customWidth="1"/>
    <col min="15" max="15" width="11.33203125" bestFit="1" customWidth="1"/>
    <col min="16" max="17" width="11.33203125" customWidth="1"/>
    <col min="19" max="19" width="15.83203125" bestFit="1" customWidth="1"/>
    <col min="22" max="22" width="20.83203125" customWidth="1"/>
    <col min="23" max="23" width="18.6640625" customWidth="1"/>
    <col min="24" max="24" width="27.6640625" customWidth="1"/>
  </cols>
  <sheetData>
    <row r="2" spans="2:29" x14ac:dyDescent="0.2">
      <c r="D2" s="39" t="d">
        <v>2026-01-01</v>
      </c>
      <c r="E2" s="39" t="d">
        <v>2026-02-01</v>
      </c>
      <c r="F2" s="39" t="d">
        <v>2026-03-01</v>
      </c>
      <c r="G2" s="39" t="d">
        <v>2026-04-01</v>
      </c>
      <c r="H2" s="39" t="d">
        <v>2026-05-01</v>
      </c>
      <c r="I2" s="39" t="d">
        <v>2026-06-01</v>
      </c>
      <c r="J2" s="39" t="d">
        <v>2026-07-01</v>
      </c>
    </row>
    <row r="3" spans="2:29" x14ac:dyDescent="0.2">
      <c r="D3" s="16" t="s">
        <v>499</v>
      </c>
      <c r="E3" s="17"/>
      <c r="F3" s="17"/>
      <c r="G3" s="17"/>
      <c r="H3" s="17"/>
      <c r="I3" s="17"/>
      <c r="J3" s="18"/>
      <c r="L3" s="19" t="s">
        <v>699</v>
      </c>
      <c r="M3" s="20"/>
      <c r="N3" s="20"/>
      <c r="O3" s="20"/>
      <c r="P3" s="20"/>
      <c r="Q3" s="20"/>
      <c r="R3" s="21"/>
      <c r="S3" s="61"/>
    </row>
    <row r="4" spans="2:29" x14ac:dyDescent="0.2">
      <c r="C4" s="60" t="s">
        <v>480</v>
      </c>
      <c r="D4" s="54" t="s">
        <v>549</v>
      </c>
      <c r="E4" s="54" t="s">
        <v>550</v>
      </c>
      <c r="F4" s="54" t="s">
        <v>551</v>
      </c>
      <c r="G4" s="54" t="s">
        <v>678</v>
      </c>
      <c r="H4" s="54" t="s">
        <v>497</v>
      </c>
      <c r="I4" s="54" t="s">
        <v>498</v>
      </c>
      <c r="J4" s="54" t="s">
        <v>532</v>
      </c>
      <c r="L4" s="56" t="s">
        <v>679</v>
      </c>
      <c r="M4" s="54" t="s">
        <v>680</v>
      </c>
      <c r="N4" s="54" t="s">
        <v>681</v>
      </c>
      <c r="O4" s="54" t="s">
        <v>682</v>
      </c>
      <c r="P4" s="54" t="s">
        <v>683</v>
      </c>
      <c r="Q4" s="54" t="s">
        <v>684</v>
      </c>
      <c r="R4" s="52" t="s">
        <v>552</v>
      </c>
      <c r="S4" s="62" t="s">
        <v>690</v>
      </c>
    </row>
    <row r="5" spans="2:29" x14ac:dyDescent="0.2">
      <c r="B5" s="74">
        <f>RANK(S5,$S$5:$S$24,0)</f>
        <v>1</v>
      </c>
      <c r="C5" t="s">
        <v>134</v>
      </c>
      <c r="D5" s="41">
        <f>SUMIFS('Streaming Data (2024-2026)'!$F:$F,'Streaming Data (2024-2026)'!$D:$D,$C5,'Streaming Data (2024-2026)'!$E:$E,D$2)</f>
        <v>186510</v>
      </c>
      <c r="E5" s="41">
        <f>SUMIFS('Streaming Data (2024-2026)'!$F:$F,'Streaming Data (2024-2026)'!$D:$D,$C5,'Streaming Data (2024-2026)'!$E:$E,E$2)</f>
        <v>218371</v>
      </c>
      <c r="F5" s="41">
        <f>SUMIFS('Streaming Data (2024-2026)'!$F:$F,'Streaming Data (2024-2026)'!$D:$D,$C5,'Streaming Data (2024-2026)'!$E:$E,F$2)</f>
        <v>247716</v>
      </c>
      <c r="G5" s="41">
        <f>SUMIFS('Streaming Data (2024-2026)'!$F:$F,'Streaming Data (2024-2026)'!$D:$D,$C5,'Streaming Data (2024-2026)'!$E:$E,G$2)</f>
        <v>281039</v>
      </c>
      <c r="H5" s="41">
        <f>SUMIFS('Streaming Data (2024-2026)'!$F:$F,'Streaming Data (2024-2026)'!$D:$D,$C5,'Streaming Data (2024-2026)'!$E:$E,H$2)</f>
        <v>326254</v>
      </c>
      <c r="I5" s="41">
        <f>SUMIFS('Streaming Data (2024-2026)'!$F:$F,'Streaming Data (2024-2026)'!$D:$D,$C5,'Streaming Data (2024-2026)'!$E:$E,I$2)</f>
        <v>361146</v>
      </c>
      <c r="J5" s="41">
        <f>SUMIFS('Streaming Data (2024-2026)'!$F:$F,'Streaming Data (2024-2026)'!$D:$D,$C5,'Streaming Data (2024-2026)'!$E:$E,J$2)</f>
        <v>397115</v>
      </c>
      <c r="L5" s="27">
        <f t="shared" ref="L5:L24" si="0">IFERROR((E5-D5)/D5,0)</f>
        <v>0.17082730148517505</v>
      </c>
      <c r="M5" s="28">
        <f t="shared" ref="M5:M24" si="1">IFERROR((F5-E5)/E5,0)</f>
        <v>0.13438139679719377</v>
      </c>
      <c r="N5" s="28">
        <f t="shared" ref="N5:N24" si="2">IFERROR((G5-F5)/F5,0)</f>
        <v>0.13452098370714852</v>
      </c>
      <c r="O5" s="28">
        <f t="shared" ref="O5:O24" si="3">IFERROR((H5-G5)/G5,0)</f>
        <v>0.16088514405473972</v>
      </c>
      <c r="P5" s="28">
        <f t="shared" ref="P5:P24" si="4">IFERROR((I5-H5)/H5,0)</f>
        <v>0.10694734777198134</v>
      </c>
      <c r="Q5" s="28">
        <f t="shared" ref="Q5:Q24" si="5">IFERROR((J5-I5)/I5,0)</f>
        <v>9.9596838951559755E-2</v>
      </c>
      <c r="R5" s="28">
        <f t="shared" ref="R5:R24" si="6">IFERROR((J5-D5)/D5,0)</f>
        <v>1.129188783443247</v>
      </c>
      <c r="S5" s="29">
        <f>IFERROR((J5/D5)^(1/6)-1,0)</f>
        <v>0.13423321643094677</v>
      </c>
      <c r="AA5" s="40" t="s">
        <v>547</v>
      </c>
      <c r="AB5" s="40" t="s">
        <v>548</v>
      </c>
      <c r="AC5" s="40"/>
    </row>
    <row r="6" spans="2:29" x14ac:dyDescent="0.2">
      <c r="B6" s="74">
        <f t="shared" ref="B6:B24" si="7">RANK(S6,$S$5:$S$24,0)</f>
        <v>2</v>
      </c>
      <c r="C6" t="s">
        <v>65</v>
      </c>
      <c r="D6" s="2">
        <f>SUMIFS('Streaming Data (2024-2026)'!$F:$F,'Streaming Data (2024-2026)'!$D:$D,$C6,'Streaming Data (2024-2026)'!$E:$E,D$2)</f>
        <v>881192</v>
      </c>
      <c r="E6" s="2">
        <f>SUMIFS('Streaming Data (2024-2026)'!$F:$F,'Streaming Data (2024-2026)'!$D:$D,$C6,'Streaming Data (2024-2026)'!$E:$E,E$2)</f>
        <v>935319</v>
      </c>
      <c r="F6" s="2">
        <f>SUMIFS('Streaming Data (2024-2026)'!$F:$F,'Streaming Data (2024-2026)'!$D:$D,$C6,'Streaming Data (2024-2026)'!$E:$E,F$2)</f>
        <v>1003581</v>
      </c>
      <c r="G6" s="2">
        <f>SUMIFS('Streaming Data (2024-2026)'!$F:$F,'Streaming Data (2024-2026)'!$D:$D,$C6,'Streaming Data (2024-2026)'!$E:$E,G$2)</f>
        <v>1057215</v>
      </c>
      <c r="H6" s="2">
        <f>SUMIFS('Streaming Data (2024-2026)'!$F:$F,'Streaming Data (2024-2026)'!$D:$D,$C6,'Streaming Data (2024-2026)'!$E:$E,H$2)</f>
        <v>1128567</v>
      </c>
      <c r="I6" s="2">
        <f>SUMIFS('Streaming Data (2024-2026)'!$F:$F,'Streaming Data (2024-2026)'!$D:$D,$C6,'Streaming Data (2024-2026)'!$E:$E,I$2)</f>
        <v>1191790</v>
      </c>
      <c r="J6" s="2">
        <f>SUMIFS('Streaming Data (2024-2026)'!$F:$F,'Streaming Data (2024-2026)'!$D:$D,$C6,'Streaming Data (2024-2026)'!$E:$E,J$2)</f>
        <v>1273152</v>
      </c>
      <c r="L6" s="27">
        <f t="shared" si="0"/>
        <v>6.1424751926935334E-2</v>
      </c>
      <c r="M6" s="28">
        <f t="shared" si="1"/>
        <v>7.2982586689674861E-2</v>
      </c>
      <c r="N6" s="28">
        <f t="shared" si="2"/>
        <v>5.3442621970722838E-2</v>
      </c>
      <c r="O6" s="28">
        <f t="shared" si="3"/>
        <v>6.7490529362523227E-2</v>
      </c>
      <c r="P6" s="28">
        <f t="shared" si="4"/>
        <v>5.6020599574504656E-2</v>
      </c>
      <c r="Q6" s="28">
        <f t="shared" si="5"/>
        <v>6.8268738620058902E-2</v>
      </c>
      <c r="R6" s="28">
        <f t="shared" si="6"/>
        <v>0.4448065801777592</v>
      </c>
      <c r="S6" s="29">
        <f t="shared" ref="S6:S24" si="8">IFERROR((J6/D6)^(1/6)-1,0)</f>
        <v>6.3248923840417248E-2</v>
      </c>
      <c r="U6" s="45" t="s">
        <v>696</v>
      </c>
      <c r="V6" s="46"/>
      <c r="W6" s="46"/>
      <c r="X6" s="47"/>
    </row>
    <row r="7" spans="2:29" ht="17" x14ac:dyDescent="0.2">
      <c r="B7" s="74">
        <f t="shared" si="7"/>
        <v>3</v>
      </c>
      <c r="C7" t="s">
        <v>287</v>
      </c>
      <c r="D7" s="2">
        <f>SUMIFS('Streaming Data (2024-2026)'!$F:$F,'Streaming Data (2024-2026)'!$D:$D,$C7,'Streaming Data (2024-2026)'!$E:$E,D$2)</f>
        <v>54906</v>
      </c>
      <c r="E7" s="2">
        <f>SUMIFS('Streaming Data (2024-2026)'!$F:$F,'Streaming Data (2024-2026)'!$D:$D,$C7,'Streaming Data (2024-2026)'!$E:$E,E$2)</f>
        <v>60106</v>
      </c>
      <c r="F7" s="2">
        <f>SUMIFS('Streaming Data (2024-2026)'!$F:$F,'Streaming Data (2024-2026)'!$D:$D,$C7,'Streaming Data (2024-2026)'!$E:$E,F$2)</f>
        <v>63850</v>
      </c>
      <c r="G7" s="2">
        <f>SUMIFS('Streaming Data (2024-2026)'!$F:$F,'Streaming Data (2024-2026)'!$D:$D,$C7,'Streaming Data (2024-2026)'!$E:$E,G$2)</f>
        <v>66894</v>
      </c>
      <c r="H7" s="2">
        <f>SUMIFS('Streaming Data (2024-2026)'!$F:$F,'Streaming Data (2024-2026)'!$D:$D,$C7,'Streaming Data (2024-2026)'!$E:$E,H$2)</f>
        <v>71071</v>
      </c>
      <c r="I7" s="2">
        <f>SUMIFS('Streaming Data (2024-2026)'!$F:$F,'Streaming Data (2024-2026)'!$D:$D,$C7,'Streaming Data (2024-2026)'!$E:$E,I$2)</f>
        <v>75331</v>
      </c>
      <c r="J7" s="2">
        <f>SUMIFS('Streaming Data (2024-2026)'!$F:$F,'Streaming Data (2024-2026)'!$D:$D,$C7,'Streaming Data (2024-2026)'!$E:$E,J$2)</f>
        <v>79045</v>
      </c>
      <c r="L7" s="27">
        <f t="shared" si="0"/>
        <v>9.4707317961607113E-2</v>
      </c>
      <c r="M7" s="28">
        <f t="shared" si="1"/>
        <v>6.228995441386883E-2</v>
      </c>
      <c r="N7" s="28">
        <f t="shared" si="2"/>
        <v>4.7674236491777607E-2</v>
      </c>
      <c r="O7" s="28">
        <f t="shared" si="3"/>
        <v>6.2442072532663616E-2</v>
      </c>
      <c r="P7" s="28">
        <f t="shared" si="4"/>
        <v>5.9940059940059943E-2</v>
      </c>
      <c r="Q7" s="28">
        <f t="shared" si="5"/>
        <v>4.9302412021611286E-2</v>
      </c>
      <c r="R7" s="28">
        <f t="shared" si="6"/>
        <v>0.43964229774523733</v>
      </c>
      <c r="S7" s="29">
        <f t="shared" si="8"/>
        <v>6.261456979431923E-2</v>
      </c>
      <c r="U7" s="73" t="s">
        <v>695</v>
      </c>
      <c r="V7" s="72" t="s">
        <v>694</v>
      </c>
      <c r="W7" s="66" t="s">
        <v>692</v>
      </c>
      <c r="X7" s="66" t="s">
        <v>693</v>
      </c>
    </row>
    <row r="8" spans="2:29" x14ac:dyDescent="0.2">
      <c r="B8" s="74">
        <f t="shared" si="7"/>
        <v>4</v>
      </c>
      <c r="C8" t="s">
        <v>478</v>
      </c>
      <c r="D8" s="2">
        <f>SUMIFS('Streaming Data (2024-2026)'!$F:$F,'Streaming Data (2024-2026)'!$D:$D,$C8,'Streaming Data (2024-2026)'!$E:$E,D$2)</f>
        <v>357275</v>
      </c>
      <c r="E8" s="2">
        <f>SUMIFS('Streaming Data (2024-2026)'!$F:$F,'Streaming Data (2024-2026)'!$D:$D,$C8,'Streaming Data (2024-2026)'!$E:$E,E$2)</f>
        <v>377164</v>
      </c>
      <c r="F8" s="2">
        <f>SUMIFS('Streaming Data (2024-2026)'!$F:$F,'Streaming Data (2024-2026)'!$D:$D,$C8,'Streaming Data (2024-2026)'!$E:$E,F$2)</f>
        <v>397364</v>
      </c>
      <c r="G8" s="2">
        <f>SUMIFS('Streaming Data (2024-2026)'!$F:$F,'Streaming Data (2024-2026)'!$D:$D,$C8,'Streaming Data (2024-2026)'!$E:$E,G$2)</f>
        <v>419993</v>
      </c>
      <c r="H8" s="2">
        <f>SUMIFS('Streaming Data (2024-2026)'!$F:$F,'Streaming Data (2024-2026)'!$D:$D,$C8,'Streaming Data (2024-2026)'!$E:$E,H$2)</f>
        <v>442078</v>
      </c>
      <c r="I8" s="2">
        <f>SUMIFS('Streaming Data (2024-2026)'!$F:$F,'Streaming Data (2024-2026)'!$D:$D,$C8,'Streaming Data (2024-2026)'!$E:$E,I$2)</f>
        <v>470273</v>
      </c>
      <c r="J8" s="2">
        <f>SUMIFS('Streaming Data (2024-2026)'!$F:$F,'Streaming Data (2024-2026)'!$D:$D,$C8,'Streaming Data (2024-2026)'!$E:$E,J$2)</f>
        <v>491635</v>
      </c>
      <c r="L8" s="27">
        <f t="shared" si="0"/>
        <v>5.5668602617031701E-2</v>
      </c>
      <c r="M8" s="28">
        <f t="shared" si="1"/>
        <v>5.3557603588889717E-2</v>
      </c>
      <c r="N8" s="28">
        <f t="shared" si="2"/>
        <v>5.6947785909141242E-2</v>
      </c>
      <c r="O8" s="28">
        <f t="shared" si="3"/>
        <v>5.2584209736828945E-2</v>
      </c>
      <c r="P8" s="28">
        <f t="shared" si="4"/>
        <v>6.3778337759399922E-2</v>
      </c>
      <c r="Q8" s="28">
        <f t="shared" si="5"/>
        <v>4.5424678856749168E-2</v>
      </c>
      <c r="R8" s="28">
        <f t="shared" si="6"/>
        <v>0.37606885452382616</v>
      </c>
      <c r="S8" s="29">
        <f t="shared" si="8"/>
        <v>5.4645962086365074E-2</v>
      </c>
      <c r="U8" s="65" t="s">
        <v>287</v>
      </c>
      <c r="V8" s="75">
        <f>_xlfn.XLOOKUP($U$8,$C$5:$C$24,$B$5:$B$24,0)</f>
        <v>3</v>
      </c>
      <c r="W8" s="75">
        <f>_xlfn.XLOOKUP($U$8,$C$29:$C$48,$B$29:$B$48,0)</f>
        <v>3</v>
      </c>
      <c r="X8" s="75">
        <f>_xlfn.XLOOKUP($U$8,$C$53:$C$72,$B$53:$B$72,0)</f>
        <v>3</v>
      </c>
    </row>
    <row r="9" spans="2:29" x14ac:dyDescent="0.2">
      <c r="B9" s="74">
        <f t="shared" si="7"/>
        <v>5</v>
      </c>
      <c r="C9" t="s">
        <v>49</v>
      </c>
      <c r="D9" s="2">
        <f>SUMIFS('Streaming Data (2024-2026)'!$F:$F,'Streaming Data (2024-2026)'!$D:$D,$C9,'Streaming Data (2024-2026)'!$E:$E,D$2)</f>
        <v>1255496</v>
      </c>
      <c r="E9" s="2">
        <f>SUMIFS('Streaming Data (2024-2026)'!$F:$F,'Streaming Data (2024-2026)'!$D:$D,$C9,'Streaming Data (2024-2026)'!$E:$E,E$2)</f>
        <v>1339190</v>
      </c>
      <c r="F9" s="2">
        <f>SUMIFS('Streaming Data (2024-2026)'!$F:$F,'Streaming Data (2024-2026)'!$D:$D,$C9,'Streaming Data (2024-2026)'!$E:$E,F$2)</f>
        <v>1412040</v>
      </c>
      <c r="G9" s="2">
        <f>SUMIFS('Streaming Data (2024-2026)'!$F:$F,'Streaming Data (2024-2026)'!$D:$D,$C9,'Streaming Data (2024-2026)'!$E:$E,G$2)</f>
        <v>1500888</v>
      </c>
      <c r="H9" s="2">
        <f>SUMIFS('Streaming Data (2024-2026)'!$F:$F,'Streaming Data (2024-2026)'!$D:$D,$C9,'Streaming Data (2024-2026)'!$E:$E,H$2)</f>
        <v>1564098</v>
      </c>
      <c r="I9" s="2">
        <f>SUMIFS('Streaming Data (2024-2026)'!$F:$F,'Streaming Data (2024-2026)'!$D:$D,$C9,'Streaming Data (2024-2026)'!$E:$E,I$2)</f>
        <v>1634196</v>
      </c>
      <c r="J9" s="2">
        <f>SUMIFS('Streaming Data (2024-2026)'!$F:$F,'Streaming Data (2024-2026)'!$D:$D,$C9,'Streaming Data (2024-2026)'!$E:$E,J$2)</f>
        <v>1691439</v>
      </c>
      <c r="L9" s="27">
        <f t="shared" si="0"/>
        <v>6.6662100078375405E-2</v>
      </c>
      <c r="M9" s="28">
        <f t="shared" si="1"/>
        <v>5.4398554350017544E-2</v>
      </c>
      <c r="N9" s="28">
        <f t="shared" si="2"/>
        <v>6.2921730262598799E-2</v>
      </c>
      <c r="O9" s="28">
        <f t="shared" si="3"/>
        <v>4.211506787981515E-2</v>
      </c>
      <c r="P9" s="28">
        <f t="shared" si="4"/>
        <v>4.4816884875500125E-2</v>
      </c>
      <c r="Q9" s="28">
        <f t="shared" si="5"/>
        <v>3.5028234067394609E-2</v>
      </c>
      <c r="R9" s="28">
        <f t="shared" si="6"/>
        <v>0.3472277092081536</v>
      </c>
      <c r="S9" s="29">
        <f t="shared" si="8"/>
        <v>5.0929301769888857E-2</v>
      </c>
    </row>
    <row r="10" spans="2:29" x14ac:dyDescent="0.2">
      <c r="B10" s="74">
        <f t="shared" si="7"/>
        <v>6</v>
      </c>
      <c r="C10" t="s">
        <v>45</v>
      </c>
      <c r="D10" s="2">
        <f>SUMIFS('Streaming Data (2024-2026)'!$F:$F,'Streaming Data (2024-2026)'!$D:$D,$C10,'Streaming Data (2024-2026)'!$E:$E,D$2)</f>
        <v>1426088</v>
      </c>
      <c r="E10" s="2">
        <f>SUMIFS('Streaming Data (2024-2026)'!$F:$F,'Streaming Data (2024-2026)'!$D:$D,$C10,'Streaming Data (2024-2026)'!$E:$E,E$2)</f>
        <v>1489768</v>
      </c>
      <c r="F10" s="2">
        <f>SUMIFS('Streaming Data (2024-2026)'!$F:$F,'Streaming Data (2024-2026)'!$D:$D,$C10,'Streaming Data (2024-2026)'!$E:$E,F$2)</f>
        <v>1543750</v>
      </c>
      <c r="G10" s="2">
        <f>SUMIFS('Streaming Data (2024-2026)'!$F:$F,'Streaming Data (2024-2026)'!$D:$D,$C10,'Streaming Data (2024-2026)'!$E:$E,G$2)</f>
        <v>1613833</v>
      </c>
      <c r="H10" s="2">
        <f>SUMIFS('Streaming Data (2024-2026)'!$F:$F,'Streaming Data (2024-2026)'!$D:$D,$C10,'Streaming Data (2024-2026)'!$E:$E,H$2)</f>
        <v>1706291</v>
      </c>
      <c r="I10" s="2">
        <f>SUMIFS('Streaming Data (2024-2026)'!$F:$F,'Streaming Data (2024-2026)'!$D:$D,$C10,'Streaming Data (2024-2026)'!$E:$E,I$2)</f>
        <v>1775021</v>
      </c>
      <c r="J10" s="2">
        <f>SUMIFS('Streaming Data (2024-2026)'!$F:$F,'Streaming Data (2024-2026)'!$D:$D,$C10,'Streaming Data (2024-2026)'!$E:$E,J$2)</f>
        <v>1836645</v>
      </c>
      <c r="L10" s="27">
        <f t="shared" si="0"/>
        <v>4.465362586320059E-2</v>
      </c>
      <c r="M10" s="28">
        <f t="shared" si="1"/>
        <v>3.6235172187884288E-2</v>
      </c>
      <c r="N10" s="28">
        <f t="shared" si="2"/>
        <v>4.5397894736842102E-2</v>
      </c>
      <c r="O10" s="28">
        <f t="shared" si="3"/>
        <v>5.7290934068147073E-2</v>
      </c>
      <c r="P10" s="28">
        <f t="shared" si="4"/>
        <v>4.0280350772523559E-2</v>
      </c>
      <c r="Q10" s="28">
        <f t="shared" si="5"/>
        <v>3.4717335738563095E-2</v>
      </c>
      <c r="R10" s="28">
        <f t="shared" si="6"/>
        <v>0.28789036861680345</v>
      </c>
      <c r="S10" s="29">
        <f t="shared" si="8"/>
        <v>4.3069266263558115E-2</v>
      </c>
    </row>
    <row r="11" spans="2:29" x14ac:dyDescent="0.2">
      <c r="B11" s="74">
        <f t="shared" si="7"/>
        <v>7</v>
      </c>
      <c r="C11" t="s">
        <v>540</v>
      </c>
      <c r="D11" s="2">
        <f>SUMIFS('Streaming Data (2024-2026)'!$F:$F,'Streaming Data (2024-2026)'!$D:$D,$C11,'Streaming Data (2024-2026)'!$E:$E,D$2)</f>
        <v>248008</v>
      </c>
      <c r="E11" s="2">
        <f>SUMIFS('Streaming Data (2024-2026)'!$F:$F,'Streaming Data (2024-2026)'!$D:$D,$C11,'Streaming Data (2024-2026)'!$E:$E,E$2)</f>
        <v>260830</v>
      </c>
      <c r="F11" s="2">
        <f>SUMIFS('Streaming Data (2024-2026)'!$F:$F,'Streaming Data (2024-2026)'!$D:$D,$C11,'Streaming Data (2024-2026)'!$E:$E,F$2)</f>
        <v>270240</v>
      </c>
      <c r="G11" s="2">
        <f>SUMIFS('Streaming Data (2024-2026)'!$F:$F,'Streaming Data (2024-2026)'!$D:$D,$C11,'Streaming Data (2024-2026)'!$E:$E,G$2)</f>
        <v>279954</v>
      </c>
      <c r="H11" s="2">
        <f>SUMIFS('Streaming Data (2024-2026)'!$F:$F,'Streaming Data (2024-2026)'!$D:$D,$C11,'Streaming Data (2024-2026)'!$E:$E,H$2)</f>
        <v>293673</v>
      </c>
      <c r="I11" s="2">
        <f>SUMIFS('Streaming Data (2024-2026)'!$F:$F,'Streaming Data (2024-2026)'!$D:$D,$C11,'Streaming Data (2024-2026)'!$E:$E,I$2)</f>
        <v>309630</v>
      </c>
      <c r="J11" s="2">
        <f>SUMIFS('Streaming Data (2024-2026)'!$F:$F,'Streaming Data (2024-2026)'!$D:$D,$C11,'Streaming Data (2024-2026)'!$E:$E,J$2)</f>
        <v>318057</v>
      </c>
      <c r="L11" s="27">
        <f t="shared" si="0"/>
        <v>5.1699945163059258E-2</v>
      </c>
      <c r="M11" s="28">
        <f t="shared" si="1"/>
        <v>3.6077138365985507E-2</v>
      </c>
      <c r="N11" s="28">
        <f t="shared" si="2"/>
        <v>3.5945825932504442E-2</v>
      </c>
      <c r="O11" s="28">
        <f t="shared" si="3"/>
        <v>4.9004479307314774E-2</v>
      </c>
      <c r="P11" s="28">
        <f t="shared" si="4"/>
        <v>5.4335945081774625E-2</v>
      </c>
      <c r="Q11" s="28">
        <f t="shared" si="5"/>
        <v>2.7216355004360041E-2</v>
      </c>
      <c r="R11" s="28">
        <f t="shared" si="6"/>
        <v>0.28244653398277475</v>
      </c>
      <c r="S11" s="29">
        <f t="shared" si="8"/>
        <v>4.2333136930980286E-2</v>
      </c>
    </row>
    <row r="12" spans="2:29" x14ac:dyDescent="0.2">
      <c r="B12" s="74">
        <f t="shared" si="7"/>
        <v>8</v>
      </c>
      <c r="C12" t="s">
        <v>91</v>
      </c>
      <c r="D12" s="2">
        <f>SUMIFS('Streaming Data (2024-2026)'!$F:$F,'Streaming Data (2024-2026)'!$D:$D,$C12,'Streaming Data (2024-2026)'!$E:$E,D$2)</f>
        <v>651509</v>
      </c>
      <c r="E12" s="2">
        <f>SUMIFS('Streaming Data (2024-2026)'!$F:$F,'Streaming Data (2024-2026)'!$D:$D,$C12,'Streaming Data (2024-2026)'!$E:$E,E$2)</f>
        <v>673305</v>
      </c>
      <c r="F12" s="2">
        <f>SUMIFS('Streaming Data (2024-2026)'!$F:$F,'Streaming Data (2024-2026)'!$D:$D,$C12,'Streaming Data (2024-2026)'!$E:$E,F$2)</f>
        <v>697253</v>
      </c>
      <c r="G12" s="2">
        <f>SUMIFS('Streaming Data (2024-2026)'!$F:$F,'Streaming Data (2024-2026)'!$D:$D,$C12,'Streaming Data (2024-2026)'!$E:$E,G$2)</f>
        <v>730714</v>
      </c>
      <c r="H12" s="2">
        <f>SUMIFS('Streaming Data (2024-2026)'!$F:$F,'Streaming Data (2024-2026)'!$D:$D,$C12,'Streaming Data (2024-2026)'!$E:$E,H$2)</f>
        <v>755355</v>
      </c>
      <c r="I12" s="2">
        <f>SUMIFS('Streaming Data (2024-2026)'!$F:$F,'Streaming Data (2024-2026)'!$D:$D,$C12,'Streaming Data (2024-2026)'!$E:$E,I$2)</f>
        <v>780255</v>
      </c>
      <c r="J12" s="2">
        <f>SUMIFS('Streaming Data (2024-2026)'!$F:$F,'Streaming Data (2024-2026)'!$D:$D,$C12,'Streaming Data (2024-2026)'!$E:$E,J$2)</f>
        <v>802257</v>
      </c>
      <c r="L12" s="27">
        <f t="shared" si="0"/>
        <v>3.3454641455451885E-2</v>
      </c>
      <c r="M12" s="28">
        <f t="shared" si="1"/>
        <v>3.5567833299916085E-2</v>
      </c>
      <c r="N12" s="28">
        <f t="shared" si="2"/>
        <v>4.7989754077788119E-2</v>
      </c>
      <c r="O12" s="28">
        <f t="shared" si="3"/>
        <v>3.3721811816935218E-2</v>
      </c>
      <c r="P12" s="28">
        <f t="shared" si="4"/>
        <v>3.2964632523780207E-2</v>
      </c>
      <c r="Q12" s="28">
        <f t="shared" si="5"/>
        <v>2.8198473575946324E-2</v>
      </c>
      <c r="R12" s="28">
        <f t="shared" si="6"/>
        <v>0.23138283584724079</v>
      </c>
      <c r="S12" s="29">
        <f t="shared" si="8"/>
        <v>3.5298335916666757E-2</v>
      </c>
    </row>
    <row r="13" spans="2:29" x14ac:dyDescent="0.2">
      <c r="B13" s="74">
        <f t="shared" si="7"/>
        <v>9</v>
      </c>
      <c r="C13" t="s">
        <v>479</v>
      </c>
      <c r="D13" s="2">
        <f>SUMIFS('Streaming Data (2024-2026)'!$F:$F,'Streaming Data (2024-2026)'!$D:$D,$C13,'Streaming Data (2024-2026)'!$E:$E,D$2)</f>
        <v>218843</v>
      </c>
      <c r="E13" s="2">
        <f>SUMIFS('Streaming Data (2024-2026)'!$F:$F,'Streaming Data (2024-2026)'!$D:$D,$C13,'Streaming Data (2024-2026)'!$E:$E,E$2)</f>
        <v>224951</v>
      </c>
      <c r="F13" s="2">
        <f>SUMIFS('Streaming Data (2024-2026)'!$F:$F,'Streaming Data (2024-2026)'!$D:$D,$C13,'Streaming Data (2024-2026)'!$E:$E,F$2)</f>
        <v>231868</v>
      </c>
      <c r="G13" s="2">
        <f>SUMIFS('Streaming Data (2024-2026)'!$F:$F,'Streaming Data (2024-2026)'!$D:$D,$C13,'Streaming Data (2024-2026)'!$E:$E,G$2)</f>
        <v>238576</v>
      </c>
      <c r="H13" s="2">
        <f>SUMIFS('Streaming Data (2024-2026)'!$F:$F,'Streaming Data (2024-2026)'!$D:$D,$C13,'Streaming Data (2024-2026)'!$E:$E,H$2)</f>
        <v>245041</v>
      </c>
      <c r="I13" s="2">
        <f>SUMIFS('Streaming Data (2024-2026)'!$F:$F,'Streaming Data (2024-2026)'!$D:$D,$C13,'Streaming Data (2024-2026)'!$E:$E,I$2)</f>
        <v>251255</v>
      </c>
      <c r="J13" s="2">
        <f>SUMIFS('Streaming Data (2024-2026)'!$F:$F,'Streaming Data (2024-2026)'!$D:$D,$C13,'Streaming Data (2024-2026)'!$E:$E,J$2)</f>
        <v>257555</v>
      </c>
      <c r="L13" s="27">
        <f t="shared" si="0"/>
        <v>2.7910419798668453E-2</v>
      </c>
      <c r="M13" s="28">
        <f t="shared" si="1"/>
        <v>3.0748918653395629E-2</v>
      </c>
      <c r="N13" s="28">
        <f t="shared" si="2"/>
        <v>2.8930253420049339E-2</v>
      </c>
      <c r="O13" s="28">
        <f t="shared" si="3"/>
        <v>2.7098283146670243E-2</v>
      </c>
      <c r="P13" s="28">
        <f t="shared" si="4"/>
        <v>2.5359021551495463E-2</v>
      </c>
      <c r="Q13" s="28">
        <f t="shared" si="5"/>
        <v>2.5074127878052178E-2</v>
      </c>
      <c r="R13" s="28">
        <f t="shared" si="6"/>
        <v>0.17689393766307351</v>
      </c>
      <c r="S13" s="29">
        <f t="shared" si="8"/>
        <v>2.7518273813729843E-2</v>
      </c>
    </row>
    <row r="14" spans="2:29" x14ac:dyDescent="0.2">
      <c r="B14" s="74">
        <f t="shared" si="7"/>
        <v>10</v>
      </c>
      <c r="C14" t="s">
        <v>30</v>
      </c>
      <c r="D14" s="2">
        <f>SUMIFS('Streaming Data (2024-2026)'!$F:$F,'Streaming Data (2024-2026)'!$D:$D,$C14,'Streaming Data (2024-2026)'!$E:$E,D$2)</f>
        <v>4029785</v>
      </c>
      <c r="E14" s="2">
        <f>SUMIFS('Streaming Data (2024-2026)'!$F:$F,'Streaming Data (2024-2026)'!$D:$D,$C14,'Streaming Data (2024-2026)'!$E:$E,E$2)</f>
        <v>4172483</v>
      </c>
      <c r="F14" s="2">
        <f>SUMIFS('Streaming Data (2024-2026)'!$F:$F,'Streaming Data (2024-2026)'!$D:$D,$C14,'Streaming Data (2024-2026)'!$E:$E,F$2)</f>
        <v>4260375</v>
      </c>
      <c r="G14" s="2">
        <f>SUMIFS('Streaming Data (2024-2026)'!$F:$F,'Streaming Data (2024-2026)'!$D:$D,$C14,'Streaming Data (2024-2026)'!$E:$E,G$2)</f>
        <v>4363075</v>
      </c>
      <c r="H14" s="2">
        <f>SUMIFS('Streaming Data (2024-2026)'!$F:$F,'Streaming Data (2024-2026)'!$D:$D,$C14,'Streaming Data (2024-2026)'!$E:$E,H$2)</f>
        <v>4455569</v>
      </c>
      <c r="I14" s="2">
        <f>SUMIFS('Streaming Data (2024-2026)'!$F:$F,'Streaming Data (2024-2026)'!$D:$D,$C14,'Streaming Data (2024-2026)'!$E:$E,I$2)</f>
        <v>4576550</v>
      </c>
      <c r="J14" s="2">
        <f>SUMIFS('Streaming Data (2024-2026)'!$F:$F,'Streaming Data (2024-2026)'!$D:$D,$C14,'Streaming Data (2024-2026)'!$E:$E,J$2)</f>
        <v>4665879</v>
      </c>
      <c r="L14" s="27">
        <f t="shared" si="0"/>
        <v>3.5410822165450516E-2</v>
      </c>
      <c r="M14" s="28">
        <f t="shared" si="1"/>
        <v>2.1064675398317981E-2</v>
      </c>
      <c r="N14" s="28">
        <f t="shared" si="2"/>
        <v>2.4105859226007099E-2</v>
      </c>
      <c r="O14" s="28">
        <f t="shared" si="3"/>
        <v>2.1199268864275769E-2</v>
      </c>
      <c r="P14" s="28">
        <f t="shared" si="4"/>
        <v>2.7152760960496854E-2</v>
      </c>
      <c r="Q14" s="28">
        <f t="shared" si="5"/>
        <v>1.9518851536637859E-2</v>
      </c>
      <c r="R14" s="28">
        <f t="shared" si="6"/>
        <v>0.15784812341105048</v>
      </c>
      <c r="S14" s="29">
        <f t="shared" si="8"/>
        <v>2.4727990982676751E-2</v>
      </c>
    </row>
    <row r="15" spans="2:29" x14ac:dyDescent="0.2">
      <c r="B15" s="74">
        <f t="shared" si="7"/>
        <v>11</v>
      </c>
      <c r="C15" t="s">
        <v>125</v>
      </c>
      <c r="D15" s="2">
        <f>SUMIFS('Streaming Data (2024-2026)'!$F:$F,'Streaming Data (2024-2026)'!$D:$D,$C15,'Streaming Data (2024-2026)'!$E:$E,D$2)</f>
        <v>380917</v>
      </c>
      <c r="E15" s="2">
        <f>SUMIFS('Streaming Data (2024-2026)'!$F:$F,'Streaming Data (2024-2026)'!$D:$D,$C15,'Streaming Data (2024-2026)'!$E:$E,E$2)</f>
        <v>390958</v>
      </c>
      <c r="F15" s="2">
        <f>SUMIFS('Streaming Data (2024-2026)'!$F:$F,'Streaming Data (2024-2026)'!$D:$D,$C15,'Streaming Data (2024-2026)'!$E:$E,F$2)</f>
        <v>400558</v>
      </c>
      <c r="G15" s="2">
        <f>SUMIFS('Streaming Data (2024-2026)'!$F:$F,'Streaming Data (2024-2026)'!$D:$D,$C15,'Streaming Data (2024-2026)'!$E:$E,G$2)</f>
        <v>413161</v>
      </c>
      <c r="H15" s="2">
        <f>SUMIFS('Streaming Data (2024-2026)'!$F:$F,'Streaming Data (2024-2026)'!$D:$D,$C15,'Streaming Data (2024-2026)'!$E:$E,H$2)</f>
        <v>420847</v>
      </c>
      <c r="I15" s="2">
        <f>SUMIFS('Streaming Data (2024-2026)'!$F:$F,'Streaming Data (2024-2026)'!$D:$D,$C15,'Streaming Data (2024-2026)'!$E:$E,I$2)</f>
        <v>427745</v>
      </c>
      <c r="J15" s="2">
        <f>SUMIFS('Streaming Data (2024-2026)'!$F:$F,'Streaming Data (2024-2026)'!$D:$D,$C15,'Streaming Data (2024-2026)'!$E:$E,J$2)</f>
        <v>439293</v>
      </c>
      <c r="L15" s="27">
        <f t="shared" si="0"/>
        <v>2.6360073191797687E-2</v>
      </c>
      <c r="M15" s="28">
        <f t="shared" si="1"/>
        <v>2.455506729623131E-2</v>
      </c>
      <c r="N15" s="28">
        <f t="shared" si="2"/>
        <v>3.1463608266468275E-2</v>
      </c>
      <c r="O15" s="28">
        <f t="shared" si="3"/>
        <v>1.8602917506734661E-2</v>
      </c>
      <c r="P15" s="28">
        <f t="shared" si="4"/>
        <v>1.6390754834892489E-2</v>
      </c>
      <c r="Q15" s="28">
        <f t="shared" si="5"/>
        <v>2.6997393306759869E-2</v>
      </c>
      <c r="R15" s="28">
        <f t="shared" si="6"/>
        <v>0.15325123320828421</v>
      </c>
      <c r="S15" s="29">
        <f t="shared" si="8"/>
        <v>2.4048803822682707E-2</v>
      </c>
    </row>
    <row r="16" spans="2:29" x14ac:dyDescent="0.2">
      <c r="B16" s="74">
        <f t="shared" si="7"/>
        <v>12</v>
      </c>
      <c r="C16" t="s">
        <v>32</v>
      </c>
      <c r="D16" s="2">
        <f>SUMIFS('Streaming Data (2024-2026)'!$F:$F,'Streaming Data (2024-2026)'!$D:$D,$C16,'Streaming Data (2024-2026)'!$E:$E,D$2)</f>
        <v>3870585</v>
      </c>
      <c r="E16" s="2">
        <f>SUMIFS('Streaming Data (2024-2026)'!$F:$F,'Streaming Data (2024-2026)'!$D:$D,$C16,'Streaming Data (2024-2026)'!$E:$E,E$2)</f>
        <v>3977462</v>
      </c>
      <c r="F16" s="2">
        <f>SUMIFS('Streaming Data (2024-2026)'!$F:$F,'Streaming Data (2024-2026)'!$D:$D,$C16,'Streaming Data (2024-2026)'!$E:$E,F$2)</f>
        <v>4056869</v>
      </c>
      <c r="G16" s="2">
        <f>SUMIFS('Streaming Data (2024-2026)'!$F:$F,'Streaming Data (2024-2026)'!$D:$D,$C16,'Streaming Data (2024-2026)'!$E:$E,G$2)</f>
        <v>4198055</v>
      </c>
      <c r="H16" s="2">
        <f>SUMIFS('Streaming Data (2024-2026)'!$F:$F,'Streaming Data (2024-2026)'!$D:$D,$C16,'Streaming Data (2024-2026)'!$E:$E,H$2)</f>
        <v>4286302</v>
      </c>
      <c r="I16" s="2">
        <f>SUMIFS('Streaming Data (2024-2026)'!$F:$F,'Streaming Data (2024-2026)'!$D:$D,$C16,'Streaming Data (2024-2026)'!$E:$E,I$2)</f>
        <v>4381160</v>
      </c>
      <c r="J16" s="2">
        <f>SUMIFS('Streaming Data (2024-2026)'!$F:$F,'Streaming Data (2024-2026)'!$D:$D,$C16,'Streaming Data (2024-2026)'!$E:$E,J$2)</f>
        <v>4456656</v>
      </c>
      <c r="L16" s="27">
        <f t="shared" si="0"/>
        <v>2.7612621864653533E-2</v>
      </c>
      <c r="M16" s="28">
        <f t="shared" si="1"/>
        <v>1.9964238501838611E-2</v>
      </c>
      <c r="N16" s="28">
        <f t="shared" si="2"/>
        <v>3.4801715312966726E-2</v>
      </c>
      <c r="O16" s="28">
        <f t="shared" si="3"/>
        <v>2.1020925166535455E-2</v>
      </c>
      <c r="P16" s="28">
        <f t="shared" si="4"/>
        <v>2.213049850430511E-2</v>
      </c>
      <c r="Q16" s="28">
        <f t="shared" si="5"/>
        <v>1.7231965963352171E-2</v>
      </c>
      <c r="R16" s="28">
        <f t="shared" si="6"/>
        <v>0.15141664632090499</v>
      </c>
      <c r="S16" s="29">
        <f t="shared" si="8"/>
        <v>2.3777114975948921E-2</v>
      </c>
    </row>
    <row r="17" spans="2:19" x14ac:dyDescent="0.2">
      <c r="B17" s="74">
        <f t="shared" si="7"/>
        <v>13</v>
      </c>
      <c r="C17" t="s">
        <v>58</v>
      </c>
      <c r="D17" s="2">
        <f>SUMIFS('Streaming Data (2024-2026)'!$F:$F,'Streaming Data (2024-2026)'!$D:$D,$C17,'Streaming Data (2024-2026)'!$E:$E,D$2)</f>
        <v>1400205</v>
      </c>
      <c r="E17" s="2">
        <f>SUMIFS('Streaming Data (2024-2026)'!$F:$F,'Streaming Data (2024-2026)'!$D:$D,$C17,'Streaming Data (2024-2026)'!$E:$E,E$2)</f>
        <v>1434595</v>
      </c>
      <c r="F17" s="2">
        <f>SUMIFS('Streaming Data (2024-2026)'!$F:$F,'Streaming Data (2024-2026)'!$D:$D,$C17,'Streaming Data (2024-2026)'!$E:$E,F$2)</f>
        <v>1458170</v>
      </c>
      <c r="G17" s="2">
        <f>SUMIFS('Streaming Data (2024-2026)'!$F:$F,'Streaming Data (2024-2026)'!$D:$D,$C17,'Streaming Data (2024-2026)'!$E:$E,G$2)</f>
        <v>1496051</v>
      </c>
      <c r="H17" s="2">
        <f>SUMIFS('Streaming Data (2024-2026)'!$F:$F,'Streaming Data (2024-2026)'!$D:$D,$C17,'Streaming Data (2024-2026)'!$E:$E,H$2)</f>
        <v>1522286</v>
      </c>
      <c r="I17" s="2">
        <f>SUMIFS('Streaming Data (2024-2026)'!$F:$F,'Streaming Data (2024-2026)'!$D:$D,$C17,'Streaming Data (2024-2026)'!$E:$E,I$2)</f>
        <v>1549038</v>
      </c>
      <c r="J17" s="2">
        <f>SUMIFS('Streaming Data (2024-2026)'!$F:$F,'Streaming Data (2024-2026)'!$D:$D,$C17,'Streaming Data (2024-2026)'!$E:$E,J$2)</f>
        <v>1570243</v>
      </c>
      <c r="L17" s="27">
        <f t="shared" si="0"/>
        <v>2.4560689327634166E-2</v>
      </c>
      <c r="M17" s="28">
        <f t="shared" si="1"/>
        <v>1.6433209372680096E-2</v>
      </c>
      <c r="N17" s="28">
        <f t="shared" si="2"/>
        <v>2.5978452443816566E-2</v>
      </c>
      <c r="O17" s="28">
        <f t="shared" si="3"/>
        <v>1.7536166882011376E-2</v>
      </c>
      <c r="P17" s="28">
        <f t="shared" si="4"/>
        <v>1.7573570275230804E-2</v>
      </c>
      <c r="Q17" s="28">
        <f t="shared" si="5"/>
        <v>1.3689141260575919E-2</v>
      </c>
      <c r="R17" s="28">
        <f t="shared" si="6"/>
        <v>0.12143793230276995</v>
      </c>
      <c r="S17" s="29">
        <f t="shared" si="8"/>
        <v>1.9285564576369651E-2</v>
      </c>
    </row>
    <row r="18" spans="2:19" x14ac:dyDescent="0.2">
      <c r="B18" s="74">
        <f t="shared" si="7"/>
        <v>14</v>
      </c>
      <c r="C18" t="s">
        <v>26</v>
      </c>
      <c r="D18" s="2">
        <f>SUMIFS('Streaming Data (2024-2026)'!$F:$F,'Streaming Data (2024-2026)'!$D:$D,$C18,'Streaming Data (2024-2026)'!$E:$E,D$2)</f>
        <v>7063221</v>
      </c>
      <c r="E18" s="2">
        <f>SUMIFS('Streaming Data (2024-2026)'!$F:$F,'Streaming Data (2024-2026)'!$D:$D,$C18,'Streaming Data (2024-2026)'!$E:$E,E$2)</f>
        <v>7196912</v>
      </c>
      <c r="F18" s="2">
        <f>SUMIFS('Streaming Data (2024-2026)'!$F:$F,'Streaming Data (2024-2026)'!$D:$D,$C18,'Streaming Data (2024-2026)'!$E:$E,F$2)</f>
        <v>7334070</v>
      </c>
      <c r="G18" s="2">
        <f>SUMIFS('Streaming Data (2024-2026)'!$F:$F,'Streaming Data (2024-2026)'!$D:$D,$C18,'Streaming Data (2024-2026)'!$E:$E,G$2)</f>
        <v>7520172</v>
      </c>
      <c r="H18" s="2">
        <f>SUMIFS('Streaming Data (2024-2026)'!$F:$F,'Streaming Data (2024-2026)'!$D:$D,$C18,'Streaming Data (2024-2026)'!$E:$E,H$2)</f>
        <v>7646607</v>
      </c>
      <c r="I18" s="2">
        <f>SUMIFS('Streaming Data (2024-2026)'!$F:$F,'Streaming Data (2024-2026)'!$D:$D,$C18,'Streaming Data (2024-2026)'!$E:$E,I$2)</f>
        <v>7781089</v>
      </c>
      <c r="J18" s="2">
        <f>SUMIFS('Streaming Data (2024-2026)'!$F:$F,'Streaming Data (2024-2026)'!$D:$D,$C18,'Streaming Data (2024-2026)'!$E:$E,J$2)</f>
        <v>7903606</v>
      </c>
      <c r="L18" s="27">
        <f t="shared" si="0"/>
        <v>1.8927766807806241E-2</v>
      </c>
      <c r="M18" s="28">
        <f t="shared" si="1"/>
        <v>1.9057895942037363E-2</v>
      </c>
      <c r="N18" s="28">
        <f t="shared" si="2"/>
        <v>2.5374996420814092E-2</v>
      </c>
      <c r="O18" s="28">
        <f t="shared" si="3"/>
        <v>1.6812780345981448E-2</v>
      </c>
      <c r="P18" s="28">
        <f t="shared" si="4"/>
        <v>1.7587146822113389E-2</v>
      </c>
      <c r="Q18" s="28">
        <f t="shared" si="5"/>
        <v>1.5745482412551765E-2</v>
      </c>
      <c r="R18" s="28">
        <f t="shared" si="6"/>
        <v>0.11898041983961709</v>
      </c>
      <c r="S18" s="29">
        <f t="shared" si="8"/>
        <v>1.8912948141015518E-2</v>
      </c>
    </row>
    <row r="19" spans="2:19" x14ac:dyDescent="0.2">
      <c r="B19" s="74">
        <f t="shared" si="7"/>
        <v>15</v>
      </c>
      <c r="C19" t="s">
        <v>81</v>
      </c>
      <c r="D19" s="2">
        <f>SUMIFS('Streaming Data (2024-2026)'!$F:$F,'Streaming Data (2024-2026)'!$D:$D,$C19,'Streaming Data (2024-2026)'!$E:$E,D$2)</f>
        <v>872089</v>
      </c>
      <c r="E19" s="2">
        <f>SUMIFS('Streaming Data (2024-2026)'!$F:$F,'Streaming Data (2024-2026)'!$D:$D,$C19,'Streaming Data (2024-2026)'!$E:$E,E$2)</f>
        <v>884558</v>
      </c>
      <c r="F19" s="2">
        <f>SUMIFS('Streaming Data (2024-2026)'!$F:$F,'Streaming Data (2024-2026)'!$D:$D,$C19,'Streaming Data (2024-2026)'!$E:$E,F$2)</f>
        <v>896523</v>
      </c>
      <c r="G19" s="2">
        <f>SUMIFS('Streaming Data (2024-2026)'!$F:$F,'Streaming Data (2024-2026)'!$D:$D,$C19,'Streaming Data (2024-2026)'!$E:$E,G$2)</f>
        <v>909181</v>
      </c>
      <c r="H19" s="2">
        <f>SUMIFS('Streaming Data (2024-2026)'!$F:$F,'Streaming Data (2024-2026)'!$D:$D,$C19,'Streaming Data (2024-2026)'!$E:$E,H$2)</f>
        <v>920569</v>
      </c>
      <c r="I19" s="2">
        <f>SUMIFS('Streaming Data (2024-2026)'!$F:$F,'Streaming Data (2024-2026)'!$D:$D,$C19,'Streaming Data (2024-2026)'!$E:$E,I$2)</f>
        <v>927595</v>
      </c>
      <c r="J19" s="2">
        <f>SUMIFS('Streaming Data (2024-2026)'!$F:$F,'Streaming Data (2024-2026)'!$D:$D,$C19,'Streaming Data (2024-2026)'!$E:$E,J$2)</f>
        <v>934958</v>
      </c>
      <c r="L19" s="27">
        <f t="shared" si="0"/>
        <v>1.4297852627426787E-2</v>
      </c>
      <c r="M19" s="28">
        <f t="shared" si="1"/>
        <v>1.3526529634009302E-2</v>
      </c>
      <c r="N19" s="28">
        <f t="shared" si="2"/>
        <v>1.4118990812282562E-2</v>
      </c>
      <c r="O19" s="28">
        <f t="shared" si="3"/>
        <v>1.2525558717131133E-2</v>
      </c>
      <c r="P19" s="28">
        <f t="shared" si="4"/>
        <v>7.632236149598781E-3</v>
      </c>
      <c r="Q19" s="28">
        <f t="shared" si="5"/>
        <v>7.9377314452967074E-3</v>
      </c>
      <c r="R19" s="28">
        <f t="shared" si="6"/>
        <v>7.2090119242416775E-2</v>
      </c>
      <c r="S19" s="29">
        <f t="shared" si="8"/>
        <v>1.1669248192500037E-2</v>
      </c>
    </row>
    <row r="20" spans="2:19" x14ac:dyDescent="0.2">
      <c r="B20" s="74">
        <f t="shared" si="7"/>
        <v>16</v>
      </c>
      <c r="C20" t="s">
        <v>56</v>
      </c>
      <c r="D20" s="2">
        <f>SUMIFS('Streaming Data (2024-2026)'!$F:$F,'Streaming Data (2024-2026)'!$D:$D,$C20,'Streaming Data (2024-2026)'!$E:$E,D$2)</f>
        <v>1513944</v>
      </c>
      <c r="E20" s="2">
        <f>SUMIFS('Streaming Data (2024-2026)'!$F:$F,'Streaming Data (2024-2026)'!$D:$D,$C20,'Streaming Data (2024-2026)'!$E:$E,E$2)</f>
        <v>1530185</v>
      </c>
      <c r="F20" s="2">
        <f>SUMIFS('Streaming Data (2024-2026)'!$F:$F,'Streaming Data (2024-2026)'!$D:$D,$C20,'Streaming Data (2024-2026)'!$E:$E,F$2)</f>
        <v>1545126</v>
      </c>
      <c r="G20" s="2">
        <f>SUMIFS('Streaming Data (2024-2026)'!$F:$F,'Streaming Data (2024-2026)'!$D:$D,$C20,'Streaming Data (2024-2026)'!$E:$E,G$2)</f>
        <v>1554430</v>
      </c>
      <c r="H20" s="2">
        <f>SUMIFS('Streaming Data (2024-2026)'!$F:$F,'Streaming Data (2024-2026)'!$D:$D,$C20,'Streaming Data (2024-2026)'!$E:$E,H$2)</f>
        <v>1568406</v>
      </c>
      <c r="I20" s="2">
        <f>SUMIFS('Streaming Data (2024-2026)'!$F:$F,'Streaming Data (2024-2026)'!$D:$D,$C20,'Streaming Data (2024-2026)'!$E:$E,I$2)</f>
        <v>1581619</v>
      </c>
      <c r="J20" s="2">
        <f>SUMIFS('Streaming Data (2024-2026)'!$F:$F,'Streaming Data (2024-2026)'!$D:$D,$C20,'Streaming Data (2024-2026)'!$E:$E,J$2)</f>
        <v>1600525</v>
      </c>
      <c r="L20" s="27">
        <f t="shared" si="0"/>
        <v>1.0727609475647713E-2</v>
      </c>
      <c r="M20" s="28">
        <f t="shared" si="1"/>
        <v>9.7641788411205188E-3</v>
      </c>
      <c r="N20" s="28">
        <f t="shared" si="2"/>
        <v>6.0215153974497873E-3</v>
      </c>
      <c r="O20" s="28">
        <f t="shared" si="3"/>
        <v>8.9910771150839858E-3</v>
      </c>
      <c r="P20" s="28">
        <f t="shared" si="4"/>
        <v>8.4244768255158416E-3</v>
      </c>
      <c r="Q20" s="28">
        <f t="shared" si="5"/>
        <v>1.1953574154078828E-2</v>
      </c>
      <c r="R20" s="28">
        <f t="shared" si="6"/>
        <v>5.7189037375226563E-2</v>
      </c>
      <c r="S20" s="29">
        <f t="shared" si="8"/>
        <v>9.3120118564549159E-3</v>
      </c>
    </row>
    <row r="21" spans="2:19" x14ac:dyDescent="0.2">
      <c r="B21" s="74">
        <f t="shared" si="7"/>
        <v>17</v>
      </c>
      <c r="C21" t="s">
        <v>542</v>
      </c>
      <c r="D21" s="2">
        <f>SUMIFS('Streaming Data (2024-2026)'!$F:$F,'Streaming Data (2024-2026)'!$D:$D,$C21,'Streaming Data (2024-2026)'!$E:$E,D$2)</f>
        <v>2050001</v>
      </c>
      <c r="E21" s="2">
        <f>SUMIFS('Streaming Data (2024-2026)'!$F:$F,'Streaming Data (2024-2026)'!$D:$D,$C21,'Streaming Data (2024-2026)'!$E:$E,E$2)</f>
        <v>2061253</v>
      </c>
      <c r="F21" s="2">
        <f>SUMIFS('Streaming Data (2024-2026)'!$F:$F,'Streaming Data (2024-2026)'!$D:$D,$C21,'Streaming Data (2024-2026)'!$E:$E,F$2)</f>
        <v>2083019</v>
      </c>
      <c r="G21" s="2">
        <f>SUMIFS('Streaming Data (2024-2026)'!$F:$F,'Streaming Data (2024-2026)'!$D:$D,$C21,'Streaming Data (2024-2026)'!$E:$E,G$2)</f>
        <v>2097447</v>
      </c>
      <c r="H21" s="2">
        <f>SUMIFS('Streaming Data (2024-2026)'!$F:$F,'Streaming Data (2024-2026)'!$D:$D,$C21,'Streaming Data (2024-2026)'!$E:$E,H$2)</f>
        <v>2111542</v>
      </c>
      <c r="I21" s="2">
        <f>SUMIFS('Streaming Data (2024-2026)'!$F:$F,'Streaming Data (2024-2026)'!$D:$D,$C21,'Streaming Data (2024-2026)'!$E:$E,I$2)</f>
        <v>2127666</v>
      </c>
      <c r="J21" s="2">
        <f>SUMIFS('Streaming Data (2024-2026)'!$F:$F,'Streaming Data (2024-2026)'!$D:$D,$C21,'Streaming Data (2024-2026)'!$E:$E,J$2)</f>
        <v>2145000</v>
      </c>
      <c r="L21" s="27">
        <f t="shared" si="0"/>
        <v>5.4887778103522872E-3</v>
      </c>
      <c r="M21" s="28">
        <f t="shared" si="1"/>
        <v>1.0559596517264014E-2</v>
      </c>
      <c r="N21" s="28">
        <f t="shared" si="2"/>
        <v>6.9264850680670698E-3</v>
      </c>
      <c r="O21" s="28">
        <f t="shared" si="3"/>
        <v>6.7200744524176298E-3</v>
      </c>
      <c r="P21" s="28">
        <f t="shared" si="4"/>
        <v>7.6361256370936501E-3</v>
      </c>
      <c r="Q21" s="28">
        <f t="shared" si="5"/>
        <v>8.1469553961947029E-3</v>
      </c>
      <c r="R21" s="28">
        <f t="shared" si="6"/>
        <v>4.6340953004413168E-2</v>
      </c>
      <c r="S21" s="29">
        <f t="shared" si="8"/>
        <v>7.5784507643021914E-3</v>
      </c>
    </row>
    <row r="22" spans="2:19" x14ac:dyDescent="0.2">
      <c r="B22" s="74">
        <f t="shared" si="7"/>
        <v>18</v>
      </c>
      <c r="C22" t="s">
        <v>41</v>
      </c>
      <c r="D22" s="2">
        <f>SUMIFS('Streaming Data (2024-2026)'!$F:$F,'Streaming Data (2024-2026)'!$D:$D,$C22,'Streaming Data (2024-2026)'!$E:$E,D$2)</f>
        <v>2020589</v>
      </c>
      <c r="E22" s="2">
        <f>SUMIFS('Streaming Data (2024-2026)'!$F:$F,'Streaming Data (2024-2026)'!$D:$D,$C22,'Streaming Data (2024-2026)'!$E:$E,E$2)</f>
        <v>2035222</v>
      </c>
      <c r="F22" s="2">
        <f>SUMIFS('Streaming Data (2024-2026)'!$F:$F,'Streaming Data (2024-2026)'!$D:$D,$C22,'Streaming Data (2024-2026)'!$E:$E,F$2)</f>
        <v>2046030</v>
      </c>
      <c r="G22" s="2">
        <f>SUMIFS('Streaming Data (2024-2026)'!$F:$F,'Streaming Data (2024-2026)'!$D:$D,$C22,'Streaming Data (2024-2026)'!$E:$E,G$2)</f>
        <v>2059753</v>
      </c>
      <c r="H22" s="2">
        <f>SUMIFS('Streaming Data (2024-2026)'!$F:$F,'Streaming Data (2024-2026)'!$D:$D,$C22,'Streaming Data (2024-2026)'!$E:$E,H$2)</f>
        <v>2071063</v>
      </c>
      <c r="I22" s="2">
        <f>SUMIFS('Streaming Data (2024-2026)'!$F:$F,'Streaming Data (2024-2026)'!$D:$D,$C22,'Streaming Data (2024-2026)'!$E:$E,I$2)</f>
        <v>2086011</v>
      </c>
      <c r="J22" s="2">
        <f>SUMIFS('Streaming Data (2024-2026)'!$F:$F,'Streaming Data (2024-2026)'!$D:$D,$C22,'Streaming Data (2024-2026)'!$E:$E,J$2)</f>
        <v>2097476</v>
      </c>
      <c r="L22" s="27">
        <f t="shared" si="0"/>
        <v>7.2419477686951677E-3</v>
      </c>
      <c r="M22" s="28">
        <f t="shared" si="1"/>
        <v>5.3104771862725539E-3</v>
      </c>
      <c r="N22" s="28">
        <f t="shared" si="2"/>
        <v>6.7071352814963613E-3</v>
      </c>
      <c r="O22" s="28">
        <f t="shared" si="3"/>
        <v>5.4909496429911744E-3</v>
      </c>
      <c r="P22" s="28">
        <f t="shared" si="4"/>
        <v>7.217549635139057E-3</v>
      </c>
      <c r="Q22" s="28">
        <f t="shared" si="5"/>
        <v>5.4961359264164957E-3</v>
      </c>
      <c r="R22" s="28">
        <f t="shared" si="6"/>
        <v>3.8051775992049841E-2</v>
      </c>
      <c r="S22" s="29">
        <f t="shared" si="8"/>
        <v>6.2436884051737529E-3</v>
      </c>
    </row>
    <row r="23" spans="2:19" x14ac:dyDescent="0.2">
      <c r="B23" s="74">
        <f t="shared" si="7"/>
        <v>19</v>
      </c>
      <c r="C23" t="s">
        <v>61</v>
      </c>
      <c r="D23" s="2">
        <f>SUMIFS('Streaming Data (2024-2026)'!$F:$F,'Streaming Data (2024-2026)'!$D:$D,$C23,'Streaming Data (2024-2026)'!$E:$E,D$2)</f>
        <v>1487217</v>
      </c>
      <c r="E23" s="2">
        <f>SUMIFS('Streaming Data (2024-2026)'!$F:$F,'Streaming Data (2024-2026)'!$D:$D,$C23,'Streaming Data (2024-2026)'!$E:$E,E$2)</f>
        <v>1492987</v>
      </c>
      <c r="F23" s="2">
        <f>SUMIFS('Streaming Data (2024-2026)'!$F:$F,'Streaming Data (2024-2026)'!$D:$D,$C23,'Streaming Data (2024-2026)'!$E:$E,F$2)</f>
        <v>1498833</v>
      </c>
      <c r="G23" s="2">
        <f>SUMIFS('Streaming Data (2024-2026)'!$F:$F,'Streaming Data (2024-2026)'!$D:$D,$C23,'Streaming Data (2024-2026)'!$E:$E,G$2)</f>
        <v>1506372</v>
      </c>
      <c r="H23" s="2">
        <f>SUMIFS('Streaming Data (2024-2026)'!$F:$F,'Streaming Data (2024-2026)'!$D:$D,$C23,'Streaming Data (2024-2026)'!$E:$E,H$2)</f>
        <v>1513168</v>
      </c>
      <c r="I23" s="2">
        <f>SUMIFS('Streaming Data (2024-2026)'!$F:$F,'Streaming Data (2024-2026)'!$D:$D,$C23,'Streaming Data (2024-2026)'!$E:$E,I$2)</f>
        <v>1524474</v>
      </c>
      <c r="J23" s="2">
        <f>SUMIFS('Streaming Data (2024-2026)'!$F:$F,'Streaming Data (2024-2026)'!$D:$D,$C23,'Streaming Data (2024-2026)'!$E:$E,J$2)</f>
        <v>1534731</v>
      </c>
      <c r="L23" s="27">
        <f t="shared" si="0"/>
        <v>3.8797297233692193E-3</v>
      </c>
      <c r="M23" s="28">
        <f t="shared" si="1"/>
        <v>3.9156402567470444E-3</v>
      </c>
      <c r="N23" s="28">
        <f t="shared" si="2"/>
        <v>5.0299132725260256E-3</v>
      </c>
      <c r="O23" s="28">
        <f t="shared" si="3"/>
        <v>4.5115018069905709E-3</v>
      </c>
      <c r="P23" s="28">
        <f t="shared" si="4"/>
        <v>7.4717414061095657E-3</v>
      </c>
      <c r="Q23" s="28">
        <f t="shared" si="5"/>
        <v>6.7282223245525999E-3</v>
      </c>
      <c r="R23" s="28">
        <f t="shared" si="6"/>
        <v>3.1948263098122195E-2</v>
      </c>
      <c r="S23" s="29">
        <f t="shared" si="8"/>
        <v>5.2551824749116349E-3</v>
      </c>
    </row>
    <row r="24" spans="2:19" x14ac:dyDescent="0.2">
      <c r="B24" s="74">
        <f t="shared" si="7"/>
        <v>20</v>
      </c>
      <c r="C24" t="s">
        <v>60</v>
      </c>
      <c r="D24" s="2">
        <f>SUMIFS('Streaming Data (2024-2026)'!$F:$F,'Streaming Data (2024-2026)'!$D:$D,$C24,'Streaming Data (2024-2026)'!$E:$E,D$2)</f>
        <v>1516676</v>
      </c>
      <c r="E24" s="2">
        <f>SUMIFS('Streaming Data (2024-2026)'!$F:$F,'Streaming Data (2024-2026)'!$D:$D,$C24,'Streaming Data (2024-2026)'!$E:$E,E$2)</f>
        <v>1523261</v>
      </c>
      <c r="F24" s="2">
        <f>SUMIFS('Streaming Data (2024-2026)'!$F:$F,'Streaming Data (2024-2026)'!$D:$D,$C24,'Streaming Data (2024-2026)'!$E:$E,F$2)</f>
        <v>1529394</v>
      </c>
      <c r="G24" s="2">
        <f>SUMIFS('Streaming Data (2024-2026)'!$F:$F,'Streaming Data (2024-2026)'!$D:$D,$C24,'Streaming Data (2024-2026)'!$E:$E,G$2)</f>
        <v>1534806</v>
      </c>
      <c r="H24" s="2">
        <f>SUMIFS('Streaming Data (2024-2026)'!$F:$F,'Streaming Data (2024-2026)'!$D:$D,$C24,'Streaming Data (2024-2026)'!$E:$E,H$2)</f>
        <v>1540959</v>
      </c>
      <c r="I24" s="2">
        <f>SUMIFS('Streaming Data (2024-2026)'!$F:$F,'Streaming Data (2024-2026)'!$D:$D,$C24,'Streaming Data (2024-2026)'!$E:$E,I$2)</f>
        <v>1545812</v>
      </c>
      <c r="J24" s="2">
        <f>SUMIFS('Streaming Data (2024-2026)'!$F:$F,'Streaming Data (2024-2026)'!$D:$D,$C24,'Streaming Data (2024-2026)'!$E:$E,J$2)</f>
        <v>1550966</v>
      </c>
      <c r="L24" s="27">
        <f t="shared" si="0"/>
        <v>4.341731523410405E-3</v>
      </c>
      <c r="M24" s="28">
        <f t="shared" si="1"/>
        <v>4.0262305671844812E-3</v>
      </c>
      <c r="N24" s="28">
        <f t="shared" si="2"/>
        <v>3.5386564874715083E-3</v>
      </c>
      <c r="O24" s="28">
        <f t="shared" si="3"/>
        <v>4.0089757272254601E-3</v>
      </c>
      <c r="P24" s="28">
        <f t="shared" si="4"/>
        <v>3.149337522932148E-3</v>
      </c>
      <c r="Q24" s="28">
        <f t="shared" si="5"/>
        <v>3.3341700025617603E-3</v>
      </c>
      <c r="R24" s="28">
        <f t="shared" si="6"/>
        <v>2.2608652078624572E-2</v>
      </c>
      <c r="S24" s="29">
        <f t="shared" si="8"/>
        <v>3.7330947871356823E-3</v>
      </c>
    </row>
    <row r="25" spans="2:19" x14ac:dyDescent="0.2">
      <c r="L25" s="30"/>
      <c r="M25" s="31"/>
      <c r="N25" s="31"/>
      <c r="O25" s="31"/>
      <c r="P25" s="31"/>
      <c r="Q25" s="31"/>
      <c r="R25" s="31"/>
      <c r="S25" s="32"/>
    </row>
    <row r="27" spans="2:19" x14ac:dyDescent="0.2">
      <c r="D27" s="16" t="s">
        <v>482</v>
      </c>
      <c r="E27" s="17"/>
      <c r="F27" s="17"/>
      <c r="G27" s="17"/>
      <c r="H27" s="17"/>
      <c r="I27" s="17"/>
      <c r="J27" s="18"/>
      <c r="L27" s="19" t="s">
        <v>700</v>
      </c>
      <c r="M27" s="20"/>
      <c r="N27" s="20"/>
      <c r="O27" s="20"/>
      <c r="P27" s="20"/>
      <c r="Q27" s="20"/>
      <c r="R27" s="21"/>
      <c r="S27" s="61"/>
    </row>
    <row r="28" spans="2:19" x14ac:dyDescent="0.2">
      <c r="C28" s="60" t="s">
        <v>480</v>
      </c>
      <c r="D28" s="54" t="s">
        <v>549</v>
      </c>
      <c r="E28" s="54" t="s">
        <v>550</v>
      </c>
      <c r="F28" s="54" t="s">
        <v>551</v>
      </c>
      <c r="G28" s="54" t="s">
        <v>678</v>
      </c>
      <c r="H28" s="54" t="s">
        <v>497</v>
      </c>
      <c r="I28" s="54" t="s">
        <v>498</v>
      </c>
      <c r="J28" s="54" t="s">
        <v>532</v>
      </c>
      <c r="L28" s="56" t="s">
        <v>679</v>
      </c>
      <c r="M28" s="54" t="s">
        <v>680</v>
      </c>
      <c r="N28" s="54" t="s">
        <v>681</v>
      </c>
      <c r="O28" s="54" t="s">
        <v>682</v>
      </c>
      <c r="P28" s="54" t="s">
        <v>683</v>
      </c>
      <c r="Q28" s="54" t="s">
        <v>684</v>
      </c>
      <c r="R28" s="52" t="s">
        <v>552</v>
      </c>
      <c r="S28" s="62" t="s">
        <v>690</v>
      </c>
    </row>
    <row r="29" spans="2:19" x14ac:dyDescent="0.2">
      <c r="B29" s="74">
        <f>RANK(S29,$S$29:$S$48,0)</f>
        <v>1</v>
      </c>
      <c r="C29" t="s">
        <v>540</v>
      </c>
      <c r="D29" s="2">
        <f>SUMIFS('Streaming Data (2024-2026)'!$H:$H,'Streaming Data (2024-2026)'!$D:$D,$C29,'Streaming Data (2024-2026)'!$E:$E,D$2)</f>
        <v>52214259</v>
      </c>
      <c r="E29" s="2">
        <f>SUMIFS('Streaming Data (2024-2026)'!$H:$H,'Streaming Data (2024-2026)'!$D:$D,$C29,'Streaming Data (2024-2026)'!$E:$E,E$2)</f>
        <v>62952885</v>
      </c>
      <c r="F29" s="2">
        <f>SUMIFS('Streaming Data (2024-2026)'!$H:$H,'Streaming Data (2024-2026)'!$D:$D,$C29,'Streaming Data (2024-2026)'!$E:$E,F$2)</f>
        <v>70231805</v>
      </c>
      <c r="G29" s="2">
        <f>SUMIFS('Streaming Data (2024-2026)'!$H:$H,'Streaming Data (2024-2026)'!$D:$D,$C29,'Streaming Data (2024-2026)'!$E:$E,G$2)</f>
        <v>77395057</v>
      </c>
      <c r="H29" s="2">
        <f>SUMIFS('Streaming Data (2024-2026)'!$H:$H,'Streaming Data (2024-2026)'!$D:$D,$C29,'Streaming Data (2024-2026)'!$E:$E,H$2)</f>
        <v>84564458</v>
      </c>
      <c r="I29" s="2">
        <f>SUMIFS('Streaming Data (2024-2026)'!$H:$H,'Streaming Data (2024-2026)'!$D:$D,$C29,'Streaming Data (2024-2026)'!$E:$E,I$2)</f>
        <v>91366745</v>
      </c>
      <c r="J29" s="2">
        <f>SUMIFS('Streaming Data (2024-2026)'!$H:$H,'Streaming Data (2024-2026)'!$D:$D,$C29,'Streaming Data (2024-2026)'!$E:$E,J$2)</f>
        <v>97973981</v>
      </c>
      <c r="L29" s="27">
        <f t="shared" ref="L29:Q29" si="9">IFERROR((E29-D29)/D29,0)</f>
        <v>0.20566462505960298</v>
      </c>
      <c r="M29" s="28">
        <f t="shared" si="9"/>
        <v>0.11562488359350012</v>
      </c>
      <c r="N29" s="28">
        <f t="shared" si="9"/>
        <v>0.10199441691695095</v>
      </c>
      <c r="O29" s="28">
        <f t="shared" si="9"/>
        <v>9.2633835775842888E-2</v>
      </c>
      <c r="P29" s="28">
        <f t="shared" si="9"/>
        <v>8.0439077608704126E-2</v>
      </c>
      <c r="Q29" s="28">
        <f t="shared" si="9"/>
        <v>7.231554544271003E-2</v>
      </c>
      <c r="R29" s="28">
        <f>IFERROR((J29-D29)/D29,0)</f>
        <v>0.87638363306084643</v>
      </c>
      <c r="S29" s="29">
        <f>IFERROR((J29/D29)^(1/6)-1,0)</f>
        <v>0.11058960963789422</v>
      </c>
    </row>
    <row r="30" spans="2:19" x14ac:dyDescent="0.2">
      <c r="B30" s="74">
        <f t="shared" ref="B30:B48" si="10">RANK(S30,$S$29:$S$48,0)</f>
        <v>2</v>
      </c>
      <c r="C30" t="s">
        <v>134</v>
      </c>
      <c r="D30" s="2">
        <f>SUMIFS('Streaming Data (2024-2026)'!$H:$H,'Streaming Data (2024-2026)'!$D:$D,$C30,'Streaming Data (2024-2026)'!$E:$E,D$2)</f>
        <v>135038316</v>
      </c>
      <c r="E30" s="2">
        <f>SUMIFS('Streaming Data (2024-2026)'!$H:$H,'Streaming Data (2024-2026)'!$D:$D,$C30,'Streaming Data (2024-2026)'!$E:$E,E$2)</f>
        <v>151856104</v>
      </c>
      <c r="F30" s="2">
        <f>SUMIFS('Streaming Data (2024-2026)'!$H:$H,'Streaming Data (2024-2026)'!$D:$D,$C30,'Streaming Data (2024-2026)'!$E:$E,F$2)</f>
        <v>166782156</v>
      </c>
      <c r="G30" s="2">
        <f>SUMIFS('Streaming Data (2024-2026)'!$H:$H,'Streaming Data (2024-2026)'!$D:$D,$C30,'Streaming Data (2024-2026)'!$E:$E,G$2)</f>
        <v>183620456</v>
      </c>
      <c r="H30" s="2">
        <f>SUMIFS('Streaming Data (2024-2026)'!$H:$H,'Streaming Data (2024-2026)'!$D:$D,$C30,'Streaming Data (2024-2026)'!$E:$E,H$2)</f>
        <v>199470478</v>
      </c>
      <c r="I30" s="2">
        <f>SUMIFS('Streaming Data (2024-2026)'!$H:$H,'Streaming Data (2024-2026)'!$D:$D,$C30,'Streaming Data (2024-2026)'!$E:$E,I$2)</f>
        <v>216330865</v>
      </c>
      <c r="J30" s="2">
        <f>SUMIFS('Streaming Data (2024-2026)'!$H:$H,'Streaming Data (2024-2026)'!$D:$D,$C30,'Streaming Data (2024-2026)'!$E:$E,J$2)</f>
        <v>232932135</v>
      </c>
      <c r="L30" s="27">
        <f t="shared" ref="L30:L48" si="11">IFERROR((E30-D30)/D30,0)</f>
        <v>0.1245408599437807</v>
      </c>
      <c r="M30" s="28">
        <f t="shared" ref="M30:M48" si="12">IFERROR((F30-E30)/E30,0)</f>
        <v>9.8290760837641405E-2</v>
      </c>
      <c r="N30" s="28">
        <f t="shared" ref="N30:N48" si="13">IFERROR((G30-F30)/F30,0)</f>
        <v>0.10095984129141489</v>
      </c>
      <c r="O30" s="28">
        <f t="shared" ref="O30:O48" si="14">IFERROR((H30-G30)/G30,0)</f>
        <v>8.6319478479020884E-2</v>
      </c>
      <c r="P30" s="28">
        <f t="shared" ref="P30:P48" si="15">IFERROR((I30-H30)/H30,0)</f>
        <v>8.4525726157832742E-2</v>
      </c>
      <c r="Q30" s="28">
        <f t="shared" ref="Q30:Q48" si="16">IFERROR((J30-I30)/I30,0)</f>
        <v>7.674018222041501E-2</v>
      </c>
      <c r="R30" s="28">
        <f t="shared" ref="R30:R48" si="17">IFERROR((J30-D30)/D30,0)</f>
        <v>0.72493364772114011</v>
      </c>
      <c r="S30" s="29">
        <f t="shared" ref="S30:S48" si="18">IFERROR((J30/D30)^(1/6)-1,0)</f>
        <v>9.5120895593811428E-2</v>
      </c>
    </row>
    <row r="31" spans="2:19" x14ac:dyDescent="0.2">
      <c r="B31" s="74">
        <f t="shared" si="10"/>
        <v>3</v>
      </c>
      <c r="C31" t="s">
        <v>287</v>
      </c>
      <c r="D31" s="2">
        <f>SUMIFS('Streaming Data (2024-2026)'!$H:$H,'Streaming Data (2024-2026)'!$D:$D,$C31,'Streaming Data (2024-2026)'!$E:$E,D$2)</f>
        <v>96530586</v>
      </c>
      <c r="E31" s="2">
        <f>SUMIFS('Streaming Data (2024-2026)'!$H:$H,'Streaming Data (2024-2026)'!$D:$D,$C31,'Streaming Data (2024-2026)'!$E:$E,E$2)</f>
        <v>107734574</v>
      </c>
      <c r="F31" s="2">
        <f>SUMIFS('Streaming Data (2024-2026)'!$H:$H,'Streaming Data (2024-2026)'!$D:$D,$C31,'Streaming Data (2024-2026)'!$E:$E,F$2)</f>
        <v>117011024</v>
      </c>
      <c r="G31" s="2">
        <f>SUMIFS('Streaming Data (2024-2026)'!$H:$H,'Streaming Data (2024-2026)'!$D:$D,$C31,'Streaming Data (2024-2026)'!$E:$E,G$2)</f>
        <v>125420104</v>
      </c>
      <c r="H31" s="2">
        <f>SUMIFS('Streaming Data (2024-2026)'!$H:$H,'Streaming Data (2024-2026)'!$D:$D,$C31,'Streaming Data (2024-2026)'!$E:$E,H$2)</f>
        <v>134163100</v>
      </c>
      <c r="I31" s="2">
        <f>SUMIFS('Streaming Data (2024-2026)'!$H:$H,'Streaming Data (2024-2026)'!$D:$D,$C31,'Streaming Data (2024-2026)'!$E:$E,I$2)</f>
        <v>142564943</v>
      </c>
      <c r="J31" s="2">
        <f>SUMIFS('Streaming Data (2024-2026)'!$H:$H,'Streaming Data (2024-2026)'!$D:$D,$C31,'Streaming Data (2024-2026)'!$E:$E,J$2)</f>
        <v>150174429</v>
      </c>
      <c r="L31" s="27">
        <f t="shared" si="11"/>
        <v>0.11606671485450218</v>
      </c>
      <c r="M31" s="28">
        <f t="shared" si="12"/>
        <v>8.6104670539654246E-2</v>
      </c>
      <c r="N31" s="28">
        <f t="shared" si="13"/>
        <v>7.1865707285836591E-2</v>
      </c>
      <c r="O31" s="28">
        <f t="shared" si="14"/>
        <v>6.9709685458401463E-2</v>
      </c>
      <c r="P31" s="28">
        <f t="shared" si="15"/>
        <v>6.2624097087798355E-2</v>
      </c>
      <c r="Q31" s="28">
        <f t="shared" si="16"/>
        <v>5.337557635049172E-2</v>
      </c>
      <c r="R31" s="28">
        <f t="shared" si="17"/>
        <v>0.55571860922920324</v>
      </c>
      <c r="S31" s="29">
        <f t="shared" si="18"/>
        <v>7.643672879050234E-2</v>
      </c>
    </row>
    <row r="32" spans="2:19" x14ac:dyDescent="0.2">
      <c r="B32" s="74">
        <f t="shared" si="10"/>
        <v>4</v>
      </c>
      <c r="C32" t="s">
        <v>65</v>
      </c>
      <c r="D32" s="2">
        <f>SUMIFS('Streaming Data (2024-2026)'!$H:$H,'Streaming Data (2024-2026)'!$D:$D,$C32,'Streaming Data (2024-2026)'!$E:$E,D$2)</f>
        <v>131357231</v>
      </c>
      <c r="E32" s="2">
        <f>SUMIFS('Streaming Data (2024-2026)'!$H:$H,'Streaming Data (2024-2026)'!$D:$D,$C32,'Streaming Data (2024-2026)'!$E:$E,E$2)</f>
        <v>144722514</v>
      </c>
      <c r="F32" s="2">
        <f>SUMIFS('Streaming Data (2024-2026)'!$H:$H,'Streaming Data (2024-2026)'!$D:$D,$C32,'Streaming Data (2024-2026)'!$E:$E,F$2)</f>
        <v>154651047</v>
      </c>
      <c r="G32" s="2">
        <f>SUMIFS('Streaming Data (2024-2026)'!$H:$H,'Streaming Data (2024-2026)'!$D:$D,$C32,'Streaming Data (2024-2026)'!$E:$E,G$2)</f>
        <v>164176944</v>
      </c>
      <c r="H32" s="2">
        <f>SUMIFS('Streaming Data (2024-2026)'!$H:$H,'Streaming Data (2024-2026)'!$D:$D,$C32,'Streaming Data (2024-2026)'!$E:$E,H$2)</f>
        <v>172284442</v>
      </c>
      <c r="I32" s="2">
        <f>SUMIFS('Streaming Data (2024-2026)'!$H:$H,'Streaming Data (2024-2026)'!$D:$D,$C32,'Streaming Data (2024-2026)'!$E:$E,I$2)</f>
        <v>179414232</v>
      </c>
      <c r="J32" s="2">
        <f>SUMIFS('Streaming Data (2024-2026)'!$H:$H,'Streaming Data (2024-2026)'!$D:$D,$C32,'Streaming Data (2024-2026)'!$E:$E,J$2)</f>
        <v>186403596</v>
      </c>
      <c r="L32" s="27">
        <f t="shared" si="11"/>
        <v>0.10174760002363327</v>
      </c>
      <c r="M32" s="28">
        <f t="shared" si="12"/>
        <v>6.8603928480678547E-2</v>
      </c>
      <c r="N32" s="28">
        <f t="shared" si="13"/>
        <v>6.159607183260777E-2</v>
      </c>
      <c r="O32" s="28">
        <f t="shared" si="14"/>
        <v>4.9382683112922363E-2</v>
      </c>
      <c r="P32" s="28">
        <f t="shared" si="15"/>
        <v>4.1383829655378866E-2</v>
      </c>
      <c r="Q32" s="28">
        <f t="shared" si="16"/>
        <v>3.895657508374252E-2</v>
      </c>
      <c r="R32" s="28">
        <f t="shared" si="17"/>
        <v>0.41905850618912638</v>
      </c>
      <c r="S32" s="29">
        <f t="shared" si="18"/>
        <v>6.0067167113110775E-2</v>
      </c>
    </row>
    <row r="33" spans="2:19" x14ac:dyDescent="0.2">
      <c r="B33" s="74">
        <f t="shared" si="10"/>
        <v>5</v>
      </c>
      <c r="C33" t="s">
        <v>45</v>
      </c>
      <c r="D33" s="2">
        <f>SUMIFS('Streaming Data (2024-2026)'!$H:$H,'Streaming Data (2024-2026)'!$D:$D,$C33,'Streaming Data (2024-2026)'!$E:$E,D$2)</f>
        <v>345992595</v>
      </c>
      <c r="E33" s="2">
        <f>SUMIFS('Streaming Data (2024-2026)'!$H:$H,'Streaming Data (2024-2026)'!$D:$D,$C33,'Streaming Data (2024-2026)'!$E:$E,E$2)</f>
        <v>368485626</v>
      </c>
      <c r="F33" s="2">
        <f>SUMIFS('Streaming Data (2024-2026)'!$H:$H,'Streaming Data (2024-2026)'!$D:$D,$C33,'Streaming Data (2024-2026)'!$E:$E,F$2)</f>
        <v>387422055</v>
      </c>
      <c r="G33" s="2">
        <f>SUMIFS('Streaming Data (2024-2026)'!$H:$H,'Streaming Data (2024-2026)'!$D:$D,$C33,'Streaming Data (2024-2026)'!$E:$E,G$2)</f>
        <v>406508201</v>
      </c>
      <c r="H33" s="2">
        <f>SUMIFS('Streaming Data (2024-2026)'!$H:$H,'Streaming Data (2024-2026)'!$D:$D,$C33,'Streaming Data (2024-2026)'!$E:$E,H$2)</f>
        <v>426326820</v>
      </c>
      <c r="I33" s="2">
        <f>SUMIFS('Streaming Data (2024-2026)'!$H:$H,'Streaming Data (2024-2026)'!$D:$D,$C33,'Streaming Data (2024-2026)'!$E:$E,I$2)</f>
        <v>444736661</v>
      </c>
      <c r="J33" s="2">
        <f>SUMIFS('Streaming Data (2024-2026)'!$H:$H,'Streaming Data (2024-2026)'!$D:$D,$C33,'Streaming Data (2024-2026)'!$E:$E,J$2)</f>
        <v>461440317</v>
      </c>
      <c r="L33" s="27">
        <f t="shared" si="11"/>
        <v>6.501015144558224E-2</v>
      </c>
      <c r="M33" s="28">
        <f t="shared" si="12"/>
        <v>5.138987158212787E-2</v>
      </c>
      <c r="N33" s="28">
        <f t="shared" si="13"/>
        <v>4.9264479793232216E-2</v>
      </c>
      <c r="O33" s="28">
        <f t="shared" si="14"/>
        <v>4.8753306701431097E-2</v>
      </c>
      <c r="P33" s="28">
        <f t="shared" si="15"/>
        <v>4.3182460348143242E-2</v>
      </c>
      <c r="Q33" s="28">
        <f t="shared" si="16"/>
        <v>3.7558531744249439E-2</v>
      </c>
      <c r="R33" s="28">
        <f t="shared" si="17"/>
        <v>0.33367107755586506</v>
      </c>
      <c r="S33" s="29">
        <f t="shared" si="18"/>
        <v>4.9159350316545281E-2</v>
      </c>
    </row>
    <row r="34" spans="2:19" x14ac:dyDescent="0.2">
      <c r="B34" s="74">
        <f t="shared" si="10"/>
        <v>6</v>
      </c>
      <c r="C34" t="s">
        <v>478</v>
      </c>
      <c r="D34" s="2">
        <f>SUMIFS('Streaming Data (2024-2026)'!$H:$H,'Streaming Data (2024-2026)'!$D:$D,$C34,'Streaming Data (2024-2026)'!$E:$E,D$2)</f>
        <v>215412886</v>
      </c>
      <c r="E34" s="2">
        <f>SUMIFS('Streaming Data (2024-2026)'!$H:$H,'Streaming Data (2024-2026)'!$D:$D,$C34,'Streaming Data (2024-2026)'!$E:$E,E$2)</f>
        <v>226990576</v>
      </c>
      <c r="F34" s="2">
        <f>SUMIFS('Streaming Data (2024-2026)'!$H:$H,'Streaming Data (2024-2026)'!$D:$D,$C34,'Streaming Data (2024-2026)'!$E:$E,F$2)</f>
        <v>237634529</v>
      </c>
      <c r="G34" s="2">
        <f>SUMIFS('Streaming Data (2024-2026)'!$H:$H,'Streaming Data (2024-2026)'!$D:$D,$C34,'Streaming Data (2024-2026)'!$E:$E,G$2)</f>
        <v>249037882</v>
      </c>
      <c r="H34" s="2">
        <f>SUMIFS('Streaming Data (2024-2026)'!$H:$H,'Streaming Data (2024-2026)'!$D:$D,$C34,'Streaming Data (2024-2026)'!$E:$E,H$2)</f>
        <v>262915560</v>
      </c>
      <c r="I34" s="2">
        <f>SUMIFS('Streaming Data (2024-2026)'!$H:$H,'Streaming Data (2024-2026)'!$D:$D,$C34,'Streaming Data (2024-2026)'!$E:$E,I$2)</f>
        <v>275566413</v>
      </c>
      <c r="J34" s="2">
        <f>SUMIFS('Streaming Data (2024-2026)'!$H:$H,'Streaming Data (2024-2026)'!$D:$D,$C34,'Streaming Data (2024-2026)'!$E:$E,J$2)</f>
        <v>286537146</v>
      </c>
      <c r="L34" s="27">
        <f t="shared" si="11"/>
        <v>5.3746506139841603E-2</v>
      </c>
      <c r="M34" s="28">
        <f t="shared" si="12"/>
        <v>4.689160751766188E-2</v>
      </c>
      <c r="N34" s="28">
        <f t="shared" si="13"/>
        <v>4.7986936275578033E-2</v>
      </c>
      <c r="O34" s="28">
        <f t="shared" si="14"/>
        <v>5.5725168751635946E-2</v>
      </c>
      <c r="P34" s="28">
        <f t="shared" si="15"/>
        <v>4.8117551505890331E-2</v>
      </c>
      <c r="Q34" s="28">
        <f t="shared" si="16"/>
        <v>3.9811575295280996E-2</v>
      </c>
      <c r="R34" s="28">
        <f t="shared" si="17"/>
        <v>0.33017644079101194</v>
      </c>
      <c r="S34" s="29">
        <f t="shared" si="18"/>
        <v>4.8700661473737528E-2</v>
      </c>
    </row>
    <row r="35" spans="2:19" x14ac:dyDescent="0.2">
      <c r="B35" s="74">
        <f t="shared" si="10"/>
        <v>7</v>
      </c>
      <c r="C35" t="s">
        <v>479</v>
      </c>
      <c r="D35" s="2">
        <f>SUMIFS('Streaming Data (2024-2026)'!$H:$H,'Streaming Data (2024-2026)'!$D:$D,$C35,'Streaming Data (2024-2026)'!$E:$E,D$2)</f>
        <v>97691593</v>
      </c>
      <c r="E35" s="2">
        <f>SUMIFS('Streaming Data (2024-2026)'!$H:$H,'Streaming Data (2024-2026)'!$D:$D,$C35,'Streaming Data (2024-2026)'!$E:$E,E$2)</f>
        <v>102212601</v>
      </c>
      <c r="F35" s="2">
        <f>SUMIFS('Streaming Data (2024-2026)'!$H:$H,'Streaming Data (2024-2026)'!$D:$D,$C35,'Streaming Data (2024-2026)'!$E:$E,F$2)</f>
        <v>107307261</v>
      </c>
      <c r="G35" s="2">
        <f>SUMIFS('Streaming Data (2024-2026)'!$H:$H,'Streaming Data (2024-2026)'!$D:$D,$C35,'Streaming Data (2024-2026)'!$E:$E,G$2)</f>
        <v>112363281</v>
      </c>
      <c r="H35" s="2">
        <f>SUMIFS('Streaming Data (2024-2026)'!$H:$H,'Streaming Data (2024-2026)'!$D:$D,$C35,'Streaming Data (2024-2026)'!$E:$E,H$2)</f>
        <v>116981530</v>
      </c>
      <c r="I35" s="2">
        <f>SUMIFS('Streaming Data (2024-2026)'!$H:$H,'Streaming Data (2024-2026)'!$D:$D,$C35,'Streaming Data (2024-2026)'!$E:$E,I$2)</f>
        <v>122100279</v>
      </c>
      <c r="J35" s="2">
        <f>SUMIFS('Streaming Data (2024-2026)'!$H:$H,'Streaming Data (2024-2026)'!$D:$D,$C35,'Streaming Data (2024-2026)'!$E:$E,J$2)</f>
        <v>127213464</v>
      </c>
      <c r="L35" s="27">
        <f t="shared" si="11"/>
        <v>4.6278373206586981E-2</v>
      </c>
      <c r="M35" s="28">
        <f t="shared" si="12"/>
        <v>4.9843756544264047E-2</v>
      </c>
      <c r="N35" s="28">
        <f t="shared" si="13"/>
        <v>4.7117221638897297E-2</v>
      </c>
      <c r="O35" s="28">
        <f t="shared" si="14"/>
        <v>4.1101051508098986E-2</v>
      </c>
      <c r="P35" s="28">
        <f t="shared" si="15"/>
        <v>4.375689905919336E-2</v>
      </c>
      <c r="Q35" s="28">
        <f t="shared" si="16"/>
        <v>4.1876931337724459E-2</v>
      </c>
      <c r="R35" s="28">
        <f t="shared" si="17"/>
        <v>0.30219459109444557</v>
      </c>
      <c r="S35" s="29">
        <f t="shared" si="18"/>
        <v>4.4991235211429892E-2</v>
      </c>
    </row>
    <row r="36" spans="2:19" x14ac:dyDescent="0.2">
      <c r="B36" s="74">
        <f t="shared" si="10"/>
        <v>8</v>
      </c>
      <c r="C36" t="s">
        <v>49</v>
      </c>
      <c r="D36" s="2">
        <f>SUMIFS('Streaming Data (2024-2026)'!$H:$H,'Streaming Data (2024-2026)'!$D:$D,$C36,'Streaming Data (2024-2026)'!$E:$E,D$2)</f>
        <v>215925503</v>
      </c>
      <c r="E36" s="2">
        <f>SUMIFS('Streaming Data (2024-2026)'!$H:$H,'Streaming Data (2024-2026)'!$D:$D,$C36,'Streaming Data (2024-2026)'!$E:$E,E$2)</f>
        <v>228238900</v>
      </c>
      <c r="F36" s="2">
        <f>SUMIFS('Streaming Data (2024-2026)'!$H:$H,'Streaming Data (2024-2026)'!$D:$D,$C36,'Streaming Data (2024-2026)'!$E:$E,F$2)</f>
        <v>236607719</v>
      </c>
      <c r="G36" s="2">
        <f>SUMIFS('Streaming Data (2024-2026)'!$H:$H,'Streaming Data (2024-2026)'!$D:$D,$C36,'Streaming Data (2024-2026)'!$E:$E,G$2)</f>
        <v>245103082</v>
      </c>
      <c r="H36" s="2">
        <f>SUMIFS('Streaming Data (2024-2026)'!$H:$H,'Streaming Data (2024-2026)'!$D:$D,$C36,'Streaming Data (2024-2026)'!$E:$E,H$2)</f>
        <v>254314841</v>
      </c>
      <c r="I36" s="2">
        <f>SUMIFS('Streaming Data (2024-2026)'!$H:$H,'Streaming Data (2024-2026)'!$D:$D,$C36,'Streaming Data (2024-2026)'!$E:$E,I$2)</f>
        <v>263362547</v>
      </c>
      <c r="J36" s="2">
        <f>SUMIFS('Streaming Data (2024-2026)'!$H:$H,'Streaming Data (2024-2026)'!$D:$D,$C36,'Streaming Data (2024-2026)'!$E:$E,J$2)</f>
        <v>271481212</v>
      </c>
      <c r="L36" s="27">
        <f t="shared" si="11"/>
        <v>5.7026135537125502E-2</v>
      </c>
      <c r="M36" s="28">
        <f t="shared" si="12"/>
        <v>3.6666926628195283E-2</v>
      </c>
      <c r="N36" s="28">
        <f t="shared" si="13"/>
        <v>3.5904842986124216E-2</v>
      </c>
      <c r="O36" s="28">
        <f t="shared" si="14"/>
        <v>3.7583203462125375E-2</v>
      </c>
      <c r="P36" s="28">
        <f t="shared" si="15"/>
        <v>3.5576791210545203E-2</v>
      </c>
      <c r="Q36" s="28">
        <f t="shared" si="16"/>
        <v>3.0826953537930357E-2</v>
      </c>
      <c r="R36" s="28">
        <f t="shared" si="17"/>
        <v>0.25729109451235133</v>
      </c>
      <c r="S36" s="29">
        <f t="shared" si="18"/>
        <v>3.8897353405719537E-2</v>
      </c>
    </row>
    <row r="37" spans="2:19" x14ac:dyDescent="0.2">
      <c r="B37" s="74">
        <f t="shared" si="10"/>
        <v>9</v>
      </c>
      <c r="C37" t="s">
        <v>58</v>
      </c>
      <c r="D37" s="2">
        <f>SUMIFS('Streaming Data (2024-2026)'!$H:$H,'Streaming Data (2024-2026)'!$D:$D,$C37,'Streaming Data (2024-2026)'!$E:$E,D$2)</f>
        <v>314763685</v>
      </c>
      <c r="E37" s="2">
        <f>SUMIFS('Streaming Data (2024-2026)'!$H:$H,'Streaming Data (2024-2026)'!$D:$D,$C37,'Streaming Data (2024-2026)'!$E:$E,E$2)</f>
        <v>330235886</v>
      </c>
      <c r="F37" s="2">
        <f>SUMIFS('Streaming Data (2024-2026)'!$H:$H,'Streaming Data (2024-2026)'!$D:$D,$C37,'Streaming Data (2024-2026)'!$E:$E,F$2)</f>
        <v>341950983</v>
      </c>
      <c r="G37" s="2">
        <f>SUMIFS('Streaming Data (2024-2026)'!$H:$H,'Streaming Data (2024-2026)'!$D:$D,$C37,'Streaming Data (2024-2026)'!$E:$E,G$2)</f>
        <v>354162524</v>
      </c>
      <c r="H37" s="2">
        <f>SUMIFS('Streaming Data (2024-2026)'!$H:$H,'Streaming Data (2024-2026)'!$D:$D,$C37,'Streaming Data (2024-2026)'!$E:$E,H$2)</f>
        <v>365417834</v>
      </c>
      <c r="I37" s="2">
        <f>SUMIFS('Streaming Data (2024-2026)'!$H:$H,'Streaming Data (2024-2026)'!$D:$D,$C37,'Streaming Data (2024-2026)'!$E:$E,I$2)</f>
        <v>376549174</v>
      </c>
      <c r="J37" s="2">
        <f>SUMIFS('Streaming Data (2024-2026)'!$H:$H,'Streaming Data (2024-2026)'!$D:$D,$C37,'Streaming Data (2024-2026)'!$E:$E,J$2)</f>
        <v>386216622</v>
      </c>
      <c r="L37" s="27">
        <f t="shared" si="11"/>
        <v>4.9154974786878608E-2</v>
      </c>
      <c r="M37" s="28">
        <f t="shared" si="12"/>
        <v>3.5474936239969994E-2</v>
      </c>
      <c r="N37" s="28">
        <f t="shared" si="13"/>
        <v>3.5711378551586147E-2</v>
      </c>
      <c r="O37" s="28">
        <f t="shared" si="14"/>
        <v>3.1780070553145259E-2</v>
      </c>
      <c r="P37" s="28">
        <f t="shared" si="15"/>
        <v>3.046195057901854E-2</v>
      </c>
      <c r="Q37" s="28">
        <f t="shared" si="16"/>
        <v>2.5673799512836003E-2</v>
      </c>
      <c r="R37" s="28">
        <f t="shared" si="17"/>
        <v>0.22700502124315897</v>
      </c>
      <c r="S37" s="29">
        <f t="shared" si="18"/>
        <v>3.4683976111553605E-2</v>
      </c>
    </row>
    <row r="38" spans="2:19" x14ac:dyDescent="0.2">
      <c r="B38" s="74">
        <f t="shared" si="10"/>
        <v>10</v>
      </c>
      <c r="C38" t="s">
        <v>91</v>
      </c>
      <c r="D38" s="2">
        <f>SUMIFS('Streaming Data (2024-2026)'!$H:$H,'Streaming Data (2024-2026)'!$D:$D,$C38,'Streaming Data (2024-2026)'!$E:$E,D$2)</f>
        <v>164203186</v>
      </c>
      <c r="E38" s="2">
        <f>SUMIFS('Streaming Data (2024-2026)'!$H:$H,'Streaming Data (2024-2026)'!$D:$D,$C38,'Streaming Data (2024-2026)'!$E:$E,E$2)</f>
        <v>169669448</v>
      </c>
      <c r="F38" s="2">
        <f>SUMIFS('Streaming Data (2024-2026)'!$H:$H,'Streaming Data (2024-2026)'!$D:$D,$C38,'Streaming Data (2024-2026)'!$E:$E,F$2)</f>
        <v>176026699</v>
      </c>
      <c r="G38" s="2">
        <f>SUMIFS('Streaming Data (2024-2026)'!$H:$H,'Streaming Data (2024-2026)'!$D:$D,$C38,'Streaming Data (2024-2026)'!$E:$E,G$2)</f>
        <v>182990665</v>
      </c>
      <c r="H38" s="2">
        <f>SUMIFS('Streaming Data (2024-2026)'!$H:$H,'Streaming Data (2024-2026)'!$D:$D,$C38,'Streaming Data (2024-2026)'!$E:$E,H$2)</f>
        <v>189040180</v>
      </c>
      <c r="I38" s="2">
        <f>SUMIFS('Streaming Data (2024-2026)'!$H:$H,'Streaming Data (2024-2026)'!$D:$D,$C38,'Streaming Data (2024-2026)'!$E:$E,I$2)</f>
        <v>194119736</v>
      </c>
      <c r="J38" s="2">
        <f>SUMIFS('Streaming Data (2024-2026)'!$H:$H,'Streaming Data (2024-2026)'!$D:$D,$C38,'Streaming Data (2024-2026)'!$E:$E,J$2)</f>
        <v>198570357</v>
      </c>
      <c r="L38" s="27">
        <f t="shared" si="11"/>
        <v>3.3289622041803746E-2</v>
      </c>
      <c r="M38" s="28">
        <f t="shared" si="12"/>
        <v>3.7468448650814258E-2</v>
      </c>
      <c r="N38" s="28">
        <f t="shared" si="13"/>
        <v>3.9561987127873142E-2</v>
      </c>
      <c r="O38" s="28">
        <f t="shared" si="14"/>
        <v>3.305914539411068E-2</v>
      </c>
      <c r="P38" s="28">
        <f t="shared" si="15"/>
        <v>2.6870245256854917E-2</v>
      </c>
      <c r="Q38" s="28">
        <f t="shared" si="16"/>
        <v>2.2927194790745026E-2</v>
      </c>
      <c r="R38" s="28">
        <f t="shared" si="17"/>
        <v>0.20929661498772625</v>
      </c>
      <c r="S38" s="29">
        <f t="shared" si="18"/>
        <v>3.2180078776983922E-2</v>
      </c>
    </row>
    <row r="39" spans="2:19" x14ac:dyDescent="0.2">
      <c r="B39" s="74">
        <f t="shared" si="10"/>
        <v>11</v>
      </c>
      <c r="C39" t="s">
        <v>30</v>
      </c>
      <c r="D39" s="2">
        <f>SUMIFS('Streaming Data (2024-2026)'!$H:$H,'Streaming Data (2024-2026)'!$D:$D,$C39,'Streaming Data (2024-2026)'!$E:$E,D$2)</f>
        <v>519161347</v>
      </c>
      <c r="E39" s="2">
        <f>SUMIFS('Streaming Data (2024-2026)'!$H:$H,'Streaming Data (2024-2026)'!$D:$D,$C39,'Streaming Data (2024-2026)'!$E:$E,E$2)</f>
        <v>539788810</v>
      </c>
      <c r="F39" s="2">
        <f>SUMIFS('Streaming Data (2024-2026)'!$H:$H,'Streaming Data (2024-2026)'!$D:$D,$C39,'Streaming Data (2024-2026)'!$E:$E,F$2)</f>
        <v>556438091</v>
      </c>
      <c r="G39" s="2">
        <f>SUMIFS('Streaming Data (2024-2026)'!$H:$H,'Streaming Data (2024-2026)'!$D:$D,$C39,'Streaming Data (2024-2026)'!$E:$E,G$2)</f>
        <v>574021864</v>
      </c>
      <c r="H39" s="2">
        <f>SUMIFS('Streaming Data (2024-2026)'!$H:$H,'Streaming Data (2024-2026)'!$D:$D,$C39,'Streaming Data (2024-2026)'!$E:$E,H$2)</f>
        <v>590156360</v>
      </c>
      <c r="I39" s="2">
        <f>SUMIFS('Streaming Data (2024-2026)'!$H:$H,'Streaming Data (2024-2026)'!$D:$D,$C39,'Streaming Data (2024-2026)'!$E:$E,I$2)</f>
        <v>605741469</v>
      </c>
      <c r="J39" s="2">
        <f>SUMIFS('Streaming Data (2024-2026)'!$H:$H,'Streaming Data (2024-2026)'!$D:$D,$C39,'Streaming Data (2024-2026)'!$E:$E,J$2)</f>
        <v>620313166</v>
      </c>
      <c r="L39" s="27">
        <f t="shared" si="11"/>
        <v>3.9732278065762856E-2</v>
      </c>
      <c r="M39" s="28">
        <f t="shared" si="12"/>
        <v>3.0844064737095975E-2</v>
      </c>
      <c r="N39" s="28">
        <f t="shared" si="13"/>
        <v>3.1600591843738458E-2</v>
      </c>
      <c r="O39" s="28">
        <f t="shared" si="14"/>
        <v>2.8107807405747177E-2</v>
      </c>
      <c r="P39" s="28">
        <f t="shared" si="15"/>
        <v>2.6408440298770989E-2</v>
      </c>
      <c r="Q39" s="28">
        <f t="shared" si="16"/>
        <v>2.4055967348670989E-2</v>
      </c>
      <c r="R39" s="28">
        <f t="shared" si="17"/>
        <v>0.19483696077242824</v>
      </c>
      <c r="S39" s="29">
        <f t="shared" si="18"/>
        <v>3.0112778835502674E-2</v>
      </c>
    </row>
    <row r="40" spans="2:19" x14ac:dyDescent="0.2">
      <c r="B40" s="74">
        <f t="shared" si="10"/>
        <v>12</v>
      </c>
      <c r="C40" t="s">
        <v>26</v>
      </c>
      <c r="D40" s="2">
        <f>SUMIFS('Streaming Data (2024-2026)'!$H:$H,'Streaming Data (2024-2026)'!$D:$D,$C40,'Streaming Data (2024-2026)'!$E:$E,D$2)</f>
        <v>985904694</v>
      </c>
      <c r="E40" s="2">
        <f>SUMIFS('Streaming Data (2024-2026)'!$H:$H,'Streaming Data (2024-2026)'!$D:$D,$C40,'Streaming Data (2024-2026)'!$E:$E,E$2)</f>
        <v>1012034887</v>
      </c>
      <c r="F40" s="2">
        <f>SUMIFS('Streaming Data (2024-2026)'!$H:$H,'Streaming Data (2024-2026)'!$D:$D,$C40,'Streaming Data (2024-2026)'!$E:$E,F$2)</f>
        <v>1034766488</v>
      </c>
      <c r="G40" s="2">
        <f>SUMIFS('Streaming Data (2024-2026)'!$H:$H,'Streaming Data (2024-2026)'!$D:$D,$C40,'Streaming Data (2024-2026)'!$E:$E,G$2)</f>
        <v>1062295287</v>
      </c>
      <c r="H40" s="2">
        <f>SUMIFS('Streaming Data (2024-2026)'!$H:$H,'Streaming Data (2024-2026)'!$D:$D,$C40,'Streaming Data (2024-2026)'!$E:$E,H$2)</f>
        <v>1087941638</v>
      </c>
      <c r="I40" s="2">
        <f>SUMIFS('Streaming Data (2024-2026)'!$H:$H,'Streaming Data (2024-2026)'!$D:$D,$C40,'Streaming Data (2024-2026)'!$E:$E,I$2)</f>
        <v>1121801331</v>
      </c>
      <c r="J40" s="2">
        <f>SUMIFS('Streaming Data (2024-2026)'!$H:$H,'Streaming Data (2024-2026)'!$D:$D,$C40,'Streaming Data (2024-2026)'!$E:$E,J$2)</f>
        <v>1148699708</v>
      </c>
      <c r="L40" s="27">
        <f t="shared" si="11"/>
        <v>2.6503771773298809E-2</v>
      </c>
      <c r="M40" s="28">
        <f t="shared" si="12"/>
        <v>2.2461282009144809E-2</v>
      </c>
      <c r="N40" s="28">
        <f t="shared" si="13"/>
        <v>2.6603875675571743E-2</v>
      </c>
      <c r="O40" s="28">
        <f t="shared" si="14"/>
        <v>2.4142393658195718E-2</v>
      </c>
      <c r="P40" s="28">
        <f t="shared" si="15"/>
        <v>3.1122710830560195E-2</v>
      </c>
      <c r="Q40" s="28">
        <f t="shared" si="16"/>
        <v>2.3977843720351229E-2</v>
      </c>
      <c r="R40" s="28">
        <f t="shared" si="17"/>
        <v>0.16512246568125175</v>
      </c>
      <c r="S40" s="29">
        <f t="shared" si="18"/>
        <v>2.5798192270346965E-2</v>
      </c>
    </row>
    <row r="41" spans="2:19" x14ac:dyDescent="0.2">
      <c r="B41" s="74">
        <f t="shared" si="10"/>
        <v>13</v>
      </c>
      <c r="C41" t="s">
        <v>32</v>
      </c>
      <c r="D41" s="2">
        <f>SUMIFS('Streaming Data (2024-2026)'!$H:$H,'Streaming Data (2024-2026)'!$D:$D,$C41,'Streaming Data (2024-2026)'!$E:$E,D$2)</f>
        <v>1259570282</v>
      </c>
      <c r="E41" s="2">
        <f>SUMIFS('Streaming Data (2024-2026)'!$H:$H,'Streaming Data (2024-2026)'!$D:$D,$C41,'Streaming Data (2024-2026)'!$E:$E,E$2)</f>
        <v>1296628309</v>
      </c>
      <c r="F41" s="2">
        <f>SUMIFS('Streaming Data (2024-2026)'!$H:$H,'Streaming Data (2024-2026)'!$D:$D,$C41,'Streaming Data (2024-2026)'!$E:$E,F$2)</f>
        <v>1328133349</v>
      </c>
      <c r="G41" s="2">
        <f>SUMIFS('Streaming Data (2024-2026)'!$H:$H,'Streaming Data (2024-2026)'!$D:$D,$C41,'Streaming Data (2024-2026)'!$E:$E,G$2)</f>
        <v>1362692089</v>
      </c>
      <c r="H41" s="2">
        <f>SUMIFS('Streaming Data (2024-2026)'!$H:$H,'Streaming Data (2024-2026)'!$D:$D,$C41,'Streaming Data (2024-2026)'!$E:$E,H$2)</f>
        <v>1399013970</v>
      </c>
      <c r="I41" s="2">
        <f>SUMIFS('Streaming Data (2024-2026)'!$H:$H,'Streaming Data (2024-2026)'!$D:$D,$C41,'Streaming Data (2024-2026)'!$E:$E,I$2)</f>
        <v>1433092880</v>
      </c>
      <c r="J41" s="2">
        <f>SUMIFS('Streaming Data (2024-2026)'!$H:$H,'Streaming Data (2024-2026)'!$D:$D,$C41,'Streaming Data (2024-2026)'!$E:$E,J$2)</f>
        <v>1462975291</v>
      </c>
      <c r="L41" s="27">
        <f t="shared" si="11"/>
        <v>2.9421166511770718E-2</v>
      </c>
      <c r="M41" s="28">
        <f t="shared" si="12"/>
        <v>2.4297664782822508E-2</v>
      </c>
      <c r="N41" s="28">
        <f t="shared" si="13"/>
        <v>2.6020534779900326E-2</v>
      </c>
      <c r="O41" s="28">
        <f t="shared" si="14"/>
        <v>2.6654503459144982E-2</v>
      </c>
      <c r="P41" s="28">
        <f t="shared" si="15"/>
        <v>2.4359234954601634E-2</v>
      </c>
      <c r="Q41" s="28">
        <f t="shared" si="16"/>
        <v>2.0851691761946373E-2</v>
      </c>
      <c r="R41" s="28">
        <f t="shared" si="17"/>
        <v>0.16148762153789842</v>
      </c>
      <c r="S41" s="29">
        <f t="shared" si="18"/>
        <v>2.5264132164643627E-2</v>
      </c>
    </row>
    <row r="42" spans="2:19" x14ac:dyDescent="0.2">
      <c r="B42" s="74">
        <f t="shared" si="10"/>
        <v>14</v>
      </c>
      <c r="C42" t="s">
        <v>56</v>
      </c>
      <c r="D42" s="2">
        <f>SUMIFS('Streaming Data (2024-2026)'!$H:$H,'Streaming Data (2024-2026)'!$D:$D,$C42,'Streaming Data (2024-2026)'!$E:$E,D$2)</f>
        <v>179982282</v>
      </c>
      <c r="E42" s="2">
        <f>SUMIFS('Streaming Data (2024-2026)'!$H:$H,'Streaming Data (2024-2026)'!$D:$D,$C42,'Streaming Data (2024-2026)'!$E:$E,E$2)</f>
        <v>184502541</v>
      </c>
      <c r="F42" s="2">
        <f>SUMIFS('Streaming Data (2024-2026)'!$H:$H,'Streaming Data (2024-2026)'!$D:$D,$C42,'Streaming Data (2024-2026)'!$E:$E,F$2)</f>
        <v>188405845</v>
      </c>
      <c r="G42" s="2">
        <f>SUMIFS('Streaming Data (2024-2026)'!$H:$H,'Streaming Data (2024-2026)'!$D:$D,$C42,'Streaming Data (2024-2026)'!$E:$E,G$2)</f>
        <v>192116200</v>
      </c>
      <c r="H42" s="2">
        <f>SUMIFS('Streaming Data (2024-2026)'!$H:$H,'Streaming Data (2024-2026)'!$D:$D,$C42,'Streaming Data (2024-2026)'!$E:$E,H$2)</f>
        <v>196883759</v>
      </c>
      <c r="I42" s="2">
        <f>SUMIFS('Streaming Data (2024-2026)'!$H:$H,'Streaming Data (2024-2026)'!$D:$D,$C42,'Streaming Data (2024-2026)'!$E:$E,I$2)</f>
        <v>202380404</v>
      </c>
      <c r="J42" s="2">
        <f>SUMIFS('Streaming Data (2024-2026)'!$H:$H,'Streaming Data (2024-2026)'!$D:$D,$C42,'Streaming Data (2024-2026)'!$E:$E,J$2)</f>
        <v>207928923</v>
      </c>
      <c r="L42" s="27">
        <f t="shared" si="11"/>
        <v>2.5115022155347493E-2</v>
      </c>
      <c r="M42" s="28">
        <f t="shared" si="12"/>
        <v>2.1155827875562971E-2</v>
      </c>
      <c r="N42" s="28">
        <f t="shared" si="13"/>
        <v>1.9693417685634967E-2</v>
      </c>
      <c r="O42" s="28">
        <f t="shared" si="14"/>
        <v>2.4816017597683069E-2</v>
      </c>
      <c r="P42" s="28">
        <f t="shared" si="15"/>
        <v>2.7918224580423621E-2</v>
      </c>
      <c r="Q42" s="28">
        <f t="shared" si="16"/>
        <v>2.7416285817869996E-2</v>
      </c>
      <c r="R42" s="28">
        <f t="shared" si="17"/>
        <v>0.15527440084352304</v>
      </c>
      <c r="S42" s="29">
        <f t="shared" si="18"/>
        <v>2.4348002807358604E-2</v>
      </c>
    </row>
    <row r="43" spans="2:19" x14ac:dyDescent="0.2">
      <c r="B43" s="74">
        <f t="shared" si="10"/>
        <v>15</v>
      </c>
      <c r="C43" t="s">
        <v>81</v>
      </c>
      <c r="D43" s="2">
        <f>SUMIFS('Streaming Data (2024-2026)'!$H:$H,'Streaming Data (2024-2026)'!$D:$D,$C43,'Streaming Data (2024-2026)'!$E:$E,D$2)</f>
        <v>121789579</v>
      </c>
      <c r="E43" s="2">
        <f>SUMIFS('Streaming Data (2024-2026)'!$H:$H,'Streaming Data (2024-2026)'!$D:$D,$C43,'Streaming Data (2024-2026)'!$E:$E,E$2)</f>
        <v>125190426</v>
      </c>
      <c r="F43" s="2">
        <f>SUMIFS('Streaming Data (2024-2026)'!$H:$H,'Streaming Data (2024-2026)'!$D:$D,$C43,'Streaming Data (2024-2026)'!$E:$E,F$2)</f>
        <v>127962467</v>
      </c>
      <c r="G43" s="2">
        <f>SUMIFS('Streaming Data (2024-2026)'!$H:$H,'Streaming Data (2024-2026)'!$D:$D,$C43,'Streaming Data (2024-2026)'!$E:$E,G$2)</f>
        <v>131177441</v>
      </c>
      <c r="H43" s="2">
        <f>SUMIFS('Streaming Data (2024-2026)'!$H:$H,'Streaming Data (2024-2026)'!$D:$D,$C43,'Streaming Data (2024-2026)'!$E:$E,H$2)</f>
        <v>134024742</v>
      </c>
      <c r="I43" s="2">
        <f>SUMIFS('Streaming Data (2024-2026)'!$H:$H,'Streaming Data (2024-2026)'!$D:$D,$C43,'Streaming Data (2024-2026)'!$E:$E,I$2)</f>
        <v>136767779</v>
      </c>
      <c r="J43" s="2">
        <f>SUMIFS('Streaming Data (2024-2026)'!$H:$H,'Streaming Data (2024-2026)'!$D:$D,$C43,'Streaming Data (2024-2026)'!$E:$E,J$2)</f>
        <v>139287478</v>
      </c>
      <c r="L43" s="27">
        <f t="shared" si="11"/>
        <v>2.792395727059702E-2</v>
      </c>
      <c r="M43" s="28">
        <f t="shared" si="12"/>
        <v>2.2142595792429047E-2</v>
      </c>
      <c r="N43" s="28">
        <f t="shared" si="13"/>
        <v>2.5124351502226038E-2</v>
      </c>
      <c r="O43" s="28">
        <f t="shared" si="14"/>
        <v>2.1705721489108785E-2</v>
      </c>
      <c r="P43" s="28">
        <f t="shared" si="15"/>
        <v>2.0466646374890988E-2</v>
      </c>
      <c r="Q43" s="28">
        <f t="shared" si="16"/>
        <v>1.8423191620301153E-2</v>
      </c>
      <c r="R43" s="28">
        <f t="shared" si="17"/>
        <v>0.14367320376401005</v>
      </c>
      <c r="S43" s="29">
        <f t="shared" si="18"/>
        <v>2.2626378157347027E-2</v>
      </c>
    </row>
    <row r="44" spans="2:19" x14ac:dyDescent="0.2">
      <c r="B44" s="74">
        <f t="shared" si="10"/>
        <v>16</v>
      </c>
      <c r="C44" t="s">
        <v>125</v>
      </c>
      <c r="D44" s="2">
        <f>SUMIFS('Streaming Data (2024-2026)'!$H:$H,'Streaming Data (2024-2026)'!$D:$D,$C44,'Streaming Data (2024-2026)'!$E:$E,D$2)</f>
        <v>80432076</v>
      </c>
      <c r="E44" s="2">
        <f>SUMIFS('Streaming Data (2024-2026)'!$H:$H,'Streaming Data (2024-2026)'!$D:$D,$C44,'Streaming Data (2024-2026)'!$E:$E,E$2)</f>
        <v>82345627</v>
      </c>
      <c r="F44" s="2">
        <f>SUMIFS('Streaming Data (2024-2026)'!$H:$H,'Streaming Data (2024-2026)'!$D:$D,$C44,'Streaming Data (2024-2026)'!$E:$E,F$2)</f>
        <v>83836081</v>
      </c>
      <c r="G44" s="2">
        <f>SUMIFS('Streaming Data (2024-2026)'!$H:$H,'Streaming Data (2024-2026)'!$D:$D,$C44,'Streaming Data (2024-2026)'!$E:$E,G$2)</f>
        <v>85700428</v>
      </c>
      <c r="H44" s="2">
        <f>SUMIFS('Streaming Data (2024-2026)'!$H:$H,'Streaming Data (2024-2026)'!$D:$D,$C44,'Streaming Data (2024-2026)'!$E:$E,H$2)</f>
        <v>87605939</v>
      </c>
      <c r="I44" s="2">
        <f>SUMIFS('Streaming Data (2024-2026)'!$H:$H,'Streaming Data (2024-2026)'!$D:$D,$C44,'Streaming Data (2024-2026)'!$E:$E,I$2)</f>
        <v>89291302</v>
      </c>
      <c r="J44" s="2">
        <f>SUMIFS('Streaming Data (2024-2026)'!$H:$H,'Streaming Data (2024-2026)'!$D:$D,$C44,'Streaming Data (2024-2026)'!$E:$E,J$2)</f>
        <v>91612788</v>
      </c>
      <c r="L44" s="27">
        <f t="shared" si="11"/>
        <v>2.3790894070669019E-2</v>
      </c>
      <c r="M44" s="28">
        <f t="shared" si="12"/>
        <v>1.8099977549506058E-2</v>
      </c>
      <c r="N44" s="28">
        <f t="shared" si="13"/>
        <v>2.2238002752060892E-2</v>
      </c>
      <c r="O44" s="28">
        <f t="shared" si="14"/>
        <v>2.2234556401515289E-2</v>
      </c>
      <c r="P44" s="28">
        <f t="shared" si="15"/>
        <v>1.9237999378101524E-2</v>
      </c>
      <c r="Q44" s="28">
        <f t="shared" si="16"/>
        <v>2.5999016119173622E-2</v>
      </c>
      <c r="R44" s="28">
        <f t="shared" si="17"/>
        <v>0.13900812407229177</v>
      </c>
      <c r="S44" s="29">
        <f t="shared" si="18"/>
        <v>2.1929972640400086E-2</v>
      </c>
    </row>
    <row r="45" spans="2:19" x14ac:dyDescent="0.2">
      <c r="B45" s="74">
        <f t="shared" si="10"/>
        <v>17</v>
      </c>
      <c r="C45" t="s">
        <v>60</v>
      </c>
      <c r="D45" s="2">
        <f>SUMIFS('Streaming Data (2024-2026)'!$H:$H,'Streaming Data (2024-2026)'!$D:$D,$C45,'Streaming Data (2024-2026)'!$E:$E,D$2)</f>
        <v>371088526</v>
      </c>
      <c r="E45" s="2">
        <f>SUMIFS('Streaming Data (2024-2026)'!$H:$H,'Streaming Data (2024-2026)'!$D:$D,$C45,'Streaming Data (2024-2026)'!$E:$E,E$2)</f>
        <v>379886271</v>
      </c>
      <c r="F45" s="2">
        <f>SUMIFS('Streaming Data (2024-2026)'!$H:$H,'Streaming Data (2024-2026)'!$D:$D,$C45,'Streaming Data (2024-2026)'!$E:$E,F$2)</f>
        <v>387853759</v>
      </c>
      <c r="G45" s="2">
        <f>SUMIFS('Streaming Data (2024-2026)'!$H:$H,'Streaming Data (2024-2026)'!$D:$D,$C45,'Streaming Data (2024-2026)'!$E:$E,G$2)</f>
        <v>396007863</v>
      </c>
      <c r="H45" s="2">
        <f>SUMIFS('Streaming Data (2024-2026)'!$H:$H,'Streaming Data (2024-2026)'!$D:$D,$C45,'Streaming Data (2024-2026)'!$E:$E,H$2)</f>
        <v>404220038</v>
      </c>
      <c r="I45" s="2">
        <f>SUMIFS('Streaming Data (2024-2026)'!$H:$H,'Streaming Data (2024-2026)'!$D:$D,$C45,'Streaming Data (2024-2026)'!$E:$E,I$2)</f>
        <v>412057902</v>
      </c>
      <c r="J45" s="2">
        <f>SUMIFS('Streaming Data (2024-2026)'!$H:$H,'Streaming Data (2024-2026)'!$D:$D,$C45,'Streaming Data (2024-2026)'!$E:$E,J$2)</f>
        <v>419724273</v>
      </c>
      <c r="L45" s="27">
        <f t="shared" si="11"/>
        <v>2.3707941322874532E-2</v>
      </c>
      <c r="M45" s="28">
        <f t="shared" si="12"/>
        <v>2.0973350732119509E-2</v>
      </c>
      <c r="N45" s="28">
        <f t="shared" si="13"/>
        <v>2.102365598060376E-2</v>
      </c>
      <c r="O45" s="28">
        <f t="shared" si="14"/>
        <v>2.0737403893417137E-2</v>
      </c>
      <c r="P45" s="28">
        <f t="shared" si="15"/>
        <v>1.9390092680165449E-2</v>
      </c>
      <c r="Q45" s="28">
        <f t="shared" si="16"/>
        <v>1.8605081865412206E-2</v>
      </c>
      <c r="R45" s="28">
        <f t="shared" si="17"/>
        <v>0.13106238428940267</v>
      </c>
      <c r="S45" s="29">
        <f t="shared" si="18"/>
        <v>2.0738337458650946E-2</v>
      </c>
    </row>
    <row r="46" spans="2:19" x14ac:dyDescent="0.2">
      <c r="B46" s="74">
        <f t="shared" si="10"/>
        <v>18</v>
      </c>
      <c r="C46" t="s">
        <v>542</v>
      </c>
      <c r="D46" s="2">
        <f>SUMIFS('Streaming Data (2024-2026)'!$H:$H,'Streaming Data (2024-2026)'!$D:$D,$C46,'Streaming Data (2024-2026)'!$E:$E,D$2)</f>
        <v>198509649</v>
      </c>
      <c r="E46" s="2">
        <f>SUMIFS('Streaming Data (2024-2026)'!$H:$H,'Streaming Data (2024-2026)'!$D:$D,$C46,'Streaming Data (2024-2026)'!$E:$E,E$2)</f>
        <v>202077604</v>
      </c>
      <c r="F46" s="2">
        <f>SUMIFS('Streaming Data (2024-2026)'!$H:$H,'Streaming Data (2024-2026)'!$D:$D,$C46,'Streaming Data (2024-2026)'!$E:$E,F$2)</f>
        <v>205149573</v>
      </c>
      <c r="G46" s="2">
        <f>SUMIFS('Streaming Data (2024-2026)'!$H:$H,'Streaming Data (2024-2026)'!$D:$D,$C46,'Streaming Data (2024-2026)'!$E:$E,G$2)</f>
        <v>211208291</v>
      </c>
      <c r="H46" s="2">
        <f>SUMIFS('Streaming Data (2024-2026)'!$H:$H,'Streaming Data (2024-2026)'!$D:$D,$C46,'Streaming Data (2024-2026)'!$E:$E,H$2)</f>
        <v>215603125</v>
      </c>
      <c r="I46" s="2">
        <f>SUMIFS('Streaming Data (2024-2026)'!$H:$H,'Streaming Data (2024-2026)'!$D:$D,$C46,'Streaming Data (2024-2026)'!$E:$E,I$2)</f>
        <v>219837866</v>
      </c>
      <c r="J46" s="2">
        <f>SUMIFS('Streaming Data (2024-2026)'!$H:$H,'Streaming Data (2024-2026)'!$D:$D,$C46,'Streaming Data (2024-2026)'!$E:$E,J$2)</f>
        <v>223532613</v>
      </c>
      <c r="L46" s="27">
        <f t="shared" si="11"/>
        <v>1.7973710688491521E-2</v>
      </c>
      <c r="M46" s="28">
        <f t="shared" si="12"/>
        <v>1.520192707748059E-2</v>
      </c>
      <c r="N46" s="28">
        <f t="shared" si="13"/>
        <v>2.9533173827273822E-2</v>
      </c>
      <c r="O46" s="28">
        <f t="shared" si="14"/>
        <v>2.0808056251920528E-2</v>
      </c>
      <c r="P46" s="28">
        <f t="shared" si="15"/>
        <v>1.9641371153595294E-2</v>
      </c>
      <c r="Q46" s="28">
        <f t="shared" si="16"/>
        <v>1.6806690618075777E-2</v>
      </c>
      <c r="R46" s="28">
        <f t="shared" si="17"/>
        <v>0.12605414460231099</v>
      </c>
      <c r="S46" s="29">
        <f t="shared" si="18"/>
        <v>1.9983654729021527E-2</v>
      </c>
    </row>
    <row r="47" spans="2:19" x14ac:dyDescent="0.2">
      <c r="B47" s="74">
        <f t="shared" si="10"/>
        <v>19</v>
      </c>
      <c r="C47" t="s">
        <v>41</v>
      </c>
      <c r="D47" s="2">
        <f>SUMIFS('Streaming Data (2024-2026)'!$H:$H,'Streaming Data (2024-2026)'!$D:$D,$C47,'Streaming Data (2024-2026)'!$E:$E,D$2)</f>
        <v>414522383</v>
      </c>
      <c r="E47" s="2">
        <f>SUMIFS('Streaming Data (2024-2026)'!$H:$H,'Streaming Data (2024-2026)'!$D:$D,$C47,'Streaming Data (2024-2026)'!$E:$E,E$2)</f>
        <v>422886147</v>
      </c>
      <c r="F47" s="2">
        <f>SUMIFS('Streaming Data (2024-2026)'!$H:$H,'Streaming Data (2024-2026)'!$D:$D,$C47,'Streaming Data (2024-2026)'!$E:$E,F$2)</f>
        <v>429595882</v>
      </c>
      <c r="G47" s="2">
        <f>SUMIFS('Streaming Data (2024-2026)'!$H:$H,'Streaming Data (2024-2026)'!$D:$D,$C47,'Streaming Data (2024-2026)'!$E:$E,G$2)</f>
        <v>437766424</v>
      </c>
      <c r="H47" s="2">
        <f>SUMIFS('Streaming Data (2024-2026)'!$H:$H,'Streaming Data (2024-2026)'!$D:$D,$C47,'Streaming Data (2024-2026)'!$E:$E,H$2)</f>
        <v>447506443</v>
      </c>
      <c r="I47" s="2">
        <f>SUMIFS('Streaming Data (2024-2026)'!$H:$H,'Streaming Data (2024-2026)'!$D:$D,$C47,'Streaming Data (2024-2026)'!$E:$E,I$2)</f>
        <v>456867299</v>
      </c>
      <c r="J47" s="2">
        <f>SUMIFS('Streaming Data (2024-2026)'!$H:$H,'Streaming Data (2024-2026)'!$D:$D,$C47,'Streaming Data (2024-2026)'!$E:$E,J$2)</f>
        <v>465681178</v>
      </c>
      <c r="L47" s="27">
        <f t="shared" si="11"/>
        <v>2.017686943578147E-2</v>
      </c>
      <c r="M47" s="28">
        <f t="shared" si="12"/>
        <v>1.5866528254944234E-2</v>
      </c>
      <c r="N47" s="28">
        <f t="shared" si="13"/>
        <v>1.9019134824946948E-2</v>
      </c>
      <c r="O47" s="28">
        <f t="shared" si="14"/>
        <v>2.2249351402975574E-2</v>
      </c>
      <c r="P47" s="28">
        <f t="shared" si="15"/>
        <v>2.0917812796719889E-2</v>
      </c>
      <c r="Q47" s="28">
        <f t="shared" si="16"/>
        <v>1.9291989204068643E-2</v>
      </c>
      <c r="R47" s="28">
        <f t="shared" si="17"/>
        <v>0.12341624263990589</v>
      </c>
      <c r="S47" s="29">
        <f t="shared" si="18"/>
        <v>1.9585028704223184E-2</v>
      </c>
    </row>
    <row r="48" spans="2:19" x14ac:dyDescent="0.2">
      <c r="B48" s="74">
        <f t="shared" si="10"/>
        <v>20</v>
      </c>
      <c r="C48" t="s">
        <v>61</v>
      </c>
      <c r="D48" s="2">
        <f>SUMIFS('Streaming Data (2024-2026)'!$H:$H,'Streaming Data (2024-2026)'!$D:$D,$C48,'Streaming Data (2024-2026)'!$E:$E,D$2)</f>
        <v>192145312</v>
      </c>
      <c r="E48" s="2">
        <f>SUMIFS('Streaming Data (2024-2026)'!$H:$H,'Streaming Data (2024-2026)'!$D:$D,$C48,'Streaming Data (2024-2026)'!$E:$E,E$2)</f>
        <v>195262250</v>
      </c>
      <c r="F48" s="2">
        <f>SUMIFS('Streaming Data (2024-2026)'!$H:$H,'Streaming Data (2024-2026)'!$D:$D,$C48,'Streaming Data (2024-2026)'!$E:$E,F$2)</f>
        <v>197745297</v>
      </c>
      <c r="G48" s="2">
        <f>SUMIFS('Streaming Data (2024-2026)'!$H:$H,'Streaming Data (2024-2026)'!$D:$D,$C48,'Streaming Data (2024-2026)'!$E:$E,G$2)</f>
        <v>200702670</v>
      </c>
      <c r="H48" s="2">
        <f>SUMIFS('Streaming Data (2024-2026)'!$H:$H,'Streaming Data (2024-2026)'!$D:$D,$C48,'Streaming Data (2024-2026)'!$E:$E,H$2)</f>
        <v>203642243</v>
      </c>
      <c r="I48" s="2">
        <f>SUMIFS('Streaming Data (2024-2026)'!$H:$H,'Streaming Data (2024-2026)'!$D:$D,$C48,'Streaming Data (2024-2026)'!$E:$E,I$2)</f>
        <v>206580651</v>
      </c>
      <c r="J48" s="2">
        <f>SUMIFS('Streaming Data (2024-2026)'!$H:$H,'Streaming Data (2024-2026)'!$D:$D,$C48,'Streaming Data (2024-2026)'!$E:$E,J$2)</f>
        <v>209221098</v>
      </c>
      <c r="L48" s="27">
        <f t="shared" si="11"/>
        <v>1.6221774903360641E-2</v>
      </c>
      <c r="M48" s="28">
        <f t="shared" si="12"/>
        <v>1.2716472334002093E-2</v>
      </c>
      <c r="N48" s="28">
        <f t="shared" si="13"/>
        <v>1.4955465666523539E-2</v>
      </c>
      <c r="O48" s="28">
        <f t="shared" si="14"/>
        <v>1.4646407045805618E-2</v>
      </c>
      <c r="P48" s="28">
        <f t="shared" si="15"/>
        <v>1.4429265542906047E-2</v>
      </c>
      <c r="Q48" s="28">
        <f t="shared" si="16"/>
        <v>1.2781676247113773E-2</v>
      </c>
      <c r="R48" s="28">
        <f t="shared" si="17"/>
        <v>8.8869126299578938E-2</v>
      </c>
      <c r="S48" s="29">
        <f t="shared" si="18"/>
        <v>1.4291098281927539E-2</v>
      </c>
    </row>
    <row r="49" spans="2:19" x14ac:dyDescent="0.2">
      <c r="L49" s="30"/>
      <c r="M49" s="31"/>
      <c r="N49" s="31"/>
      <c r="O49" s="31"/>
      <c r="P49" s="31"/>
      <c r="Q49" s="31"/>
      <c r="R49" s="31"/>
      <c r="S49" s="32"/>
    </row>
    <row r="51" spans="2:19" x14ac:dyDescent="0.2">
      <c r="C51" s="16" t="s">
        <v>533</v>
      </c>
      <c r="D51" s="17"/>
      <c r="E51" s="17"/>
      <c r="F51" s="17"/>
      <c r="G51" s="17"/>
      <c r="H51" s="17"/>
      <c r="I51" s="17"/>
      <c r="J51" s="18"/>
      <c r="L51" s="19" t="s">
        <v>538</v>
      </c>
      <c r="M51" s="20"/>
      <c r="N51" s="20"/>
      <c r="O51" s="20"/>
      <c r="P51" s="20"/>
      <c r="Q51" s="20"/>
      <c r="R51" s="21"/>
      <c r="S51" s="61"/>
    </row>
    <row r="52" spans="2:19" x14ac:dyDescent="0.2">
      <c r="C52" s="60" t="s">
        <v>480</v>
      </c>
      <c r="D52" s="54" t="s">
        <v>549</v>
      </c>
      <c r="E52" s="54" t="s">
        <v>550</v>
      </c>
      <c r="F52" s="54" t="s">
        <v>551</v>
      </c>
      <c r="G52" s="54" t="s">
        <v>678</v>
      </c>
      <c r="H52" s="54" t="s">
        <v>497</v>
      </c>
      <c r="I52" s="54" t="s">
        <v>498</v>
      </c>
      <c r="J52" s="54" t="s">
        <v>532</v>
      </c>
      <c r="L52" s="56" t="s">
        <v>679</v>
      </c>
      <c r="M52" s="54" t="s">
        <v>680</v>
      </c>
      <c r="N52" s="54" t="s">
        <v>681</v>
      </c>
      <c r="O52" s="54" t="s">
        <v>682</v>
      </c>
      <c r="P52" s="54" t="s">
        <v>683</v>
      </c>
      <c r="Q52" s="54" t="s">
        <v>684</v>
      </c>
      <c r="R52" s="52" t="s">
        <v>552</v>
      </c>
      <c r="S52" s="62" t="s">
        <v>690</v>
      </c>
    </row>
    <row r="53" spans="2:19" x14ac:dyDescent="0.2">
      <c r="B53" s="74">
        <f>RANK(S53,$S$53:$S$72,0)</f>
        <v>1</v>
      </c>
      <c r="C53" s="40" t="s">
        <v>134</v>
      </c>
      <c r="D53" s="2">
        <f>SUMIFS('Streaming Data (2024-2026)'!$J:$J,'Streaming Data (2024-2026)'!$D:$D,$C53,'Streaming Data (2024-2026)'!$E:$E,D$2)</f>
        <v>1348153</v>
      </c>
      <c r="E53" s="2">
        <f>SUMIFS('Streaming Data (2024-2026)'!$J:$J,'Streaming Data (2024-2026)'!$D:$D,$C53,'Streaming Data (2024-2026)'!$E:$E,E$2)</f>
        <v>1470717</v>
      </c>
      <c r="F53" s="2">
        <f>SUMIFS('Streaming Data (2024-2026)'!$J:$J,'Streaming Data (2024-2026)'!$D:$D,$C53,'Streaming Data (2024-2026)'!$E:$E,F$2)</f>
        <v>1684019</v>
      </c>
      <c r="G53" s="2">
        <f>SUMIFS('Streaming Data (2024-2026)'!$J:$J,'Streaming Data (2024-2026)'!$D:$D,$C53,'Streaming Data (2024-2026)'!$E:$E,G$2)</f>
        <v>1899143</v>
      </c>
      <c r="H53" s="2">
        <f>SUMIFS('Streaming Data (2024-2026)'!$J:$J,'Streaming Data (2024-2026)'!$D:$D,$C53,'Streaming Data (2024-2026)'!$E:$E,H$2)</f>
        <v>1865425</v>
      </c>
      <c r="I53" s="2">
        <f>SUMIFS('Streaming Data (2024-2026)'!$J:$J,'Streaming Data (2024-2026)'!$D:$D,$C53,'Streaming Data (2024-2026)'!$E:$E,I$2)</f>
        <v>2046776</v>
      </c>
      <c r="J53" s="2">
        <f>SUMIFS('Streaming Data (2024-2026)'!$J:$J,'Streaming Data (2024-2026)'!$D:$D,$C53,'Streaming Data (2024-2026)'!$E:$E,J$2)</f>
        <v>2064828</v>
      </c>
      <c r="L53" s="27">
        <f t="shared" ref="L53:L72" si="19">IFERROR((E53-D53)/D53,0)</f>
        <v>9.0912529957653171E-2</v>
      </c>
      <c r="M53" s="28">
        <f t="shared" ref="M53:M72" si="20">IFERROR((F53-E53)/E53,0)</f>
        <v>0.14503266094020809</v>
      </c>
      <c r="N53" s="28">
        <f t="shared" ref="N53:N72" si="21">IFERROR((G53-F53)/F53,0)</f>
        <v>0.1277444019337074</v>
      </c>
      <c r="O53" s="28">
        <f t="shared" ref="O53:O72" si="22">IFERROR((H53-G53)/G53,0)</f>
        <v>-1.775432392400151E-2</v>
      </c>
      <c r="P53" s="28">
        <f t="shared" ref="P53:P72" si="23">IFERROR((I53-H53)/H53,0)</f>
        <v>9.7216988085824949E-2</v>
      </c>
      <c r="Q53" s="28">
        <f t="shared" ref="Q53:Q72" si="24">IFERROR((J53-I53)/I53,0)</f>
        <v>8.8197242883442054E-3</v>
      </c>
      <c r="R53" s="28">
        <f t="shared" ref="R53:R72" si="25">IFERROR((J53-D53)/D53,0)</f>
        <v>0.53159767474463215</v>
      </c>
      <c r="S53" s="29">
        <f>IFERROR((J53/D53)^(1/6)-1,0)</f>
        <v>7.3636950194013728E-2</v>
      </c>
    </row>
    <row r="54" spans="2:19" x14ac:dyDescent="0.2">
      <c r="B54" s="74">
        <f t="shared" ref="B54:B72" si="26">RANK(S54,$S$53:$S$72,0)</f>
        <v>2</v>
      </c>
      <c r="C54" t="s">
        <v>125</v>
      </c>
      <c r="D54" s="2">
        <f>SUMIFS('Streaming Data (2024-2026)'!$J:$J,'Streaming Data (2024-2026)'!$D:$D,$C54,'Streaming Data (2024-2026)'!$E:$E,D$2)</f>
        <v>691422</v>
      </c>
      <c r="E54" s="2">
        <f>SUMIFS('Streaming Data (2024-2026)'!$J:$J,'Streaming Data (2024-2026)'!$D:$D,$C54,'Streaming Data (2024-2026)'!$E:$E,E$2)</f>
        <v>652634</v>
      </c>
      <c r="F54" s="2">
        <f>SUMIFS('Streaming Data (2024-2026)'!$J:$J,'Streaming Data (2024-2026)'!$D:$D,$C54,'Streaming Data (2024-2026)'!$E:$E,F$2)</f>
        <v>615577</v>
      </c>
      <c r="G54" s="2">
        <f>SUMIFS('Streaming Data (2024-2026)'!$J:$J,'Streaming Data (2024-2026)'!$D:$D,$C54,'Streaming Data (2024-2026)'!$E:$E,G$2)</f>
        <v>690350</v>
      </c>
      <c r="H54" s="2">
        <f>SUMIFS('Streaming Data (2024-2026)'!$J:$J,'Streaming Data (2024-2026)'!$D:$D,$C54,'Streaming Data (2024-2026)'!$E:$E,H$2)</f>
        <v>719798</v>
      </c>
      <c r="I54" s="2">
        <f>SUMIFS('Streaming Data (2024-2026)'!$J:$J,'Streaming Data (2024-2026)'!$D:$D,$C54,'Streaming Data (2024-2026)'!$E:$E,I$2)</f>
        <v>610897</v>
      </c>
      <c r="J54" s="2">
        <f>SUMIFS('Streaming Data (2024-2026)'!$J:$J,'Streaming Data (2024-2026)'!$D:$D,$C54,'Streaming Data (2024-2026)'!$E:$E,J$2)</f>
        <v>785092</v>
      </c>
      <c r="L54" s="27">
        <f t="shared" si="19"/>
        <v>-5.6098880278614219E-2</v>
      </c>
      <c r="M54" s="28">
        <f t="shared" si="20"/>
        <v>-5.6780676458780877E-2</v>
      </c>
      <c r="N54" s="28">
        <f t="shared" si="21"/>
        <v>0.1214681510192876</v>
      </c>
      <c r="O54" s="28">
        <f t="shared" si="22"/>
        <v>4.2656623451872239E-2</v>
      </c>
      <c r="P54" s="28">
        <f t="shared" si="23"/>
        <v>-0.15129383521487974</v>
      </c>
      <c r="Q54" s="28">
        <f t="shared" si="24"/>
        <v>0.28514626851989777</v>
      </c>
      <c r="R54" s="28">
        <f t="shared" si="25"/>
        <v>0.13547442806274604</v>
      </c>
      <c r="S54" s="29">
        <f t="shared" ref="S54:S72" si="27">IFERROR((J54/D54)^(1/6)-1,0)</f>
        <v>2.1400876787354806E-2</v>
      </c>
    </row>
    <row r="55" spans="2:19" x14ac:dyDescent="0.2">
      <c r="B55" s="74">
        <f t="shared" si="26"/>
        <v>3</v>
      </c>
      <c r="C55" t="s">
        <v>287</v>
      </c>
      <c r="D55" s="2">
        <f>SUMIFS('Streaming Data (2024-2026)'!$J:$J,'Streaming Data (2024-2026)'!$D:$D,$C55,'Streaming Data (2024-2026)'!$E:$E,D$2)</f>
        <v>1374515</v>
      </c>
      <c r="E55" s="2">
        <f>SUMIFS('Streaming Data (2024-2026)'!$J:$J,'Streaming Data (2024-2026)'!$D:$D,$C55,'Streaming Data (2024-2026)'!$E:$E,E$2)</f>
        <v>1030702</v>
      </c>
      <c r="F55" s="2">
        <f>SUMIFS('Streaming Data (2024-2026)'!$J:$J,'Streaming Data (2024-2026)'!$D:$D,$C55,'Streaming Data (2024-2026)'!$E:$E,F$2)</f>
        <v>1074352</v>
      </c>
      <c r="G55" s="2">
        <f>SUMIFS('Streaming Data (2024-2026)'!$J:$J,'Streaming Data (2024-2026)'!$D:$D,$C55,'Streaming Data (2024-2026)'!$E:$E,G$2)</f>
        <v>878317</v>
      </c>
      <c r="H55" s="2">
        <f>SUMIFS('Streaming Data (2024-2026)'!$J:$J,'Streaming Data (2024-2026)'!$D:$D,$C55,'Streaming Data (2024-2026)'!$E:$E,H$2)</f>
        <v>1030054</v>
      </c>
      <c r="I55" s="2">
        <f>SUMIFS('Streaming Data (2024-2026)'!$J:$J,'Streaming Data (2024-2026)'!$D:$D,$C55,'Streaming Data (2024-2026)'!$E:$E,I$2)</f>
        <v>1399584</v>
      </c>
      <c r="J55" s="2">
        <f>SUMIFS('Streaming Data (2024-2026)'!$J:$J,'Streaming Data (2024-2026)'!$D:$D,$C55,'Streaming Data (2024-2026)'!$E:$E,J$2)</f>
        <v>1514687</v>
      </c>
      <c r="L55" s="27">
        <f t="shared" si="19"/>
        <v>-0.25013404728213223</v>
      </c>
      <c r="M55" s="28">
        <f t="shared" si="20"/>
        <v>4.2349777142180765E-2</v>
      </c>
      <c r="N55" s="28">
        <f t="shared" si="21"/>
        <v>-0.18246812962604436</v>
      </c>
      <c r="O55" s="28">
        <f t="shared" si="22"/>
        <v>0.17275881031563775</v>
      </c>
      <c r="P55" s="28">
        <f t="shared" si="23"/>
        <v>0.35874818213414056</v>
      </c>
      <c r="Q55" s="28">
        <f t="shared" si="24"/>
        <v>8.224086585728331E-2</v>
      </c>
      <c r="R55" s="28">
        <f t="shared" si="25"/>
        <v>0.10197924358773822</v>
      </c>
      <c r="S55" s="29">
        <f t="shared" si="27"/>
        <v>1.6316326713530227E-2</v>
      </c>
    </row>
    <row r="56" spans="2:19" x14ac:dyDescent="0.2">
      <c r="B56" s="74">
        <f t="shared" si="26"/>
        <v>4</v>
      </c>
      <c r="C56" t="s">
        <v>26</v>
      </c>
      <c r="D56" s="2">
        <f>SUMIFS('Streaming Data (2024-2026)'!$J:$J,'Streaming Data (2024-2026)'!$D:$D,$C56,'Streaming Data (2024-2026)'!$E:$E,D$2)</f>
        <v>3678462</v>
      </c>
      <c r="E56" s="2">
        <f>SUMIFS('Streaming Data (2024-2026)'!$J:$J,'Streaming Data (2024-2026)'!$D:$D,$C56,'Streaming Data (2024-2026)'!$E:$E,E$2)</f>
        <v>3036334</v>
      </c>
      <c r="F56" s="2">
        <f>SUMIFS('Streaming Data (2024-2026)'!$J:$J,'Streaming Data (2024-2026)'!$D:$D,$C56,'Streaming Data (2024-2026)'!$E:$E,F$2)</f>
        <v>3079098</v>
      </c>
      <c r="G56" s="2">
        <f>SUMIFS('Streaming Data (2024-2026)'!$J:$J,'Streaming Data (2024-2026)'!$D:$D,$C56,'Streaming Data (2024-2026)'!$E:$E,G$2)</f>
        <v>3267700</v>
      </c>
      <c r="H56" s="2">
        <f>SUMIFS('Streaming Data (2024-2026)'!$J:$J,'Streaming Data (2024-2026)'!$D:$D,$C56,'Streaming Data (2024-2026)'!$E:$E,H$2)</f>
        <v>3211035</v>
      </c>
      <c r="I56" s="2">
        <f>SUMIFS('Streaming Data (2024-2026)'!$J:$J,'Streaming Data (2024-2026)'!$D:$D,$C56,'Streaming Data (2024-2026)'!$E:$E,I$2)</f>
        <v>4217498</v>
      </c>
      <c r="J56" s="2">
        <f>SUMIFS('Streaming Data (2024-2026)'!$J:$J,'Streaming Data (2024-2026)'!$D:$D,$C56,'Streaming Data (2024-2026)'!$E:$E,J$2)</f>
        <v>3831583</v>
      </c>
      <c r="L56" s="27">
        <f t="shared" si="19"/>
        <v>-0.17456426082422491</v>
      </c>
      <c r="M56" s="28">
        <f t="shared" si="20"/>
        <v>1.408408956326939E-2</v>
      </c>
      <c r="N56" s="28">
        <f t="shared" si="21"/>
        <v>6.1252353773735037E-2</v>
      </c>
      <c r="O56" s="28">
        <f t="shared" si="22"/>
        <v>-1.7340943171037734E-2</v>
      </c>
      <c r="P56" s="28">
        <f t="shared" si="23"/>
        <v>0.31343881334211554</v>
      </c>
      <c r="Q56" s="28">
        <f t="shared" si="24"/>
        <v>-9.1503303617452805E-2</v>
      </c>
      <c r="R56" s="28">
        <f t="shared" si="25"/>
        <v>4.1626364496901151E-2</v>
      </c>
      <c r="S56" s="29">
        <f t="shared" si="27"/>
        <v>6.820370792939956E-3</v>
      </c>
    </row>
    <row r="57" spans="2:19" x14ac:dyDescent="0.2">
      <c r="B57" s="74">
        <f t="shared" si="26"/>
        <v>5</v>
      </c>
      <c r="C57" t="s">
        <v>60</v>
      </c>
      <c r="D57" s="2">
        <f>SUMIFS('Streaming Data (2024-2026)'!$J:$J,'Streaming Data (2024-2026)'!$D:$D,$C57,'Streaming Data (2024-2026)'!$E:$E,D$2)</f>
        <v>2301784</v>
      </c>
      <c r="E57" s="2">
        <f>SUMIFS('Streaming Data (2024-2026)'!$J:$J,'Streaming Data (2024-2026)'!$D:$D,$C57,'Streaming Data (2024-2026)'!$E:$E,E$2)</f>
        <v>2345951</v>
      </c>
      <c r="F57" s="2">
        <f>SUMIFS('Streaming Data (2024-2026)'!$J:$J,'Streaming Data (2024-2026)'!$D:$D,$C57,'Streaming Data (2024-2026)'!$E:$E,F$2)</f>
        <v>2411212</v>
      </c>
      <c r="G57" s="2">
        <f>SUMIFS('Streaming Data (2024-2026)'!$J:$J,'Streaming Data (2024-2026)'!$D:$D,$C57,'Streaming Data (2024-2026)'!$E:$E,G$2)</f>
        <v>2336458</v>
      </c>
      <c r="H57" s="2">
        <f>SUMIFS('Streaming Data (2024-2026)'!$J:$J,'Streaming Data (2024-2026)'!$D:$D,$C57,'Streaming Data (2024-2026)'!$E:$E,H$2)</f>
        <v>2338078</v>
      </c>
      <c r="I57" s="2">
        <f>SUMIFS('Streaming Data (2024-2026)'!$J:$J,'Streaming Data (2024-2026)'!$D:$D,$C57,'Streaming Data (2024-2026)'!$E:$E,I$2)</f>
        <v>2261035</v>
      </c>
      <c r="J57" s="2">
        <f>SUMIFS('Streaming Data (2024-2026)'!$J:$J,'Streaming Data (2024-2026)'!$D:$D,$C57,'Streaming Data (2024-2026)'!$E:$E,J$2)</f>
        <v>2278505</v>
      </c>
      <c r="L57" s="27">
        <f t="shared" si="19"/>
        <v>1.9188160140134781E-2</v>
      </c>
      <c r="M57" s="28">
        <f t="shared" si="20"/>
        <v>2.7818569100548137E-2</v>
      </c>
      <c r="N57" s="28">
        <f t="shared" si="21"/>
        <v>-3.1002665879234177E-2</v>
      </c>
      <c r="O57" s="28">
        <f t="shared" si="22"/>
        <v>6.9335720993058726E-4</v>
      </c>
      <c r="P57" s="28">
        <f t="shared" si="23"/>
        <v>-3.2951424203982928E-2</v>
      </c>
      <c r="Q57" s="28">
        <f t="shared" si="24"/>
        <v>7.7265500091772132E-3</v>
      </c>
      <c r="R57" s="28">
        <f t="shared" si="25"/>
        <v>-1.0113459820730355E-2</v>
      </c>
      <c r="S57" s="29">
        <f t="shared" si="27"/>
        <v>-1.6927237744586154E-3</v>
      </c>
    </row>
    <row r="58" spans="2:19" x14ac:dyDescent="0.2">
      <c r="B58" s="74">
        <f t="shared" si="26"/>
        <v>6</v>
      </c>
      <c r="C58" t="s">
        <v>540</v>
      </c>
      <c r="D58" s="2">
        <f>SUMIFS('Streaming Data (2024-2026)'!$J:$J,'Streaming Data (2024-2026)'!$D:$D,$C58,'Streaming Data (2024-2026)'!$E:$E,D$2)</f>
        <v>2041035</v>
      </c>
      <c r="E58" s="2">
        <f>SUMIFS('Streaming Data (2024-2026)'!$J:$J,'Streaming Data (2024-2026)'!$D:$D,$C58,'Streaming Data (2024-2026)'!$E:$E,E$2)</f>
        <v>2078475</v>
      </c>
      <c r="F58" s="2">
        <f>SUMIFS('Streaming Data (2024-2026)'!$J:$J,'Streaming Data (2024-2026)'!$D:$D,$C58,'Streaming Data (2024-2026)'!$E:$E,F$2)</f>
        <v>1886329</v>
      </c>
      <c r="G58" s="2">
        <f>SUMIFS('Streaming Data (2024-2026)'!$J:$J,'Streaming Data (2024-2026)'!$D:$D,$C58,'Streaming Data (2024-2026)'!$E:$E,G$2)</f>
        <v>1839114</v>
      </c>
      <c r="H58" s="2">
        <f>SUMIFS('Streaming Data (2024-2026)'!$J:$J,'Streaming Data (2024-2026)'!$D:$D,$C58,'Streaming Data (2024-2026)'!$E:$E,H$2)</f>
        <v>1968091</v>
      </c>
      <c r="I58" s="2">
        <f>SUMIFS('Streaming Data (2024-2026)'!$J:$J,'Streaming Data (2024-2026)'!$D:$D,$C58,'Streaming Data (2024-2026)'!$E:$E,I$2)</f>
        <v>2006978</v>
      </c>
      <c r="J58" s="2">
        <f>SUMIFS('Streaming Data (2024-2026)'!$J:$J,'Streaming Data (2024-2026)'!$D:$D,$C58,'Streaming Data (2024-2026)'!$E:$E,J$2)</f>
        <v>2007099</v>
      </c>
      <c r="L58" s="27">
        <f t="shared" si="19"/>
        <v>1.8343634479565513E-2</v>
      </c>
      <c r="M58" s="28">
        <f t="shared" si="20"/>
        <v>-9.2445663286784788E-2</v>
      </c>
      <c r="N58" s="28">
        <f t="shared" si="21"/>
        <v>-2.5030098143006867E-2</v>
      </c>
      <c r="O58" s="28">
        <f t="shared" si="22"/>
        <v>7.0129964754767779E-2</v>
      </c>
      <c r="P58" s="28">
        <f t="shared" si="23"/>
        <v>1.9758740830581514E-2</v>
      </c>
      <c r="Q58" s="28">
        <f t="shared" si="24"/>
        <v>6.0289649413197356E-5</v>
      </c>
      <c r="R58" s="28">
        <f t="shared" si="25"/>
        <v>-1.6626858432118998E-2</v>
      </c>
      <c r="S58" s="29">
        <f t="shared" si="27"/>
        <v>-2.7905385529271021E-3</v>
      </c>
    </row>
    <row r="59" spans="2:19" x14ac:dyDescent="0.2">
      <c r="B59" s="74">
        <f t="shared" si="26"/>
        <v>7</v>
      </c>
      <c r="C59" t="s">
        <v>56</v>
      </c>
      <c r="D59" s="2">
        <f>SUMIFS('Streaming Data (2024-2026)'!$J:$J,'Streaming Data (2024-2026)'!$D:$D,$C59,'Streaming Data (2024-2026)'!$E:$E,D$2)</f>
        <v>1668397</v>
      </c>
      <c r="E59" s="2">
        <f>SUMIFS('Streaming Data (2024-2026)'!$J:$J,'Streaming Data (2024-2026)'!$D:$D,$C59,'Streaming Data (2024-2026)'!$E:$E,E$2)</f>
        <v>1358691</v>
      </c>
      <c r="F59" s="2">
        <f>SUMIFS('Streaming Data (2024-2026)'!$J:$J,'Streaming Data (2024-2026)'!$D:$D,$C59,'Streaming Data (2024-2026)'!$E:$E,F$2)</f>
        <v>1382195</v>
      </c>
      <c r="G59" s="2">
        <f>SUMIFS('Streaming Data (2024-2026)'!$J:$J,'Streaming Data (2024-2026)'!$D:$D,$C59,'Streaming Data (2024-2026)'!$E:$E,G$2)</f>
        <v>1241635</v>
      </c>
      <c r="H59" s="2">
        <f>SUMIFS('Streaming Data (2024-2026)'!$J:$J,'Streaming Data (2024-2026)'!$D:$D,$C59,'Streaming Data (2024-2026)'!$E:$E,H$2)</f>
        <v>1326877</v>
      </c>
      <c r="I59" s="2">
        <f>SUMIFS('Streaming Data (2024-2026)'!$J:$J,'Streaming Data (2024-2026)'!$D:$D,$C59,'Streaming Data (2024-2026)'!$E:$E,I$2)</f>
        <v>1453953</v>
      </c>
      <c r="J59" s="2">
        <f>SUMIFS('Streaming Data (2024-2026)'!$J:$J,'Streaming Data (2024-2026)'!$D:$D,$C59,'Streaming Data (2024-2026)'!$E:$E,J$2)</f>
        <v>1540449</v>
      </c>
      <c r="L59" s="27">
        <f t="shared" si="19"/>
        <v>-0.18563087802243711</v>
      </c>
      <c r="M59" s="28">
        <f t="shared" si="20"/>
        <v>1.7299003231787066E-2</v>
      </c>
      <c r="N59" s="28">
        <f t="shared" si="21"/>
        <v>-0.10169332113052065</v>
      </c>
      <c r="O59" s="28">
        <f t="shared" si="22"/>
        <v>6.8653026050328803E-2</v>
      </c>
      <c r="P59" s="28">
        <f t="shared" si="23"/>
        <v>9.5770745894306702E-2</v>
      </c>
      <c r="Q59" s="28">
        <f t="shared" si="24"/>
        <v>5.9490231114760934E-2</v>
      </c>
      <c r="R59" s="28">
        <f t="shared" si="25"/>
        <v>-7.6689181291982669E-2</v>
      </c>
      <c r="S59" s="29">
        <f t="shared" si="27"/>
        <v>-1.3210194722093616E-2</v>
      </c>
    </row>
    <row r="60" spans="2:19" x14ac:dyDescent="0.2">
      <c r="B60" s="74">
        <f t="shared" si="26"/>
        <v>8</v>
      </c>
      <c r="C60" t="s">
        <v>45</v>
      </c>
      <c r="D60" s="2">
        <f>SUMIFS('Streaming Data (2024-2026)'!$J:$J,'Streaming Data (2024-2026)'!$D:$D,$C60,'Streaming Data (2024-2026)'!$E:$E,D$2)</f>
        <v>3107383</v>
      </c>
      <c r="E60" s="2">
        <f>SUMIFS('Streaming Data (2024-2026)'!$J:$J,'Streaming Data (2024-2026)'!$D:$D,$C60,'Streaming Data (2024-2026)'!$E:$E,E$2)</f>
        <v>2803160</v>
      </c>
      <c r="F60" s="2">
        <f>SUMIFS('Streaming Data (2024-2026)'!$J:$J,'Streaming Data (2024-2026)'!$D:$D,$C60,'Streaming Data (2024-2026)'!$E:$E,F$2)</f>
        <v>2919899</v>
      </c>
      <c r="G60" s="2">
        <f>SUMIFS('Streaming Data (2024-2026)'!$J:$J,'Streaming Data (2024-2026)'!$D:$D,$C60,'Streaming Data (2024-2026)'!$E:$E,G$2)</f>
        <v>2981199</v>
      </c>
      <c r="H60" s="2">
        <f>SUMIFS('Streaming Data (2024-2026)'!$J:$J,'Streaming Data (2024-2026)'!$D:$D,$C60,'Streaming Data (2024-2026)'!$E:$E,H$2)</f>
        <v>3133097</v>
      </c>
      <c r="I60" s="2">
        <f>SUMIFS('Streaming Data (2024-2026)'!$J:$J,'Streaming Data (2024-2026)'!$D:$D,$C60,'Streaming Data (2024-2026)'!$E:$E,I$2)</f>
        <v>2960217</v>
      </c>
      <c r="J60" s="2">
        <f>SUMIFS('Streaming Data (2024-2026)'!$J:$J,'Streaming Data (2024-2026)'!$D:$D,$C60,'Streaming Data (2024-2026)'!$E:$E,J$2)</f>
        <v>2828057</v>
      </c>
      <c r="L60" s="27">
        <f t="shared" si="19"/>
        <v>-9.7903283888725656E-2</v>
      </c>
      <c r="M60" s="28">
        <f t="shared" si="20"/>
        <v>4.1645500078482854E-2</v>
      </c>
      <c r="N60" s="28">
        <f t="shared" si="21"/>
        <v>2.099387684300039E-2</v>
      </c>
      <c r="O60" s="28">
        <f t="shared" si="22"/>
        <v>5.0951982742514002E-2</v>
      </c>
      <c r="P60" s="28">
        <f t="shared" si="23"/>
        <v>-5.5178629962621649E-2</v>
      </c>
      <c r="Q60" s="28">
        <f t="shared" si="24"/>
        <v>-4.4645375659960067E-2</v>
      </c>
      <c r="R60" s="28">
        <f t="shared" si="25"/>
        <v>-8.9891075544919957E-2</v>
      </c>
      <c r="S60" s="29">
        <f t="shared" si="27"/>
        <v>-1.5575919089464874E-2</v>
      </c>
    </row>
    <row r="61" spans="2:19" x14ac:dyDescent="0.2">
      <c r="B61" s="74">
        <f t="shared" si="26"/>
        <v>9</v>
      </c>
      <c r="C61" t="s">
        <v>479</v>
      </c>
      <c r="D61" s="2">
        <f>SUMIFS('Streaming Data (2024-2026)'!$J:$J,'Streaming Data (2024-2026)'!$D:$D,$C61,'Streaming Data (2024-2026)'!$E:$E,D$2)</f>
        <v>1836381</v>
      </c>
      <c r="E61" s="2">
        <f>SUMIFS('Streaming Data (2024-2026)'!$J:$J,'Streaming Data (2024-2026)'!$D:$D,$C61,'Streaming Data (2024-2026)'!$E:$E,E$2)</f>
        <v>1453762</v>
      </c>
      <c r="F61" s="2">
        <f>SUMIFS('Streaming Data (2024-2026)'!$J:$J,'Streaming Data (2024-2026)'!$D:$D,$C61,'Streaming Data (2024-2026)'!$E:$E,F$2)</f>
        <v>1765685</v>
      </c>
      <c r="G61" s="2">
        <f>SUMIFS('Streaming Data (2024-2026)'!$J:$J,'Streaming Data (2024-2026)'!$D:$D,$C61,'Streaming Data (2024-2026)'!$E:$E,G$2)</f>
        <v>1692872</v>
      </c>
      <c r="H61" s="2">
        <f>SUMIFS('Streaming Data (2024-2026)'!$J:$J,'Streaming Data (2024-2026)'!$D:$D,$C61,'Streaming Data (2024-2026)'!$E:$E,H$2)</f>
        <v>1621631</v>
      </c>
      <c r="I61" s="2">
        <f>SUMIFS('Streaming Data (2024-2026)'!$J:$J,'Streaming Data (2024-2026)'!$D:$D,$C61,'Streaming Data (2024-2026)'!$E:$E,I$2)</f>
        <v>1588643</v>
      </c>
      <c r="J61" s="2">
        <f>SUMIFS('Streaming Data (2024-2026)'!$J:$J,'Streaming Data (2024-2026)'!$D:$D,$C61,'Streaming Data (2024-2026)'!$E:$E,J$2)</f>
        <v>1602704</v>
      </c>
      <c r="L61" s="27">
        <f t="shared" si="19"/>
        <v>-0.20835491109960297</v>
      </c>
      <c r="M61" s="28">
        <f t="shared" si="20"/>
        <v>0.21456263129728251</v>
      </c>
      <c r="N61" s="28">
        <f t="shared" si="21"/>
        <v>-4.1237819882934949E-2</v>
      </c>
      <c r="O61" s="28">
        <f t="shared" si="22"/>
        <v>-4.2082921803893031E-2</v>
      </c>
      <c r="P61" s="28">
        <f t="shared" si="23"/>
        <v>-2.0342482352643729E-2</v>
      </c>
      <c r="Q61" s="28">
        <f t="shared" si="24"/>
        <v>8.8509501505372821E-3</v>
      </c>
      <c r="R61" s="28">
        <f t="shared" si="25"/>
        <v>-0.12724864829248397</v>
      </c>
      <c r="S61" s="29">
        <f t="shared" si="27"/>
        <v>-2.2428747667948001E-2</v>
      </c>
    </row>
    <row r="62" spans="2:19" x14ac:dyDescent="0.2">
      <c r="B62" s="74">
        <f t="shared" si="26"/>
        <v>10</v>
      </c>
      <c r="C62" t="s">
        <v>478</v>
      </c>
      <c r="D62" s="2">
        <f>SUMIFS('Streaming Data (2024-2026)'!$J:$J,'Streaming Data (2024-2026)'!$D:$D,$C62,'Streaming Data (2024-2026)'!$E:$E,D$2)</f>
        <v>2700767</v>
      </c>
      <c r="E62" s="2">
        <f>SUMIFS('Streaming Data (2024-2026)'!$J:$J,'Streaming Data (2024-2026)'!$D:$D,$C62,'Streaming Data (2024-2026)'!$E:$E,E$2)</f>
        <v>2134959</v>
      </c>
      <c r="F62" s="2">
        <f>SUMIFS('Streaming Data (2024-2026)'!$J:$J,'Streaming Data (2024-2026)'!$D:$D,$C62,'Streaming Data (2024-2026)'!$E:$E,F$2)</f>
        <v>2176559</v>
      </c>
      <c r="G62" s="2">
        <f>SUMIFS('Streaming Data (2024-2026)'!$J:$J,'Streaming Data (2024-2026)'!$D:$D,$C62,'Streaming Data (2024-2026)'!$E:$E,G$2)</f>
        <v>2250119</v>
      </c>
      <c r="H62" s="2">
        <f>SUMIFS('Streaming Data (2024-2026)'!$J:$J,'Streaming Data (2024-2026)'!$D:$D,$C62,'Streaming Data (2024-2026)'!$E:$E,H$2)</f>
        <v>2491708</v>
      </c>
      <c r="I62" s="2">
        <f>SUMIFS('Streaming Data (2024-2026)'!$J:$J,'Streaming Data (2024-2026)'!$D:$D,$C62,'Streaming Data (2024-2026)'!$E:$E,I$2)</f>
        <v>2405388</v>
      </c>
      <c r="J62" s="2">
        <f>SUMIFS('Streaming Data (2024-2026)'!$J:$J,'Streaming Data (2024-2026)'!$D:$D,$C62,'Streaming Data (2024-2026)'!$E:$E,J$2)</f>
        <v>2281763</v>
      </c>
      <c r="L62" s="27">
        <f t="shared" si="19"/>
        <v>-0.20949900528257343</v>
      </c>
      <c r="M62" s="28">
        <f t="shared" si="20"/>
        <v>1.9485151705489426E-2</v>
      </c>
      <c r="N62" s="28">
        <f t="shared" si="21"/>
        <v>3.3796464970625655E-2</v>
      </c>
      <c r="O62" s="28">
        <f t="shared" si="22"/>
        <v>0.10736721035643004</v>
      </c>
      <c r="P62" s="28">
        <f t="shared" si="23"/>
        <v>-3.4642903582602774E-2</v>
      </c>
      <c r="Q62" s="28">
        <f t="shared" si="24"/>
        <v>-5.1395034813510335E-2</v>
      </c>
      <c r="R62" s="28">
        <f t="shared" si="25"/>
        <v>-0.15514259467773414</v>
      </c>
      <c r="S62" s="29">
        <f t="shared" si="27"/>
        <v>-2.7706828108956083E-2</v>
      </c>
    </row>
    <row r="63" spans="2:19" x14ac:dyDescent="0.2">
      <c r="B63" s="74">
        <f t="shared" si="26"/>
        <v>11</v>
      </c>
      <c r="C63" t="s">
        <v>61</v>
      </c>
      <c r="D63" s="2">
        <f>SUMIFS('Streaming Data (2024-2026)'!$J:$J,'Streaming Data (2024-2026)'!$D:$D,$C63,'Streaming Data (2024-2026)'!$E:$E,D$2)</f>
        <v>679926</v>
      </c>
      <c r="E63" s="2">
        <f>SUMIFS('Streaming Data (2024-2026)'!$J:$J,'Streaming Data (2024-2026)'!$D:$D,$C63,'Streaming Data (2024-2026)'!$E:$E,E$2)</f>
        <v>539271</v>
      </c>
      <c r="F63" s="2">
        <f>SUMIFS('Streaming Data (2024-2026)'!$J:$J,'Streaming Data (2024-2026)'!$D:$D,$C63,'Streaming Data (2024-2026)'!$E:$E,F$2)</f>
        <v>565923</v>
      </c>
      <c r="G63" s="2">
        <f>SUMIFS('Streaming Data (2024-2026)'!$J:$J,'Streaming Data (2024-2026)'!$D:$D,$C63,'Streaming Data (2024-2026)'!$E:$E,G$2)</f>
        <v>601535</v>
      </c>
      <c r="H63" s="2">
        <f>SUMIFS('Streaming Data (2024-2026)'!$J:$J,'Streaming Data (2024-2026)'!$D:$D,$C63,'Streaming Data (2024-2026)'!$E:$E,H$2)</f>
        <v>609846</v>
      </c>
      <c r="I63" s="2">
        <f>SUMIFS('Streaming Data (2024-2026)'!$J:$J,'Streaming Data (2024-2026)'!$D:$D,$C63,'Streaming Data (2024-2026)'!$E:$E,I$2)</f>
        <v>584584</v>
      </c>
      <c r="J63" s="2">
        <f>SUMIFS('Streaming Data (2024-2026)'!$J:$J,'Streaming Data (2024-2026)'!$D:$D,$C63,'Streaming Data (2024-2026)'!$E:$E,J$2)</f>
        <v>565021</v>
      </c>
      <c r="L63" s="27">
        <f t="shared" si="19"/>
        <v>-0.20686810035209713</v>
      </c>
      <c r="M63" s="28">
        <f t="shared" si="20"/>
        <v>4.942227562765289E-2</v>
      </c>
      <c r="N63" s="28">
        <f t="shared" si="21"/>
        <v>6.2927288694751754E-2</v>
      </c>
      <c r="O63" s="28">
        <f t="shared" si="22"/>
        <v>1.381631991488442E-2</v>
      </c>
      <c r="P63" s="28">
        <f t="shared" si="23"/>
        <v>-4.1423572508469349E-2</v>
      </c>
      <c r="Q63" s="28">
        <f t="shared" si="24"/>
        <v>-3.3464822848384493E-2</v>
      </c>
      <c r="R63" s="28">
        <f t="shared" si="25"/>
        <v>-0.16899633195377145</v>
      </c>
      <c r="S63" s="29">
        <f t="shared" si="27"/>
        <v>-3.0382399680321748E-2</v>
      </c>
    </row>
    <row r="64" spans="2:19" x14ac:dyDescent="0.2">
      <c r="B64" s="74">
        <f t="shared" si="26"/>
        <v>12</v>
      </c>
      <c r="C64" t="s">
        <v>91</v>
      </c>
      <c r="D64" s="2">
        <f>SUMIFS('Streaming Data (2024-2026)'!$J:$J,'Streaming Data (2024-2026)'!$D:$D,$C64,'Streaming Data (2024-2026)'!$E:$E,D$2)</f>
        <v>1227036</v>
      </c>
      <c r="E64" s="2">
        <f>SUMIFS('Streaming Data (2024-2026)'!$J:$J,'Streaming Data (2024-2026)'!$D:$D,$C64,'Streaming Data (2024-2026)'!$E:$E,E$2)</f>
        <v>923213</v>
      </c>
      <c r="F64" s="2">
        <f>SUMIFS('Streaming Data (2024-2026)'!$J:$J,'Streaming Data (2024-2026)'!$D:$D,$C64,'Streaming Data (2024-2026)'!$E:$E,F$2)</f>
        <v>1328977</v>
      </c>
      <c r="G64" s="2">
        <f>SUMIFS('Streaming Data (2024-2026)'!$J:$J,'Streaming Data (2024-2026)'!$D:$D,$C64,'Streaming Data (2024-2026)'!$E:$E,G$2)</f>
        <v>1497840</v>
      </c>
      <c r="H64" s="2">
        <f>SUMIFS('Streaming Data (2024-2026)'!$J:$J,'Streaming Data (2024-2026)'!$D:$D,$C64,'Streaming Data (2024-2026)'!$E:$E,H$2)</f>
        <v>1296472</v>
      </c>
      <c r="I64" s="2">
        <f>SUMIFS('Streaming Data (2024-2026)'!$J:$J,'Streaming Data (2024-2026)'!$D:$D,$C64,'Streaming Data (2024-2026)'!$E:$E,I$2)</f>
        <v>1133849</v>
      </c>
      <c r="J64" s="2">
        <f>SUMIFS('Streaming Data (2024-2026)'!$J:$J,'Streaming Data (2024-2026)'!$D:$D,$C64,'Streaming Data (2024-2026)'!$E:$E,J$2)</f>
        <v>1000659</v>
      </c>
      <c r="L64" s="27">
        <f t="shared" si="19"/>
        <v>-0.24760724216730398</v>
      </c>
      <c r="M64" s="28">
        <f t="shared" si="20"/>
        <v>0.43951287514365589</v>
      </c>
      <c r="N64" s="28">
        <f t="shared" si="21"/>
        <v>0.12706239460878554</v>
      </c>
      <c r="O64" s="28">
        <f t="shared" si="22"/>
        <v>-0.134438925385889</v>
      </c>
      <c r="P64" s="28">
        <f t="shared" si="23"/>
        <v>-0.12543502674951715</v>
      </c>
      <c r="Q64" s="28">
        <f t="shared" si="24"/>
        <v>-0.11746714068628186</v>
      </c>
      <c r="R64" s="28">
        <f t="shared" si="25"/>
        <v>-0.18449091958182157</v>
      </c>
      <c r="S64" s="29">
        <f t="shared" si="27"/>
        <v>-3.3419268136383518E-2</v>
      </c>
    </row>
    <row r="65" spans="2:19" x14ac:dyDescent="0.2">
      <c r="B65" s="74">
        <f t="shared" si="26"/>
        <v>13</v>
      </c>
      <c r="C65" t="s">
        <v>32</v>
      </c>
      <c r="D65" s="2">
        <f>SUMIFS('Streaming Data (2024-2026)'!$J:$J,'Streaming Data (2024-2026)'!$D:$D,$C65,'Streaming Data (2024-2026)'!$E:$E,D$2)</f>
        <v>5767124</v>
      </c>
      <c r="E65" s="2">
        <f>SUMIFS('Streaming Data (2024-2026)'!$J:$J,'Streaming Data (2024-2026)'!$D:$D,$C65,'Streaming Data (2024-2026)'!$E:$E,E$2)</f>
        <v>5024432</v>
      </c>
      <c r="F65" s="2">
        <f>SUMIFS('Streaming Data (2024-2026)'!$J:$J,'Streaming Data (2024-2026)'!$D:$D,$C65,'Streaming Data (2024-2026)'!$E:$E,F$2)</f>
        <v>4893966</v>
      </c>
      <c r="G65" s="2">
        <f>SUMIFS('Streaming Data (2024-2026)'!$J:$J,'Streaming Data (2024-2026)'!$D:$D,$C65,'Streaming Data (2024-2026)'!$E:$E,G$2)</f>
        <v>4876913</v>
      </c>
      <c r="H65" s="2">
        <f>SUMIFS('Streaming Data (2024-2026)'!$J:$J,'Streaming Data (2024-2026)'!$D:$D,$C65,'Streaming Data (2024-2026)'!$E:$E,H$2)</f>
        <v>5149111</v>
      </c>
      <c r="I65" s="2">
        <f>SUMIFS('Streaming Data (2024-2026)'!$J:$J,'Streaming Data (2024-2026)'!$D:$D,$C65,'Streaming Data (2024-2026)'!$E:$E,I$2)</f>
        <v>4954074</v>
      </c>
      <c r="J65" s="2">
        <f>SUMIFS('Streaming Data (2024-2026)'!$J:$J,'Streaming Data (2024-2026)'!$D:$D,$C65,'Streaming Data (2024-2026)'!$E:$E,J$2)</f>
        <v>4697892</v>
      </c>
      <c r="L65" s="27">
        <f t="shared" si="19"/>
        <v>-0.12878030713402383</v>
      </c>
      <c r="M65" s="28">
        <f t="shared" si="20"/>
        <v>-2.5966318182831412E-2</v>
      </c>
      <c r="N65" s="28">
        <f t="shared" si="21"/>
        <v>-3.4844949883182678E-3</v>
      </c>
      <c r="O65" s="28">
        <f t="shared" si="22"/>
        <v>5.5813585356146396E-2</v>
      </c>
      <c r="P65" s="28">
        <f t="shared" si="23"/>
        <v>-3.7877800653355505E-2</v>
      </c>
      <c r="Q65" s="28">
        <f t="shared" si="24"/>
        <v>-5.171137936171321E-2</v>
      </c>
      <c r="R65" s="28">
        <f t="shared" si="25"/>
        <v>-0.18540125025922799</v>
      </c>
      <c r="S65" s="29">
        <f t="shared" si="27"/>
        <v>-3.3599179811650282E-2</v>
      </c>
    </row>
    <row r="66" spans="2:19" x14ac:dyDescent="0.2">
      <c r="B66" s="74">
        <f t="shared" si="26"/>
        <v>14</v>
      </c>
      <c r="C66" t="s">
        <v>58</v>
      </c>
      <c r="D66" s="2">
        <f>SUMIFS('Streaming Data (2024-2026)'!$J:$J,'Streaming Data (2024-2026)'!$D:$D,$C66,'Streaming Data (2024-2026)'!$E:$E,D$2)</f>
        <v>3021739</v>
      </c>
      <c r="E66" s="2">
        <f>SUMIFS('Streaming Data (2024-2026)'!$J:$J,'Streaming Data (2024-2026)'!$D:$D,$C66,'Streaming Data (2024-2026)'!$E:$E,E$2)</f>
        <v>2999632</v>
      </c>
      <c r="F66" s="2">
        <f>SUMIFS('Streaming Data (2024-2026)'!$J:$J,'Streaming Data (2024-2026)'!$D:$D,$C66,'Streaming Data (2024-2026)'!$E:$E,F$2)</f>
        <v>2893941</v>
      </c>
      <c r="G66" s="2">
        <f>SUMIFS('Streaming Data (2024-2026)'!$J:$J,'Streaming Data (2024-2026)'!$D:$D,$C66,'Streaming Data (2024-2026)'!$E:$E,G$2)</f>
        <v>2751291</v>
      </c>
      <c r="H66" s="2">
        <f>SUMIFS('Streaming Data (2024-2026)'!$J:$J,'Streaming Data (2024-2026)'!$D:$D,$C66,'Streaming Data (2024-2026)'!$E:$E,H$2)</f>
        <v>2646694</v>
      </c>
      <c r="I66" s="2">
        <f>SUMIFS('Streaming Data (2024-2026)'!$J:$J,'Streaming Data (2024-2026)'!$D:$D,$C66,'Streaming Data (2024-2026)'!$E:$E,I$2)</f>
        <v>2702464</v>
      </c>
      <c r="J66" s="2">
        <f>SUMIFS('Streaming Data (2024-2026)'!$J:$J,'Streaming Data (2024-2026)'!$D:$D,$C66,'Streaming Data (2024-2026)'!$E:$E,J$2)</f>
        <v>2454330</v>
      </c>
      <c r="L66" s="27">
        <f t="shared" si="19"/>
        <v>-7.3159859273087451E-3</v>
      </c>
      <c r="M66" s="28">
        <f t="shared" si="20"/>
        <v>-3.5234655451068665E-2</v>
      </c>
      <c r="N66" s="28">
        <f t="shared" si="21"/>
        <v>-4.9292642800941693E-2</v>
      </c>
      <c r="O66" s="28">
        <f t="shared" si="22"/>
        <v>-3.801742527417129E-2</v>
      </c>
      <c r="P66" s="28">
        <f t="shared" si="23"/>
        <v>2.1071570797379674E-2</v>
      </c>
      <c r="Q66" s="28">
        <f t="shared" si="24"/>
        <v>-9.1817689338322364E-2</v>
      </c>
      <c r="R66" s="28">
        <f t="shared" si="25"/>
        <v>-0.18777564839319347</v>
      </c>
      <c r="S66" s="29">
        <f t="shared" si="27"/>
        <v>-3.4069229657715749E-2</v>
      </c>
    </row>
    <row r="67" spans="2:19" x14ac:dyDescent="0.2">
      <c r="B67" s="74">
        <f t="shared" si="26"/>
        <v>15</v>
      </c>
      <c r="C67" t="s">
        <v>542</v>
      </c>
      <c r="D67" s="2">
        <f>SUMIFS('Streaming Data (2024-2026)'!$J:$J,'Streaming Data (2024-2026)'!$D:$D,$C67,'Streaming Data (2024-2026)'!$E:$E,D$2)</f>
        <v>1004213</v>
      </c>
      <c r="E67" s="2">
        <f>SUMIFS('Streaming Data (2024-2026)'!$J:$J,'Streaming Data (2024-2026)'!$D:$D,$C67,'Streaming Data (2024-2026)'!$E:$E,E$2)</f>
        <v>760737</v>
      </c>
      <c r="F67" s="2">
        <f>SUMIFS('Streaming Data (2024-2026)'!$J:$J,'Streaming Data (2024-2026)'!$D:$D,$C67,'Streaming Data (2024-2026)'!$E:$E,F$2)</f>
        <v>814445</v>
      </c>
      <c r="G67" s="2">
        <f>SUMIFS('Streaming Data (2024-2026)'!$J:$J,'Streaming Data (2024-2026)'!$D:$D,$C67,'Streaming Data (2024-2026)'!$E:$E,G$2)</f>
        <v>1057948</v>
      </c>
      <c r="H67" s="2">
        <f>SUMIFS('Streaming Data (2024-2026)'!$J:$J,'Streaming Data (2024-2026)'!$D:$D,$C67,'Streaming Data (2024-2026)'!$E:$E,H$2)</f>
        <v>920477</v>
      </c>
      <c r="I67" s="2">
        <f>SUMIFS('Streaming Data (2024-2026)'!$J:$J,'Streaming Data (2024-2026)'!$D:$D,$C67,'Streaming Data (2024-2026)'!$E:$E,I$2)</f>
        <v>861540</v>
      </c>
      <c r="J67" s="2">
        <f>SUMIFS('Streaming Data (2024-2026)'!$J:$J,'Streaming Data (2024-2026)'!$D:$D,$C67,'Streaming Data (2024-2026)'!$E:$E,J$2)</f>
        <v>806533</v>
      </c>
      <c r="L67" s="27">
        <f t="shared" si="19"/>
        <v>-0.24245453902707892</v>
      </c>
      <c r="M67" s="28">
        <f t="shared" si="20"/>
        <v>7.0599957672625363E-2</v>
      </c>
      <c r="N67" s="28">
        <f t="shared" si="21"/>
        <v>0.29898028718943576</v>
      </c>
      <c r="O67" s="28">
        <f t="shared" si="22"/>
        <v>-0.12994116913118603</v>
      </c>
      <c r="P67" s="28">
        <f t="shared" si="23"/>
        <v>-6.4028759002126068E-2</v>
      </c>
      <c r="Q67" s="28">
        <f t="shared" si="24"/>
        <v>-6.3847296701255885E-2</v>
      </c>
      <c r="R67" s="28">
        <f t="shared" si="25"/>
        <v>-0.19685066813514662</v>
      </c>
      <c r="S67" s="29">
        <f t="shared" si="27"/>
        <v>-3.5876392597890772E-2</v>
      </c>
    </row>
    <row r="68" spans="2:19" x14ac:dyDescent="0.2">
      <c r="B68" s="74">
        <f t="shared" si="26"/>
        <v>16</v>
      </c>
      <c r="C68" t="s">
        <v>41</v>
      </c>
      <c r="D68" s="2">
        <f>SUMIFS('Streaming Data (2024-2026)'!$J:$J,'Streaming Data (2024-2026)'!$D:$D,$C68,'Streaming Data (2024-2026)'!$E:$E,D$2)</f>
        <v>1992711</v>
      </c>
      <c r="E68" s="2">
        <f>SUMIFS('Streaming Data (2024-2026)'!$J:$J,'Streaming Data (2024-2026)'!$D:$D,$C68,'Streaming Data (2024-2026)'!$E:$E,E$2)</f>
        <v>1477085</v>
      </c>
      <c r="F68" s="2">
        <f>SUMIFS('Streaming Data (2024-2026)'!$J:$J,'Streaming Data (2024-2026)'!$D:$D,$C68,'Streaming Data (2024-2026)'!$E:$E,F$2)</f>
        <v>1364072</v>
      </c>
      <c r="G68" s="2">
        <f>SUMIFS('Streaming Data (2024-2026)'!$J:$J,'Streaming Data (2024-2026)'!$D:$D,$C68,'Streaming Data (2024-2026)'!$E:$E,G$2)</f>
        <v>1161051</v>
      </c>
      <c r="H68" s="2">
        <f>SUMIFS('Streaming Data (2024-2026)'!$J:$J,'Streaming Data (2024-2026)'!$D:$D,$C68,'Streaming Data (2024-2026)'!$E:$E,H$2)</f>
        <v>1593361</v>
      </c>
      <c r="I68" s="2">
        <f>SUMIFS('Streaming Data (2024-2026)'!$J:$J,'Streaming Data (2024-2026)'!$D:$D,$C68,'Streaming Data (2024-2026)'!$E:$E,I$2)</f>
        <v>1531331</v>
      </c>
      <c r="J68" s="2">
        <f>SUMIFS('Streaming Data (2024-2026)'!$J:$J,'Streaming Data (2024-2026)'!$D:$D,$C68,'Streaming Data (2024-2026)'!$E:$E,J$2)</f>
        <v>1470211</v>
      </c>
      <c r="L68" s="27">
        <f t="shared" si="19"/>
        <v>-0.25875603637456712</v>
      </c>
      <c r="M68" s="28">
        <f t="shared" si="20"/>
        <v>-7.6510830453223752E-2</v>
      </c>
      <c r="N68" s="28">
        <f t="shared" si="21"/>
        <v>-0.14883451899899713</v>
      </c>
      <c r="O68" s="28">
        <f t="shared" si="22"/>
        <v>0.37234367827080811</v>
      </c>
      <c r="P68" s="28">
        <f t="shared" si="23"/>
        <v>-3.8930286356952379E-2</v>
      </c>
      <c r="Q68" s="28">
        <f t="shared" si="24"/>
        <v>-3.9912990725062054E-2</v>
      </c>
      <c r="R68" s="28">
        <f t="shared" si="25"/>
        <v>-0.26220560833959367</v>
      </c>
      <c r="S68" s="29">
        <f t="shared" si="27"/>
        <v>-4.9418791032864284E-2</v>
      </c>
    </row>
    <row r="69" spans="2:19" x14ac:dyDescent="0.2">
      <c r="B69" s="74">
        <f t="shared" si="26"/>
        <v>17</v>
      </c>
      <c r="C69" t="s">
        <v>30</v>
      </c>
      <c r="D69" s="2">
        <f>SUMIFS('Streaming Data (2024-2026)'!$J:$J,'Streaming Data (2024-2026)'!$D:$D,$C69,'Streaming Data (2024-2026)'!$E:$E,D$2)</f>
        <v>2318011</v>
      </c>
      <c r="E69" s="2">
        <f>SUMIFS('Streaming Data (2024-2026)'!$J:$J,'Streaming Data (2024-2026)'!$D:$D,$C69,'Streaming Data (2024-2026)'!$E:$E,E$2)</f>
        <v>1859454</v>
      </c>
      <c r="F69" s="2">
        <f>SUMIFS('Streaming Data (2024-2026)'!$J:$J,'Streaming Data (2024-2026)'!$D:$D,$C69,'Streaming Data (2024-2026)'!$E:$E,F$2)</f>
        <v>1862357</v>
      </c>
      <c r="G69" s="2">
        <f>SUMIFS('Streaming Data (2024-2026)'!$J:$J,'Streaming Data (2024-2026)'!$D:$D,$C69,'Streaming Data (2024-2026)'!$E:$E,G$2)</f>
        <v>1848805</v>
      </c>
      <c r="H69" s="2">
        <f>SUMIFS('Streaming Data (2024-2026)'!$J:$J,'Streaming Data (2024-2026)'!$D:$D,$C69,'Streaming Data (2024-2026)'!$E:$E,H$2)</f>
        <v>1746310</v>
      </c>
      <c r="I69" s="2">
        <f>SUMIFS('Streaming Data (2024-2026)'!$J:$J,'Streaming Data (2024-2026)'!$D:$D,$C69,'Streaming Data (2024-2026)'!$E:$E,I$2)</f>
        <v>1671236</v>
      </c>
      <c r="J69" s="2">
        <f>SUMIFS('Streaming Data (2024-2026)'!$J:$J,'Streaming Data (2024-2026)'!$D:$D,$C69,'Streaming Data (2024-2026)'!$E:$E,J$2)</f>
        <v>1671453</v>
      </c>
      <c r="L69" s="27">
        <f t="shared" si="19"/>
        <v>-0.19782347883595031</v>
      </c>
      <c r="M69" s="28">
        <f t="shared" si="20"/>
        <v>1.5612109791368863E-3</v>
      </c>
      <c r="N69" s="28">
        <f t="shared" si="21"/>
        <v>-7.2768003127219967E-3</v>
      </c>
      <c r="O69" s="28">
        <f t="shared" si="22"/>
        <v>-5.5438512985414905E-2</v>
      </c>
      <c r="P69" s="28">
        <f t="shared" si="23"/>
        <v>-4.2990076217853647E-2</v>
      </c>
      <c r="Q69" s="28">
        <f t="shared" si="24"/>
        <v>1.2984401963576659E-4</v>
      </c>
      <c r="R69" s="28">
        <f t="shared" si="25"/>
        <v>-0.27892792570872182</v>
      </c>
      <c r="S69" s="29">
        <f t="shared" si="27"/>
        <v>-5.3044045141119711E-2</v>
      </c>
    </row>
    <row r="70" spans="2:19" x14ac:dyDescent="0.2">
      <c r="B70" s="74">
        <f t="shared" si="26"/>
        <v>18</v>
      </c>
      <c r="C70" t="s">
        <v>65</v>
      </c>
      <c r="D70" s="2">
        <f>SUMIFS('Streaming Data (2024-2026)'!$J:$J,'Streaming Data (2024-2026)'!$D:$D,$C70,'Streaming Data (2024-2026)'!$E:$E,D$2)</f>
        <v>2522992</v>
      </c>
      <c r="E70" s="2">
        <f>SUMIFS('Streaming Data (2024-2026)'!$J:$J,'Streaming Data (2024-2026)'!$D:$D,$C70,'Streaming Data (2024-2026)'!$E:$E,E$2)</f>
        <v>2225192</v>
      </c>
      <c r="F70" s="2">
        <f>SUMIFS('Streaming Data (2024-2026)'!$J:$J,'Streaming Data (2024-2026)'!$D:$D,$C70,'Streaming Data (2024-2026)'!$E:$E,F$2)</f>
        <v>2117560</v>
      </c>
      <c r="G70" s="2">
        <f>SUMIFS('Streaming Data (2024-2026)'!$J:$J,'Streaming Data (2024-2026)'!$D:$D,$C70,'Streaming Data (2024-2026)'!$E:$E,G$2)</f>
        <v>2016459</v>
      </c>
      <c r="H70" s="2">
        <f>SUMIFS('Streaming Data (2024-2026)'!$J:$J,'Streaming Data (2024-2026)'!$D:$D,$C70,'Streaming Data (2024-2026)'!$E:$E,H$2)</f>
        <v>1860358</v>
      </c>
      <c r="I70" s="2">
        <f>SUMIFS('Streaming Data (2024-2026)'!$J:$J,'Streaming Data (2024-2026)'!$D:$D,$C70,'Streaming Data (2024-2026)'!$E:$E,I$2)</f>
        <v>1723409</v>
      </c>
      <c r="J70" s="2">
        <f>SUMIFS('Streaming Data (2024-2026)'!$J:$J,'Streaming Data (2024-2026)'!$D:$D,$C70,'Streaming Data (2024-2026)'!$E:$E,J$2)</f>
        <v>1689667</v>
      </c>
      <c r="L70" s="27">
        <f t="shared" si="19"/>
        <v>-0.11803446067209092</v>
      </c>
      <c r="M70" s="28">
        <f t="shared" si="20"/>
        <v>-4.8369758654534079E-2</v>
      </c>
      <c r="N70" s="28">
        <f t="shared" si="21"/>
        <v>-4.7744101701958856E-2</v>
      </c>
      <c r="O70" s="28">
        <f t="shared" si="22"/>
        <v>-7.7413426209012925E-2</v>
      </c>
      <c r="P70" s="28">
        <f t="shared" si="23"/>
        <v>-7.3614325844810521E-2</v>
      </c>
      <c r="Q70" s="28">
        <f t="shared" si="24"/>
        <v>-1.9578637456343792E-2</v>
      </c>
      <c r="R70" s="28">
        <f t="shared" si="25"/>
        <v>-0.33029236715772387</v>
      </c>
      <c r="S70" s="29">
        <f t="shared" si="27"/>
        <v>-6.4635517801872155E-2</v>
      </c>
    </row>
    <row r="71" spans="2:19" x14ac:dyDescent="0.2">
      <c r="B71" s="74">
        <f t="shared" si="26"/>
        <v>19</v>
      </c>
      <c r="C71" t="s">
        <v>81</v>
      </c>
      <c r="D71" s="2">
        <f>SUMIFS('Streaming Data (2024-2026)'!$J:$J,'Streaming Data (2024-2026)'!$D:$D,$C71,'Streaming Data (2024-2026)'!$E:$E,D$2)</f>
        <v>1327278</v>
      </c>
      <c r="E71" s="2">
        <f>SUMIFS('Streaming Data (2024-2026)'!$J:$J,'Streaming Data (2024-2026)'!$D:$D,$C71,'Streaming Data (2024-2026)'!$E:$E,E$2)</f>
        <v>931874</v>
      </c>
      <c r="F71" s="2">
        <f>SUMIFS('Streaming Data (2024-2026)'!$J:$J,'Streaming Data (2024-2026)'!$D:$D,$C71,'Streaming Data (2024-2026)'!$E:$E,F$2)</f>
        <v>904853</v>
      </c>
      <c r="G71" s="2">
        <f>SUMIFS('Streaming Data (2024-2026)'!$J:$J,'Streaming Data (2024-2026)'!$D:$D,$C71,'Streaming Data (2024-2026)'!$E:$E,G$2)</f>
        <v>933950</v>
      </c>
      <c r="H71" s="2">
        <f>SUMIFS('Streaming Data (2024-2026)'!$J:$J,'Streaming Data (2024-2026)'!$D:$D,$C71,'Streaming Data (2024-2026)'!$E:$E,H$2)</f>
        <v>853676</v>
      </c>
      <c r="I71" s="2">
        <f>SUMIFS('Streaming Data (2024-2026)'!$J:$J,'Streaming Data (2024-2026)'!$D:$D,$C71,'Streaming Data (2024-2026)'!$E:$E,I$2)</f>
        <v>790594</v>
      </c>
      <c r="J71" s="2">
        <f>SUMIFS('Streaming Data (2024-2026)'!$J:$J,'Streaming Data (2024-2026)'!$D:$D,$C71,'Streaming Data (2024-2026)'!$E:$E,J$2)</f>
        <v>782871</v>
      </c>
      <c r="L71" s="27">
        <f t="shared" si="19"/>
        <v>-0.2979059398257185</v>
      </c>
      <c r="M71" s="28">
        <f t="shared" si="20"/>
        <v>-2.8996409385818253E-2</v>
      </c>
      <c r="N71" s="28">
        <f t="shared" si="21"/>
        <v>3.2156604442931613E-2</v>
      </c>
      <c r="O71" s="28">
        <f t="shared" si="22"/>
        <v>-8.5951068044327852E-2</v>
      </c>
      <c r="P71" s="28">
        <f t="shared" si="23"/>
        <v>-7.3894545471584069E-2</v>
      </c>
      <c r="Q71" s="28">
        <f t="shared" si="24"/>
        <v>-9.7686043658312613E-3</v>
      </c>
      <c r="R71" s="28">
        <f t="shared" si="25"/>
        <v>-0.41016802809961439</v>
      </c>
      <c r="S71" s="29">
        <f t="shared" si="27"/>
        <v>-8.4226543082867811E-2</v>
      </c>
    </row>
    <row r="72" spans="2:19" x14ac:dyDescent="0.2">
      <c r="B72" s="74">
        <f t="shared" si="26"/>
        <v>20</v>
      </c>
      <c r="C72" t="s">
        <v>49</v>
      </c>
      <c r="D72" s="2">
        <f>SUMIFS('Streaming Data (2024-2026)'!$J:$J,'Streaming Data (2024-2026)'!$D:$D,$C72,'Streaming Data (2024-2026)'!$E:$E,D$2)</f>
        <v>3447060</v>
      </c>
      <c r="E72" s="2">
        <f>SUMIFS('Streaming Data (2024-2026)'!$J:$J,'Streaming Data (2024-2026)'!$D:$D,$C72,'Streaming Data (2024-2026)'!$E:$E,E$2)</f>
        <v>2615929</v>
      </c>
      <c r="F72" s="2">
        <f>SUMIFS('Streaming Data (2024-2026)'!$J:$J,'Streaming Data (2024-2026)'!$D:$D,$C72,'Streaming Data (2024-2026)'!$E:$E,F$2)</f>
        <v>2286194</v>
      </c>
      <c r="G72" s="2">
        <f>SUMIFS('Streaming Data (2024-2026)'!$J:$J,'Streaming Data (2024-2026)'!$D:$D,$C72,'Streaming Data (2024-2026)'!$E:$E,G$2)</f>
        <v>2200482</v>
      </c>
      <c r="H72" s="2">
        <f>SUMIFS('Streaming Data (2024-2026)'!$J:$J,'Streaming Data (2024-2026)'!$D:$D,$C72,'Streaming Data (2024-2026)'!$E:$E,H$2)</f>
        <v>2264738</v>
      </c>
      <c r="I72" s="2">
        <f>SUMIFS('Streaming Data (2024-2026)'!$J:$J,'Streaming Data (2024-2026)'!$D:$D,$C72,'Streaming Data (2024-2026)'!$E:$E,I$2)</f>
        <v>2136262</v>
      </c>
      <c r="J72" s="2">
        <f>SUMIFS('Streaming Data (2024-2026)'!$J:$J,'Streaming Data (2024-2026)'!$D:$D,$C72,'Streaming Data (2024-2026)'!$E:$E,J$2)</f>
        <v>2014789</v>
      </c>
      <c r="L72" s="27">
        <f t="shared" si="19"/>
        <v>-0.24111300644607289</v>
      </c>
      <c r="M72" s="28">
        <f t="shared" si="20"/>
        <v>-0.12604891034886651</v>
      </c>
      <c r="N72" s="28">
        <f t="shared" si="21"/>
        <v>-3.7491131548766203E-2</v>
      </c>
      <c r="O72" s="28">
        <f t="shared" si="22"/>
        <v>2.9200875081004978E-2</v>
      </c>
      <c r="P72" s="28">
        <f t="shared" si="23"/>
        <v>-5.6728857819315082E-2</v>
      </c>
      <c r="Q72" s="28">
        <f t="shared" si="24"/>
        <v>-5.6862407326442169E-2</v>
      </c>
      <c r="R72" s="28">
        <f t="shared" si="25"/>
        <v>-0.41550509709723649</v>
      </c>
      <c r="S72" s="29">
        <f t="shared" si="27"/>
        <v>-8.5612834967651152E-2</v>
      </c>
    </row>
    <row r="73" spans="2:19" x14ac:dyDescent="0.2">
      <c r="L73" s="30"/>
      <c r="M73" s="31"/>
      <c r="N73" s="31"/>
      <c r="O73" s="31"/>
      <c r="P73" s="31"/>
      <c r="Q73" s="31"/>
      <c r="R73" s="31"/>
      <c r="S73" s="32"/>
    </row>
    <row r="75" spans="2:19" x14ac:dyDescent="0.2">
      <c r="D75" s="13" t="s">
        <v>697</v>
      </c>
      <c r="E75" s="14"/>
      <c r="F75" s="14"/>
      <c r="G75" s="14"/>
      <c r="H75" s="14"/>
      <c r="I75" s="14"/>
      <c r="J75" s="15"/>
      <c r="L75" s="19" t="s">
        <v>538</v>
      </c>
      <c r="M75" s="20"/>
      <c r="N75" s="20"/>
      <c r="O75" s="20"/>
      <c r="P75" s="20"/>
      <c r="Q75" s="20"/>
      <c r="R75" s="21"/>
      <c r="S75" s="63"/>
    </row>
    <row r="76" spans="2:19" x14ac:dyDescent="0.2">
      <c r="C76" s="60" t="s">
        <v>546</v>
      </c>
      <c r="D76" s="54" t="s">
        <v>549</v>
      </c>
      <c r="E76" s="54" t="s">
        <v>550</v>
      </c>
      <c r="F76" s="54" t="s">
        <v>551</v>
      </c>
      <c r="G76" s="54" t="s">
        <v>678</v>
      </c>
      <c r="H76" s="54" t="s">
        <v>497</v>
      </c>
      <c r="I76" s="54" t="s">
        <v>498</v>
      </c>
      <c r="J76" s="54" t="s">
        <v>532</v>
      </c>
      <c r="L76" s="56" t="s">
        <v>679</v>
      </c>
      <c r="M76" s="54" t="s">
        <v>680</v>
      </c>
      <c r="N76" s="54" t="s">
        <v>681</v>
      </c>
      <c r="O76" s="54" t="s">
        <v>682</v>
      </c>
      <c r="P76" s="52" t="s">
        <v>683</v>
      </c>
      <c r="Q76" s="52" t="s">
        <v>684</v>
      </c>
      <c r="R76" s="52" t="s">
        <v>552</v>
      </c>
      <c r="S76" s="62" t="s">
        <v>690</v>
      </c>
    </row>
    <row r="77" spans="2:19" x14ac:dyDescent="0.2">
      <c r="C77" t="s">
        <v>534</v>
      </c>
      <c r="D77" s="2">
        <f>SUMIFS('Streaming Data (2024-2026)'!$F:$F,'Streaming Data (2024-2026)'!$E:$E,D$2)</f>
        <v>33315543</v>
      </c>
      <c r="E77" s="2">
        <f>SUMIFS('Streaming Data (2024-2026)'!$F:$F,'Streaming Data (2024-2026)'!$E:$E,E$2)</f>
        <v>34120069</v>
      </c>
      <c r="F77" s="2">
        <f>SUMIFS('Streaming Data (2024-2026)'!$F:$F,'Streaming Data (2024-2026)'!$E:$E,F$2)</f>
        <v>34827169</v>
      </c>
      <c r="G77" s="2">
        <f>SUMIFS('Streaming Data (2024-2026)'!$F:$F,'Streaming Data (2024-2026)'!$E:$E,G$2)</f>
        <v>35781512</v>
      </c>
      <c r="H77" s="2">
        <f>SUMIFS('Streaming Data (2024-2026)'!$F:$F,'Streaming Data (2024-2026)'!$E:$E,H$2)</f>
        <v>36558470</v>
      </c>
      <c r="I77" s="2">
        <f>SUMIFS('Streaming Data (2024-2026)'!$F:$F,'Streaming Data (2024-2026)'!$E:$E,I$2)</f>
        <v>37376324</v>
      </c>
      <c r="J77" s="2">
        <f>SUMIFS('Streaming Data (2024-2026)'!$F:$F,'Streaming Data (2024-2026)'!$E:$E,J$2)</f>
        <v>38116082</v>
      </c>
      <c r="L77" s="27">
        <f t="shared" ref="L77:Q79" si="28">IFERROR((E77-D77)/D77,0)</f>
        <v>2.4148668385804189E-2</v>
      </c>
      <c r="M77" s="28">
        <f t="shared" si="28"/>
        <v>2.0723873682670455E-2</v>
      </c>
      <c r="N77" s="28">
        <f t="shared" si="28"/>
        <v>2.7402255980094162E-2</v>
      </c>
      <c r="O77" s="28">
        <f t="shared" si="28"/>
        <v>2.1713951048239661E-2</v>
      </c>
      <c r="P77" s="28">
        <f t="shared" si="28"/>
        <v>2.2371122205059456E-2</v>
      </c>
      <c r="Q77" s="28">
        <f t="shared" si="28"/>
        <v>1.9792155055162727E-2</v>
      </c>
      <c r="R77" s="28">
        <f>IFERROR((J77-D77)/D77,0)</f>
        <v>0.1440930739144789</v>
      </c>
      <c r="S77" s="64">
        <f>(J77/D77)^(1/6)-1</f>
        <v>2.2688940409175906E-2</v>
      </c>
    </row>
    <row r="78" spans="2:19" x14ac:dyDescent="0.2">
      <c r="C78" t="s">
        <v>535</v>
      </c>
      <c r="D78" s="2">
        <f>SUMIFS('Streaming Data (2024-2026)'!$H:$H,'Streaming Data (2024-2026)'!$E:$E,D$2)</f>
        <v>6467942154</v>
      </c>
      <c r="E78" s="2">
        <f>SUMIFS('Streaming Data (2024-2026)'!$H:$H,'Streaming Data (2024-2026)'!$E:$E,E$2)</f>
        <v>6718991334</v>
      </c>
      <c r="F78" s="2">
        <f>SUMIFS('Streaming Data (2024-2026)'!$H:$H,'Streaming Data (2024-2026)'!$E:$E,F$2)</f>
        <v>7037749917</v>
      </c>
      <c r="G78" s="2">
        <f>SUMIFS('Streaming Data (2024-2026)'!$H:$H,'Streaming Data (2024-2026)'!$E:$E,G$2)</f>
        <v>7278601259</v>
      </c>
      <c r="H78" s="2">
        <f>SUMIFS('Streaming Data (2024-2026)'!$H:$H,'Streaming Data (2024-2026)'!$E:$E,H$2)</f>
        <v>7519263867</v>
      </c>
      <c r="I78" s="2">
        <f>SUMIFS('Streaming Data (2024-2026)'!$H:$H,'Streaming Data (2024-2026)'!$E:$E,I$2)</f>
        <v>7760992208</v>
      </c>
      <c r="J78" s="2">
        <f>SUMIFS('Streaming Data (2024-2026)'!$H:$H,'Streaming Data (2024-2026)'!$E:$E,J$2)</f>
        <v>7980090839</v>
      </c>
      <c r="L78" s="27">
        <f t="shared" si="28"/>
        <v>3.8814382383544122E-2</v>
      </c>
      <c r="M78" s="28">
        <f t="shared" si="28"/>
        <v>4.7441433863293025E-2</v>
      </c>
      <c r="N78" s="28">
        <f t="shared" si="28"/>
        <v>3.4222776432878466E-2</v>
      </c>
      <c r="O78" s="28">
        <f t="shared" si="28"/>
        <v>3.3064403370416863E-2</v>
      </c>
      <c r="P78" s="28">
        <f t="shared" si="28"/>
        <v>3.2147873152966452E-2</v>
      </c>
      <c r="Q78" s="28">
        <f t="shared" si="28"/>
        <v>2.8230750028862803E-2</v>
      </c>
      <c r="R78" s="28">
        <f>IFERROR((J78-D78)/D78,0)</f>
        <v>0.23379131244469073</v>
      </c>
      <c r="S78" s="64">
        <f t="shared" ref="S78:S79" si="29">(J78/D78)^(1/6)-1</f>
        <v>3.5635553292932221E-2</v>
      </c>
    </row>
    <row r="79" spans="2:19" x14ac:dyDescent="0.2">
      <c r="C79" t="s">
        <v>536</v>
      </c>
      <c r="D79" s="2">
        <f>SUMIFS('Streaming Data (2024-2026)'!$J:$J,'Streaming Data (2024-2026)'!$E:$E,D$2)</f>
        <v>45254548</v>
      </c>
      <c r="E79" s="2">
        <f>SUMIFS('Streaming Data (2024-2026)'!$J:$J,'Streaming Data (2024-2026)'!$E:$E,E$2)</f>
        <v>38671155</v>
      </c>
      <c r="F79" s="2">
        <f>SUMIFS('Streaming Data (2024-2026)'!$J:$J,'Streaming Data (2024-2026)'!$E:$E,F$2)</f>
        <v>38997960</v>
      </c>
      <c r="G79" s="2">
        <f>SUMIFS('Streaming Data (2024-2026)'!$J:$J,'Streaming Data (2024-2026)'!$E:$E,G$2)</f>
        <v>41037949</v>
      </c>
      <c r="H79" s="2">
        <f>SUMIFS('Streaming Data (2024-2026)'!$J:$J,'Streaming Data (2024-2026)'!$E:$E,H$2)</f>
        <v>42093714</v>
      </c>
      <c r="I79" s="2">
        <f>SUMIFS('Streaming Data (2024-2026)'!$J:$J,'Streaming Data (2024-2026)'!$E:$E,I$2)</f>
        <v>42519841</v>
      </c>
      <c r="J79" s="2">
        <f>SUMIFS('Streaming Data (2024-2026)'!$J:$J,'Streaming Data (2024-2026)'!$E:$E,J$2)</f>
        <v>41355267</v>
      </c>
      <c r="L79" s="27">
        <f t="shared" si="28"/>
        <v>-0.14547472665067829</v>
      </c>
      <c r="M79" s="28">
        <f t="shared" si="28"/>
        <v>8.4508724913957192E-3</v>
      </c>
      <c r="N79" s="28">
        <f t="shared" si="28"/>
        <v>5.2310146479456872E-2</v>
      </c>
      <c r="O79" s="28">
        <f t="shared" si="28"/>
        <v>2.572655373201034E-2</v>
      </c>
      <c r="P79" s="28">
        <f t="shared" si="28"/>
        <v>1.0123292993343377E-2</v>
      </c>
      <c r="Q79" s="28">
        <f t="shared" si="28"/>
        <v>-2.7388954723513666E-2</v>
      </c>
      <c r="R79" s="28">
        <f>IFERROR((J79-D79)/D79,0)</f>
        <v>-8.6163295675829088E-2</v>
      </c>
      <c r="S79" s="64">
        <f t="shared" si="29"/>
        <v>-1.4905034380662263E-2</v>
      </c>
    </row>
    <row r="80" spans="2:19" x14ac:dyDescent="0.2">
      <c r="L80" s="30"/>
      <c r="M80" s="31"/>
      <c r="N80" s="31"/>
      <c r="O80" s="31"/>
      <c r="P80" s="31"/>
      <c r="Q80" s="31"/>
      <c r="R80" s="31"/>
      <c r="S80" s="32"/>
    </row>
    <row r="83" spans="3:3" ht="24" x14ac:dyDescent="0.3">
      <c r="C83" s="42" t="s">
        <v>688</v>
      </c>
    </row>
    <row r="84" spans="3:3" x14ac:dyDescent="0.2">
      <c r="C84" s="1"/>
    </row>
    <row r="85" spans="3:3" x14ac:dyDescent="0.2">
      <c r="C85" s="1" t="s">
        <v>685</v>
      </c>
    </row>
    <row r="87" spans="3:3" x14ac:dyDescent="0.2">
      <c r="C87" s="1" t="s">
        <v>686</v>
      </c>
    </row>
    <row r="89" spans="3:3" x14ac:dyDescent="0.2">
      <c r="C89" s="1" t="s">
        <v>687</v>
      </c>
    </row>
    <row r="91" spans="3:3" x14ac:dyDescent="0.2">
      <c r="C91" t="s">
        <v>689</v>
      </c>
    </row>
  </sheetData>
  <sortState xmlns:xlrd2="http://schemas.microsoft.com/office/spreadsheetml/2017/richdata2" ref="C53:R72">
    <sortCondition descending="1" ref="R53:R72"/>
  </sortState>
  <conditionalFormatting sqref="L5:L24">
    <cfRule type="colorScale" priority="59">
      <colorScale>
        <cfvo type="min"/>
        <cfvo type="max"/>
        <color rgb="FFFCFCFF"/>
        <color rgb="FF63BE7B"/>
      </colorScale>
    </cfRule>
  </conditionalFormatting>
  <conditionalFormatting sqref="R5:R24">
    <cfRule type="colorScale" priority="56">
      <colorScale>
        <cfvo type="min"/>
        <cfvo type="max"/>
        <color rgb="FFFCFCFF"/>
        <color rgb="FF63BE7B"/>
      </colorScale>
    </cfRule>
  </conditionalFormatting>
  <conditionalFormatting sqref="Q5:Q24">
    <cfRule type="colorScale" priority="46">
      <colorScale>
        <cfvo type="min"/>
        <cfvo type="max"/>
        <color rgb="FFFCFCFF"/>
        <color rgb="FF63BE7B"/>
      </colorScale>
    </cfRule>
  </conditionalFormatting>
  <conditionalFormatting sqref="M5:M24">
    <cfRule type="colorScale" priority="31">
      <colorScale>
        <cfvo type="min"/>
        <cfvo type="max"/>
        <color rgb="FFFCFCFF"/>
        <color rgb="FF63BE7B"/>
      </colorScale>
    </cfRule>
  </conditionalFormatting>
  <conditionalFormatting sqref="N5:N24">
    <cfRule type="colorScale" priority="30">
      <colorScale>
        <cfvo type="min"/>
        <cfvo type="max"/>
        <color rgb="FFFCFCFF"/>
        <color rgb="FF63BE7B"/>
      </colorScale>
    </cfRule>
  </conditionalFormatting>
  <conditionalFormatting sqref="O5:O24">
    <cfRule type="colorScale" priority="29">
      <colorScale>
        <cfvo type="min"/>
        <cfvo type="max"/>
        <color rgb="FFFCFCFF"/>
        <color rgb="FF63BE7B"/>
      </colorScale>
    </cfRule>
  </conditionalFormatting>
  <conditionalFormatting sqref="P5:P24">
    <cfRule type="colorScale" priority="20">
      <colorScale>
        <cfvo type="min"/>
        <cfvo type="max"/>
        <color rgb="FFFCFCFF"/>
        <color rgb="FF63BE7B"/>
      </colorScale>
    </cfRule>
  </conditionalFormatting>
  <conditionalFormatting sqref="L29:L48">
    <cfRule type="colorScale" priority="18">
      <colorScale>
        <cfvo type="min"/>
        <cfvo type="max"/>
        <color rgb="FFFCFCFF"/>
        <color rgb="FF63BE7B"/>
      </colorScale>
    </cfRule>
  </conditionalFormatting>
  <conditionalFormatting sqref="R29:R48">
    <cfRule type="colorScale" priority="17">
      <colorScale>
        <cfvo type="min"/>
        <cfvo type="max"/>
        <color rgb="FFFCFCFF"/>
        <color rgb="FF63BE7B"/>
      </colorScale>
    </cfRule>
  </conditionalFormatting>
  <conditionalFormatting sqref="Q29:Q48">
    <cfRule type="colorScale" priority="16">
      <colorScale>
        <cfvo type="min"/>
        <cfvo type="max"/>
        <color rgb="FFFCFCFF"/>
        <color rgb="FF63BE7B"/>
      </colorScale>
    </cfRule>
  </conditionalFormatting>
  <conditionalFormatting sqref="M29:M48">
    <cfRule type="colorScale" priority="15">
      <colorScale>
        <cfvo type="min"/>
        <cfvo type="max"/>
        <color rgb="FFFCFCFF"/>
        <color rgb="FF63BE7B"/>
      </colorScale>
    </cfRule>
  </conditionalFormatting>
  <conditionalFormatting sqref="N29:N48">
    <cfRule type="colorScale" priority="14">
      <colorScale>
        <cfvo type="min"/>
        <cfvo type="max"/>
        <color rgb="FFFCFCFF"/>
        <color rgb="FF63BE7B"/>
      </colorScale>
    </cfRule>
  </conditionalFormatting>
  <conditionalFormatting sqref="O29:O48">
    <cfRule type="colorScale" priority="13">
      <colorScale>
        <cfvo type="min"/>
        <cfvo type="max"/>
        <color rgb="FFFCFCFF"/>
        <color rgb="FF63BE7B"/>
      </colorScale>
    </cfRule>
  </conditionalFormatting>
  <conditionalFormatting sqref="P29:P48">
    <cfRule type="colorScale" priority="12">
      <colorScale>
        <cfvo type="min"/>
        <cfvo type="max"/>
        <color rgb="FFFCFCFF"/>
        <color rgb="FF63BE7B"/>
      </colorScale>
    </cfRule>
  </conditionalFormatting>
  <conditionalFormatting sqref="L53:L72">
    <cfRule type="colorScale" priority="10">
      <colorScale>
        <cfvo type="min"/>
        <cfvo type="max"/>
        <color rgb="FFFCFCFF"/>
        <color rgb="FF63BE7B"/>
      </colorScale>
    </cfRule>
  </conditionalFormatting>
  <conditionalFormatting sqref="R53:R72">
    <cfRule type="colorScale" priority="9">
      <colorScale>
        <cfvo type="min"/>
        <cfvo type="max"/>
        <color rgb="FFFCFCFF"/>
        <color rgb="FF63BE7B"/>
      </colorScale>
    </cfRule>
  </conditionalFormatting>
  <conditionalFormatting sqref="Q53:Q72">
    <cfRule type="colorScale" priority="8">
      <colorScale>
        <cfvo type="min"/>
        <cfvo type="max"/>
        <color rgb="FFFCFCFF"/>
        <color rgb="FF63BE7B"/>
      </colorScale>
    </cfRule>
  </conditionalFormatting>
  <conditionalFormatting sqref="M53:M72">
    <cfRule type="colorScale" priority="7">
      <colorScale>
        <cfvo type="min"/>
        <cfvo type="max"/>
        <color rgb="FFFCFCFF"/>
        <color rgb="FF63BE7B"/>
      </colorScale>
    </cfRule>
  </conditionalFormatting>
  <conditionalFormatting sqref="N53:N72">
    <cfRule type="colorScale" priority="6">
      <colorScale>
        <cfvo type="min"/>
        <cfvo type="max"/>
        <color rgb="FFFCFCFF"/>
        <color rgb="FF63BE7B"/>
      </colorScale>
    </cfRule>
  </conditionalFormatting>
  <conditionalFormatting sqref="O53:O72">
    <cfRule type="colorScale" priority="5">
      <colorScale>
        <cfvo type="min"/>
        <cfvo type="max"/>
        <color rgb="FFFCFCFF"/>
        <color rgb="FF63BE7B"/>
      </colorScale>
    </cfRule>
  </conditionalFormatting>
  <conditionalFormatting sqref="P53:P72">
    <cfRule type="colorScale" priority="4">
      <colorScale>
        <cfvo type="min"/>
        <cfvo type="max"/>
        <color rgb="FFFCFCFF"/>
        <color rgb="FF63BE7B"/>
      </colorScale>
    </cfRule>
  </conditionalFormatting>
  <conditionalFormatting sqref="S53:S72">
    <cfRule type="colorScale" priority="3">
      <colorScale>
        <cfvo type="min"/>
        <cfvo type="max"/>
        <color rgb="FFFCFCFF"/>
        <color rgb="FF63BE7B"/>
      </colorScale>
    </cfRule>
  </conditionalFormatting>
  <conditionalFormatting sqref="S29:S48">
    <cfRule type="colorScale" priority="2">
      <colorScale>
        <cfvo type="min"/>
        <cfvo type="max"/>
        <color rgb="FFFCFCFF"/>
        <color rgb="FF63BE7B"/>
      </colorScale>
    </cfRule>
  </conditionalFormatting>
  <conditionalFormatting sqref="S5:S24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U8" xr:uid="{1B3E2C66-7DBC-4446-A4D6-295B96849851}">
      <formula1>$C$5:$C$24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94C2-5224-8B42-AB09-4AC9B74AE886}">
  <sheetPr>
    <tabColor theme="9" tint="0.39997558519241921"/>
  </sheetPr>
  <dimension ref="B2:AC92"/>
  <sheetViews>
    <sheetView showGridLines="0" tabSelected="1" zoomScale="171" zoomScaleNormal="108" workbookViewId="0">
      <pane xSplit="3" topLeftCell="K1" activePane="topRight" state="frozen"/>
      <selection activeCell="A57" sqref="A57"/>
      <selection pane="topRight" activeCell="L18" sqref="L18"/>
    </sheetView>
  </sheetViews>
  <sheetFormatPr baseColWidth="10" defaultRowHeight="16" x14ac:dyDescent="0.2"/>
  <cols>
    <col min="2" max="2" width="20.33203125" bestFit="1" customWidth="1"/>
    <col min="3" max="3" width="15.6640625" bestFit="1" customWidth="1"/>
    <col min="4" max="4" width="14.33203125" bestFit="1" customWidth="1"/>
    <col min="5" max="7" width="14.33203125" customWidth="1"/>
    <col min="8" max="8" width="15.1640625" bestFit="1" customWidth="1"/>
    <col min="9" max="10" width="15.1640625" customWidth="1"/>
    <col min="12" max="12" width="11.33203125" bestFit="1" customWidth="1"/>
    <col min="13" max="14" width="11.33203125" customWidth="1"/>
    <col min="15" max="15" width="11.33203125" bestFit="1" customWidth="1"/>
    <col min="16" max="17" width="11.33203125" customWidth="1"/>
    <col min="19" max="19" width="15.83203125" bestFit="1" customWidth="1"/>
    <col min="21" max="21" width="12.5" bestFit="1" customWidth="1"/>
    <col min="22" max="22" width="20.83203125" customWidth="1"/>
    <col min="23" max="23" width="18.6640625" customWidth="1"/>
    <col min="24" max="24" width="27.6640625" customWidth="1"/>
  </cols>
  <sheetData>
    <row r="2" spans="2:29" x14ac:dyDescent="0.2">
      <c r="D2" s="39" t="d">
        <v>2026-01-01</v>
      </c>
      <c r="E2" s="39" t="d">
        <v>2026-02-01</v>
      </c>
      <c r="F2" s="39" t="d">
        <v>2026-03-01</v>
      </c>
      <c r="G2" s="39" t="d">
        <v>2026-04-01</v>
      </c>
      <c r="H2" s="39" t="d">
        <v>2026-05-01</v>
      </c>
      <c r="I2" s="39" t="d">
        <v>2026-06-01</v>
      </c>
      <c r="J2" s="39" t="d">
        <v>2026-07-01</v>
      </c>
    </row>
    <row r="3" spans="2:29" x14ac:dyDescent="0.2">
      <c r="D3" s="16" t="s">
        <v>499</v>
      </c>
      <c r="E3" s="17"/>
      <c r="F3" s="17"/>
      <c r="G3" s="17"/>
      <c r="H3" s="17"/>
      <c r="I3" s="17"/>
      <c r="J3" s="18"/>
      <c r="L3" s="19" t="s">
        <v>699</v>
      </c>
      <c r="M3" s="20"/>
      <c r="N3" s="20"/>
      <c r="O3" s="20"/>
      <c r="P3" s="20"/>
      <c r="Q3" s="20"/>
      <c r="R3" s="21"/>
      <c r="S3" s="61"/>
    </row>
    <row r="4" spans="2:29" x14ac:dyDescent="0.2">
      <c r="C4" s="60" t="s">
        <v>480</v>
      </c>
      <c r="D4" s="54" t="s">
        <v>549</v>
      </c>
      <c r="E4" s="54" t="s">
        <v>550</v>
      </c>
      <c r="F4" s="54" t="s">
        <v>551</v>
      </c>
      <c r="G4" s="54" t="s">
        <v>678</v>
      </c>
      <c r="H4" s="54" t="s">
        <v>497</v>
      </c>
      <c r="I4" s="54" t="s">
        <v>498</v>
      </c>
      <c r="J4" s="54" t="s">
        <v>532</v>
      </c>
      <c r="L4" s="56" t="s">
        <v>679</v>
      </c>
      <c r="M4" s="54" t="s">
        <v>680</v>
      </c>
      <c r="N4" s="54" t="s">
        <v>681</v>
      </c>
      <c r="O4" s="54" t="s">
        <v>682</v>
      </c>
      <c r="P4" s="54" t="s">
        <v>683</v>
      </c>
      <c r="Q4" s="54" t="s">
        <v>684</v>
      </c>
      <c r="R4" s="52" t="s">
        <v>552</v>
      </c>
      <c r="S4" s="62" t="s">
        <v>690</v>
      </c>
    </row>
    <row r="5" spans="2:29" x14ac:dyDescent="0.2">
      <c r="B5" s="74">
        <f>RANK(S5,$S$5:$S$12,0)</f>
        <v>1</v>
      </c>
      <c r="C5" t="s">
        <v>134</v>
      </c>
      <c r="D5" s="2">
        <f>SUMIFS('Streaming Data (2024-2026)'!$F:$F,'Streaming Data (2024-2026)'!$D:$D,$C5,'Streaming Data (2024-2026)'!$E:$E,D$2)</f>
        <v>186510</v>
      </c>
      <c r="E5" s="2">
        <f>SUMIFS('Streaming Data (2024-2026)'!$F:$F,'Streaming Data (2024-2026)'!$D:$D,$C5,'Streaming Data (2024-2026)'!$E:$E,E$2)</f>
        <v>218371</v>
      </c>
      <c r="F5" s="2">
        <f>SUMIFS('Streaming Data (2024-2026)'!$F:$F,'Streaming Data (2024-2026)'!$D:$D,$C5,'Streaming Data (2024-2026)'!$E:$E,F$2)</f>
        <v>247716</v>
      </c>
      <c r="G5" s="2">
        <f>SUMIFS('Streaming Data (2024-2026)'!$F:$F,'Streaming Data (2024-2026)'!$D:$D,$C5,'Streaming Data (2024-2026)'!$E:$E,G$2)</f>
        <v>281039</v>
      </c>
      <c r="H5" s="2">
        <f>SUMIFS('Streaming Data (2024-2026)'!$F:$F,'Streaming Data (2024-2026)'!$D:$D,$C5,'Streaming Data (2024-2026)'!$E:$E,H$2)</f>
        <v>326254</v>
      </c>
      <c r="I5" s="2">
        <f>SUMIFS('Streaming Data (2024-2026)'!$F:$F,'Streaming Data (2024-2026)'!$D:$D,$C5,'Streaming Data (2024-2026)'!$E:$E,I$2)</f>
        <v>361146</v>
      </c>
      <c r="J5" s="2">
        <f>SUMIFS('Streaming Data (2024-2026)'!$F:$F,'Streaming Data (2024-2026)'!$D:$D,$C5,'Streaming Data (2024-2026)'!$E:$E,J$2)</f>
        <v>397115</v>
      </c>
      <c r="L5" s="27">
        <f>IFERROR((E5-D5)/D5,0)</f>
        <v>0.17082730148517505</v>
      </c>
      <c r="M5" s="28">
        <f>IFERROR((F5-E5)/E5,0)</f>
        <v>0.13438139679719377</v>
      </c>
      <c r="N5" s="28">
        <f>IFERROR((G5-F5)/F5,0)</f>
        <v>0.13452098370714852</v>
      </c>
      <c r="O5" s="28">
        <f>IFERROR((H5-G5)/G5,0)</f>
        <v>0.16088514405473972</v>
      </c>
      <c r="P5" s="28">
        <f>IFERROR((I5-H5)/H5,0)</f>
        <v>0.10694734777198134</v>
      </c>
      <c r="Q5" s="28">
        <f>IFERROR((J5-I5)/I5,0)</f>
        <v>9.9596838951559755E-2</v>
      </c>
      <c r="R5" s="28">
        <f>IFERROR((J5-D5)/D5,0)</f>
        <v>1.129188783443247</v>
      </c>
      <c r="S5" s="29">
        <f>IFERROR((J5/D5)^(1/6)-1,0)</f>
        <v>0.13423321643094677</v>
      </c>
      <c r="AA5" s="40" t="s">
        <v>547</v>
      </c>
      <c r="AB5" s="40" t="s">
        <v>548</v>
      </c>
      <c r="AC5" s="40"/>
    </row>
    <row r="6" spans="2:29" x14ac:dyDescent="0.2">
      <c r="B6" s="74">
        <f t="shared" ref="B6:B12" si="0">RANK(S6,$S$5:$S$12,0)</f>
        <v>2</v>
      </c>
      <c r="C6" t="s">
        <v>65</v>
      </c>
      <c r="D6" s="2">
        <f>SUMIFS('Streaming Data (2024-2026)'!$F:$F,'Streaming Data (2024-2026)'!$D:$D,$C6,'Streaming Data (2024-2026)'!$E:$E,D$2)</f>
        <v>881192</v>
      </c>
      <c r="E6" s="2">
        <f>SUMIFS('Streaming Data (2024-2026)'!$F:$F,'Streaming Data (2024-2026)'!$D:$D,$C6,'Streaming Data (2024-2026)'!$E:$E,E$2)</f>
        <v>935319</v>
      </c>
      <c r="F6" s="2">
        <f>SUMIFS('Streaming Data (2024-2026)'!$F:$F,'Streaming Data (2024-2026)'!$D:$D,$C6,'Streaming Data (2024-2026)'!$E:$E,F$2)</f>
        <v>1003581</v>
      </c>
      <c r="G6" s="2">
        <f>SUMIFS('Streaming Data (2024-2026)'!$F:$F,'Streaming Data (2024-2026)'!$D:$D,$C6,'Streaming Data (2024-2026)'!$E:$E,G$2)</f>
        <v>1057215</v>
      </c>
      <c r="H6" s="2">
        <f>SUMIFS('Streaming Data (2024-2026)'!$F:$F,'Streaming Data (2024-2026)'!$D:$D,$C6,'Streaming Data (2024-2026)'!$E:$E,H$2)</f>
        <v>1128567</v>
      </c>
      <c r="I6" s="2">
        <f>SUMIFS('Streaming Data (2024-2026)'!$F:$F,'Streaming Data (2024-2026)'!$D:$D,$C6,'Streaming Data (2024-2026)'!$E:$E,I$2)</f>
        <v>1191790</v>
      </c>
      <c r="J6" s="2">
        <f>SUMIFS('Streaming Data (2024-2026)'!$F:$F,'Streaming Data (2024-2026)'!$D:$D,$C6,'Streaming Data (2024-2026)'!$E:$E,J$2)</f>
        <v>1273152</v>
      </c>
      <c r="L6" s="27">
        <f>IFERROR((E6-D6)/D6,0)</f>
        <v>6.1424751926935334E-2</v>
      </c>
      <c r="M6" s="28">
        <f>IFERROR((F6-E6)/E6,0)</f>
        <v>7.2982586689674861E-2</v>
      </c>
      <c r="N6" s="28">
        <f>IFERROR((G6-F6)/F6,0)</f>
        <v>5.3442621970722838E-2</v>
      </c>
      <c r="O6" s="28">
        <f>IFERROR((H6-G6)/G6,0)</f>
        <v>6.7490529362523227E-2</v>
      </c>
      <c r="P6" s="28">
        <f>IFERROR((I6-H6)/H6,0)</f>
        <v>5.6020599574504656E-2</v>
      </c>
      <c r="Q6" s="28">
        <f>IFERROR((J6-I6)/I6,0)</f>
        <v>6.8268738620058902E-2</v>
      </c>
      <c r="R6" s="28">
        <f>IFERROR((J6-D6)/D6,0)</f>
        <v>0.4448065801777592</v>
      </c>
      <c r="S6" s="29">
        <f>IFERROR((J6/D6)^(1/6)-1,0)</f>
        <v>6.3248923840417248E-2</v>
      </c>
      <c r="U6" s="45" t="s">
        <v>696</v>
      </c>
      <c r="V6" s="46"/>
      <c r="W6" s="46"/>
      <c r="X6" s="47"/>
    </row>
    <row r="7" spans="2:29" ht="17" x14ac:dyDescent="0.2">
      <c r="B7" s="74">
        <f t="shared" si="0"/>
        <v>3</v>
      </c>
      <c r="C7" t="s">
        <v>287</v>
      </c>
      <c r="D7" s="2">
        <f>SUMIFS('Streaming Data (2024-2026)'!$F:$F,'Streaming Data (2024-2026)'!$D:$D,$C7,'Streaming Data (2024-2026)'!$E:$E,D$2)</f>
        <v>54906</v>
      </c>
      <c r="E7" s="2">
        <f>SUMIFS('Streaming Data (2024-2026)'!$F:$F,'Streaming Data (2024-2026)'!$D:$D,$C7,'Streaming Data (2024-2026)'!$E:$E,E$2)</f>
        <v>60106</v>
      </c>
      <c r="F7" s="2">
        <f>SUMIFS('Streaming Data (2024-2026)'!$F:$F,'Streaming Data (2024-2026)'!$D:$D,$C7,'Streaming Data (2024-2026)'!$E:$E,F$2)</f>
        <v>63850</v>
      </c>
      <c r="G7" s="2">
        <f>SUMIFS('Streaming Data (2024-2026)'!$F:$F,'Streaming Data (2024-2026)'!$D:$D,$C7,'Streaming Data (2024-2026)'!$E:$E,G$2)</f>
        <v>66894</v>
      </c>
      <c r="H7" s="2">
        <f>SUMIFS('Streaming Data (2024-2026)'!$F:$F,'Streaming Data (2024-2026)'!$D:$D,$C7,'Streaming Data (2024-2026)'!$E:$E,H$2)</f>
        <v>71071</v>
      </c>
      <c r="I7" s="2">
        <f>SUMIFS('Streaming Data (2024-2026)'!$F:$F,'Streaming Data (2024-2026)'!$D:$D,$C7,'Streaming Data (2024-2026)'!$E:$E,I$2)</f>
        <v>75331</v>
      </c>
      <c r="J7" s="2">
        <f>SUMIFS('Streaming Data (2024-2026)'!$F:$F,'Streaming Data (2024-2026)'!$D:$D,$C7,'Streaming Data (2024-2026)'!$E:$E,J$2)</f>
        <v>79045</v>
      </c>
      <c r="L7" s="27">
        <f>IFERROR((E7-D7)/D7,0)</f>
        <v>9.4707317961607113E-2</v>
      </c>
      <c r="M7" s="28">
        <f>IFERROR((F7-E7)/E7,0)</f>
        <v>6.228995441386883E-2</v>
      </c>
      <c r="N7" s="28">
        <f>IFERROR((G7-F7)/F7,0)</f>
        <v>4.7674236491777607E-2</v>
      </c>
      <c r="O7" s="28">
        <f>IFERROR((H7-G7)/G7,0)</f>
        <v>6.2442072532663616E-2</v>
      </c>
      <c r="P7" s="28">
        <f>IFERROR((I7-H7)/H7,0)</f>
        <v>5.9940059940059943E-2</v>
      </c>
      <c r="Q7" s="28">
        <f>IFERROR((J7-I7)/I7,0)</f>
        <v>4.9302412021611286E-2</v>
      </c>
      <c r="R7" s="28">
        <f>IFERROR((J7-D7)/D7,0)</f>
        <v>0.43964229774523733</v>
      </c>
      <c r="S7" s="29">
        <f>IFERROR((J7/D7)^(1/6)-1,0)</f>
        <v>6.261456979431923E-2</v>
      </c>
      <c r="U7" s="73" t="s">
        <v>695</v>
      </c>
      <c r="V7" s="72" t="s">
        <v>694</v>
      </c>
      <c r="W7" s="66" t="s">
        <v>692</v>
      </c>
      <c r="X7" s="66" t="s">
        <v>693</v>
      </c>
    </row>
    <row r="8" spans="2:29" x14ac:dyDescent="0.2">
      <c r="B8" s="74">
        <f t="shared" si="0"/>
        <v>4</v>
      </c>
      <c r="C8" t="s">
        <v>478</v>
      </c>
      <c r="D8" s="2">
        <f>SUMIFS('Streaming Data (2024-2026)'!$F:$F,'Streaming Data (2024-2026)'!$D:$D,$C8,'Streaming Data (2024-2026)'!$E:$E,D$2)</f>
        <v>357275</v>
      </c>
      <c r="E8" s="2">
        <f>SUMIFS('Streaming Data (2024-2026)'!$F:$F,'Streaming Data (2024-2026)'!$D:$D,$C8,'Streaming Data (2024-2026)'!$E:$E,E$2)</f>
        <v>377164</v>
      </c>
      <c r="F8" s="2">
        <f>SUMIFS('Streaming Data (2024-2026)'!$F:$F,'Streaming Data (2024-2026)'!$D:$D,$C8,'Streaming Data (2024-2026)'!$E:$E,F$2)</f>
        <v>397364</v>
      </c>
      <c r="G8" s="2">
        <f>SUMIFS('Streaming Data (2024-2026)'!$F:$F,'Streaming Data (2024-2026)'!$D:$D,$C8,'Streaming Data (2024-2026)'!$E:$E,G$2)</f>
        <v>419993</v>
      </c>
      <c r="H8" s="2">
        <f>SUMIFS('Streaming Data (2024-2026)'!$F:$F,'Streaming Data (2024-2026)'!$D:$D,$C8,'Streaming Data (2024-2026)'!$E:$E,H$2)</f>
        <v>442078</v>
      </c>
      <c r="I8" s="2">
        <f>SUMIFS('Streaming Data (2024-2026)'!$F:$F,'Streaming Data (2024-2026)'!$D:$D,$C8,'Streaming Data (2024-2026)'!$E:$E,I$2)</f>
        <v>470273</v>
      </c>
      <c r="J8" s="2">
        <f>SUMIFS('Streaming Data (2024-2026)'!$F:$F,'Streaming Data (2024-2026)'!$D:$D,$C8,'Streaming Data (2024-2026)'!$E:$E,J$2)</f>
        <v>491635</v>
      </c>
      <c r="L8" s="27">
        <f>IFERROR((E8-D8)/D8,0)</f>
        <v>5.5668602617031701E-2</v>
      </c>
      <c r="M8" s="28">
        <f>IFERROR((F8-E8)/E8,0)</f>
        <v>5.3557603588889717E-2</v>
      </c>
      <c r="N8" s="28">
        <f>IFERROR((G8-F8)/F8,0)</f>
        <v>5.6947785909141242E-2</v>
      </c>
      <c r="O8" s="28">
        <f>IFERROR((H8-G8)/G8,0)</f>
        <v>5.2584209736828945E-2</v>
      </c>
      <c r="P8" s="28">
        <f>IFERROR((I8-H8)/H8,0)</f>
        <v>6.3778337759399922E-2</v>
      </c>
      <c r="Q8" s="28">
        <f>IFERROR((J8-I8)/I8,0)</f>
        <v>4.5424678856749168E-2</v>
      </c>
      <c r="R8" s="28">
        <f>IFERROR((J8-D8)/D8,0)</f>
        <v>0.37606885452382616</v>
      </c>
      <c r="S8" s="29">
        <f>IFERROR((J8/D8)^(1/6)-1,0)</f>
        <v>5.4645962086365074E-2</v>
      </c>
      <c r="U8" s="65" t="s">
        <v>42</v>
      </c>
      <c r="V8" s="75">
        <f>_xlfn.XLOOKUP($U$8,$C$5:$C$24,$B$5:$B$24,0)</f>
        <v>16</v>
      </c>
      <c r="W8" s="75">
        <f>_xlfn.XLOOKUP($U$8,$C$30:$C$49,$B$30:$B$49,0)</f>
        <v>7</v>
      </c>
      <c r="X8" s="75">
        <f>_xlfn.XLOOKUP($U$8,$C$54:$C$73,$B$54:$B$73,0)</f>
        <v>2</v>
      </c>
    </row>
    <row r="9" spans="2:29" x14ac:dyDescent="0.2">
      <c r="B9" s="74">
        <f t="shared" si="0"/>
        <v>5</v>
      </c>
      <c r="C9" t="s">
        <v>49</v>
      </c>
      <c r="D9" s="2">
        <f>SUMIFS('Streaming Data (2024-2026)'!$F:$F,'Streaming Data (2024-2026)'!$D:$D,$C9,'Streaming Data (2024-2026)'!$E:$E,D$2)</f>
        <v>1255496</v>
      </c>
      <c r="E9" s="2">
        <f>SUMIFS('Streaming Data (2024-2026)'!$F:$F,'Streaming Data (2024-2026)'!$D:$D,$C9,'Streaming Data (2024-2026)'!$E:$E,E$2)</f>
        <v>1339190</v>
      </c>
      <c r="F9" s="2">
        <f>SUMIFS('Streaming Data (2024-2026)'!$F:$F,'Streaming Data (2024-2026)'!$D:$D,$C9,'Streaming Data (2024-2026)'!$E:$E,F$2)</f>
        <v>1412040</v>
      </c>
      <c r="G9" s="2">
        <f>SUMIFS('Streaming Data (2024-2026)'!$F:$F,'Streaming Data (2024-2026)'!$D:$D,$C9,'Streaming Data (2024-2026)'!$E:$E,G$2)</f>
        <v>1500888</v>
      </c>
      <c r="H9" s="2">
        <f>SUMIFS('Streaming Data (2024-2026)'!$F:$F,'Streaming Data (2024-2026)'!$D:$D,$C9,'Streaming Data (2024-2026)'!$E:$E,H$2)</f>
        <v>1564098</v>
      </c>
      <c r="I9" s="2">
        <f>SUMIFS('Streaming Data (2024-2026)'!$F:$F,'Streaming Data (2024-2026)'!$D:$D,$C9,'Streaming Data (2024-2026)'!$E:$E,I$2)</f>
        <v>1634196</v>
      </c>
      <c r="J9" s="2">
        <f>SUMIFS('Streaming Data (2024-2026)'!$F:$F,'Streaming Data (2024-2026)'!$D:$D,$C9,'Streaming Data (2024-2026)'!$E:$E,J$2)</f>
        <v>1691439</v>
      </c>
      <c r="L9" s="27">
        <f>IFERROR((E9-D9)/D9,0)</f>
        <v>6.6662100078375405E-2</v>
      </c>
      <c r="M9" s="28">
        <f>IFERROR((F9-E9)/E9,0)</f>
        <v>5.4398554350017544E-2</v>
      </c>
      <c r="N9" s="28">
        <f>IFERROR((G9-F9)/F9,0)</f>
        <v>6.2921730262598799E-2</v>
      </c>
      <c r="O9" s="28">
        <f>IFERROR((H9-G9)/G9,0)</f>
        <v>4.211506787981515E-2</v>
      </c>
      <c r="P9" s="28">
        <f>IFERROR((I9-H9)/H9,0)</f>
        <v>4.4816884875500125E-2</v>
      </c>
      <c r="Q9" s="28">
        <f>IFERROR((J9-I9)/I9,0)</f>
        <v>3.5028234067394609E-2</v>
      </c>
      <c r="R9" s="28">
        <f>IFERROR((J9-D9)/D9,0)</f>
        <v>0.3472277092081536</v>
      </c>
      <c r="S9" s="29">
        <f>IFERROR((J9/D9)^(1/6)-1,0)</f>
        <v>5.0929301769888857E-2</v>
      </c>
    </row>
    <row r="10" spans="2:29" x14ac:dyDescent="0.2">
      <c r="B10" s="74">
        <f t="shared" si="0"/>
        <v>6</v>
      </c>
      <c r="C10" t="s">
        <v>45</v>
      </c>
      <c r="D10" s="2">
        <f>SUMIFS('Streaming Data (2024-2026)'!$F:$F,'Streaming Data (2024-2026)'!$D:$D,$C10,'Streaming Data (2024-2026)'!$E:$E,D$2)</f>
        <v>1426088</v>
      </c>
      <c r="E10" s="2">
        <f>SUMIFS('Streaming Data (2024-2026)'!$F:$F,'Streaming Data (2024-2026)'!$D:$D,$C10,'Streaming Data (2024-2026)'!$E:$E,E$2)</f>
        <v>1489768</v>
      </c>
      <c r="F10" s="2">
        <f>SUMIFS('Streaming Data (2024-2026)'!$F:$F,'Streaming Data (2024-2026)'!$D:$D,$C10,'Streaming Data (2024-2026)'!$E:$E,F$2)</f>
        <v>1543750</v>
      </c>
      <c r="G10" s="2">
        <f>SUMIFS('Streaming Data (2024-2026)'!$F:$F,'Streaming Data (2024-2026)'!$D:$D,$C10,'Streaming Data (2024-2026)'!$E:$E,G$2)</f>
        <v>1613833</v>
      </c>
      <c r="H10" s="2">
        <f>SUMIFS('Streaming Data (2024-2026)'!$F:$F,'Streaming Data (2024-2026)'!$D:$D,$C10,'Streaming Data (2024-2026)'!$E:$E,H$2)</f>
        <v>1706291</v>
      </c>
      <c r="I10" s="2">
        <f>SUMIFS('Streaming Data (2024-2026)'!$F:$F,'Streaming Data (2024-2026)'!$D:$D,$C10,'Streaming Data (2024-2026)'!$E:$E,I$2)</f>
        <v>1775021</v>
      </c>
      <c r="J10" s="2">
        <f>SUMIFS('Streaming Data (2024-2026)'!$F:$F,'Streaming Data (2024-2026)'!$D:$D,$C10,'Streaming Data (2024-2026)'!$E:$E,J$2)</f>
        <v>1836645</v>
      </c>
      <c r="L10" s="27">
        <f>IFERROR((E10-D10)/D10,0)</f>
        <v>4.465362586320059E-2</v>
      </c>
      <c r="M10" s="28">
        <f>IFERROR((F10-E10)/E10,0)</f>
        <v>3.6235172187884288E-2</v>
      </c>
      <c r="N10" s="28">
        <f>IFERROR((G10-F10)/F10,0)</f>
        <v>4.5397894736842102E-2</v>
      </c>
      <c r="O10" s="28">
        <f>IFERROR((H10-G10)/G10,0)</f>
        <v>5.7290934068147073E-2</v>
      </c>
      <c r="P10" s="28">
        <f>IFERROR((I10-H10)/H10,0)</f>
        <v>4.0280350772523559E-2</v>
      </c>
      <c r="Q10" s="28">
        <f>IFERROR((J10-I10)/I10,0)</f>
        <v>3.4717335738563095E-2</v>
      </c>
      <c r="R10" s="28">
        <f>IFERROR((J10-D10)/D10,0)</f>
        <v>0.28789036861680345</v>
      </c>
      <c r="S10" s="29">
        <f>IFERROR((J10/D10)^(1/6)-1,0)</f>
        <v>4.3069266263558115E-2</v>
      </c>
    </row>
    <row r="11" spans="2:29" x14ac:dyDescent="0.2">
      <c r="B11" s="74">
        <f t="shared" si="0"/>
        <v>7</v>
      </c>
      <c r="C11" t="s">
        <v>540</v>
      </c>
      <c r="D11" s="41">
        <f>SUMIFS('Streaming Data (2024-2026)'!$F:$F,'Streaming Data (2024-2026)'!$D:$D,$C11,'Streaming Data (2024-2026)'!$E:$E,D$2)</f>
        <v>248008</v>
      </c>
      <c r="E11" s="41">
        <f>SUMIFS('Streaming Data (2024-2026)'!$F:$F,'Streaming Data (2024-2026)'!$D:$D,$C11,'Streaming Data (2024-2026)'!$E:$E,E$2)</f>
        <v>260830</v>
      </c>
      <c r="F11" s="41">
        <f>SUMIFS('Streaming Data (2024-2026)'!$F:$F,'Streaming Data (2024-2026)'!$D:$D,$C11,'Streaming Data (2024-2026)'!$E:$E,F$2)</f>
        <v>270240</v>
      </c>
      <c r="G11" s="41">
        <f>SUMIFS('Streaming Data (2024-2026)'!$F:$F,'Streaming Data (2024-2026)'!$D:$D,$C11,'Streaming Data (2024-2026)'!$E:$E,G$2)</f>
        <v>279954</v>
      </c>
      <c r="H11" s="41">
        <f>SUMIFS('Streaming Data (2024-2026)'!$F:$F,'Streaming Data (2024-2026)'!$D:$D,$C11,'Streaming Data (2024-2026)'!$E:$E,H$2)</f>
        <v>293673</v>
      </c>
      <c r="I11" s="41">
        <f>SUMIFS('Streaming Data (2024-2026)'!$F:$F,'Streaming Data (2024-2026)'!$D:$D,$C11,'Streaming Data (2024-2026)'!$E:$E,I$2)</f>
        <v>309630</v>
      </c>
      <c r="J11" s="41">
        <f>SUMIFS('Streaming Data (2024-2026)'!$F:$F,'Streaming Data (2024-2026)'!$D:$D,$C11,'Streaming Data (2024-2026)'!$E:$E,J$2)</f>
        <v>318057</v>
      </c>
      <c r="L11" s="27">
        <f>IFERROR((E11-D11)/D11,0)</f>
        <v>5.1699945163059258E-2</v>
      </c>
      <c r="M11" s="28">
        <f>IFERROR((F11-E11)/E11,0)</f>
        <v>3.6077138365985507E-2</v>
      </c>
      <c r="N11" s="28">
        <f>IFERROR((G11-F11)/F11,0)</f>
        <v>3.5945825932504442E-2</v>
      </c>
      <c r="O11" s="28">
        <f>IFERROR((H11-G11)/G11,0)</f>
        <v>4.9004479307314774E-2</v>
      </c>
      <c r="P11" s="28">
        <f>IFERROR((I11-H11)/H11,0)</f>
        <v>5.4335945081774625E-2</v>
      </c>
      <c r="Q11" s="28">
        <f>IFERROR((J11-I11)/I11,0)</f>
        <v>2.7216355004360041E-2</v>
      </c>
      <c r="R11" s="28">
        <f>IFERROR((J11-D11)/D11,0)</f>
        <v>0.28244653398277475</v>
      </c>
      <c r="S11" s="29">
        <f>IFERROR((J11/D11)^(1/6)-1,0)</f>
        <v>4.2333136930980286E-2</v>
      </c>
    </row>
    <row r="12" spans="2:29" x14ac:dyDescent="0.2">
      <c r="B12" s="74">
        <f t="shared" si="0"/>
        <v>8</v>
      </c>
      <c r="C12" t="s">
        <v>91</v>
      </c>
      <c r="D12" s="2">
        <f>SUMIFS('Streaming Data (2024-2026)'!$F:$F,'Streaming Data (2024-2026)'!$D:$D,$C12,'Streaming Data (2024-2026)'!$E:$E,D$2)</f>
        <v>651509</v>
      </c>
      <c r="E12" s="2">
        <f>SUMIFS('Streaming Data (2024-2026)'!$F:$F,'Streaming Data (2024-2026)'!$D:$D,$C12,'Streaming Data (2024-2026)'!$E:$E,E$2)</f>
        <v>673305</v>
      </c>
      <c r="F12" s="2">
        <f>SUMIFS('Streaming Data (2024-2026)'!$F:$F,'Streaming Data (2024-2026)'!$D:$D,$C12,'Streaming Data (2024-2026)'!$E:$E,F$2)</f>
        <v>697253</v>
      </c>
      <c r="G12" s="2">
        <f>SUMIFS('Streaming Data (2024-2026)'!$F:$F,'Streaming Data (2024-2026)'!$D:$D,$C12,'Streaming Data (2024-2026)'!$E:$E,G$2)</f>
        <v>730714</v>
      </c>
      <c r="H12" s="2">
        <f>SUMIFS('Streaming Data (2024-2026)'!$F:$F,'Streaming Data (2024-2026)'!$D:$D,$C12,'Streaming Data (2024-2026)'!$E:$E,H$2)</f>
        <v>755355</v>
      </c>
      <c r="I12" s="2">
        <f>SUMIFS('Streaming Data (2024-2026)'!$F:$F,'Streaming Data (2024-2026)'!$D:$D,$C12,'Streaming Data (2024-2026)'!$E:$E,I$2)</f>
        <v>780255</v>
      </c>
      <c r="J12" s="2">
        <f>SUMIFS('Streaming Data (2024-2026)'!$F:$F,'Streaming Data (2024-2026)'!$D:$D,$C12,'Streaming Data (2024-2026)'!$E:$E,J$2)</f>
        <v>802257</v>
      </c>
      <c r="L12" s="27">
        <f>IFERROR((E12-D12)/D12,0)</f>
        <v>3.3454641455451885E-2</v>
      </c>
      <c r="M12" s="28">
        <f>IFERROR((F12-E12)/E12,0)</f>
        <v>3.5567833299916085E-2</v>
      </c>
      <c r="N12" s="28">
        <f>IFERROR((G12-F12)/F12,0)</f>
        <v>4.7989754077788119E-2</v>
      </c>
      <c r="O12" s="28">
        <f>IFERROR((H12-G12)/G12,0)</f>
        <v>3.3721811816935218E-2</v>
      </c>
      <c r="P12" s="28">
        <f>IFERROR((I12-H12)/H12,0)</f>
        <v>3.2964632523780207E-2</v>
      </c>
      <c r="Q12" s="28">
        <f>IFERROR((J12-I12)/I12,0)</f>
        <v>2.8198473575946324E-2</v>
      </c>
      <c r="R12" s="28">
        <f>IFERROR((J12-D12)/D12,0)</f>
        <v>0.23138283584724079</v>
      </c>
      <c r="S12" s="29">
        <f>IFERROR((J12/D12)^(1/6)-1,0)</f>
        <v>3.5298335916666757E-2</v>
      </c>
    </row>
    <row r="13" spans="2:29" x14ac:dyDescent="0.2">
      <c r="B13" s="74">
        <f t="shared" ref="B13:B24" si="1">RANK(S13,$S$5:$S$24,0)</f>
        <v>9</v>
      </c>
      <c r="C13" t="s">
        <v>479</v>
      </c>
      <c r="D13" s="2">
        <f>SUMIFS('Streaming Data (2024-2026)'!$F:$F,'Streaming Data (2024-2026)'!$D:$D,$C13,'Streaming Data (2024-2026)'!$E:$E,D$2)</f>
        <v>218843</v>
      </c>
      <c r="E13" s="2">
        <f>SUMIFS('Streaming Data (2024-2026)'!$F:$F,'Streaming Data (2024-2026)'!$D:$D,$C13,'Streaming Data (2024-2026)'!$E:$E,E$2)</f>
        <v>224951</v>
      </c>
      <c r="F13" s="2">
        <f>SUMIFS('Streaming Data (2024-2026)'!$F:$F,'Streaming Data (2024-2026)'!$D:$D,$C13,'Streaming Data (2024-2026)'!$E:$E,F$2)</f>
        <v>231868</v>
      </c>
      <c r="G13" s="2">
        <f>SUMIFS('Streaming Data (2024-2026)'!$F:$F,'Streaming Data (2024-2026)'!$D:$D,$C13,'Streaming Data (2024-2026)'!$E:$E,G$2)</f>
        <v>238576</v>
      </c>
      <c r="H13" s="2">
        <f>SUMIFS('Streaming Data (2024-2026)'!$F:$F,'Streaming Data (2024-2026)'!$D:$D,$C13,'Streaming Data (2024-2026)'!$E:$E,H$2)</f>
        <v>245041</v>
      </c>
      <c r="I13" s="2">
        <f>SUMIFS('Streaming Data (2024-2026)'!$F:$F,'Streaming Data (2024-2026)'!$D:$D,$C13,'Streaming Data (2024-2026)'!$E:$E,I$2)</f>
        <v>251255</v>
      </c>
      <c r="J13" s="2">
        <f>SUMIFS('Streaming Data (2024-2026)'!$F:$F,'Streaming Data (2024-2026)'!$D:$D,$C13,'Streaming Data (2024-2026)'!$E:$E,J$2)</f>
        <v>257555</v>
      </c>
      <c r="L13" s="27">
        <f>IFERROR((E13-D13)/D13,0)</f>
        <v>2.7910419798668453E-2</v>
      </c>
      <c r="M13" s="28">
        <f>IFERROR((F13-E13)/E13,0)</f>
        <v>3.0748918653395629E-2</v>
      </c>
      <c r="N13" s="28">
        <f>IFERROR((G13-F13)/F13,0)</f>
        <v>2.8930253420049339E-2</v>
      </c>
      <c r="O13" s="28">
        <f>IFERROR((H13-G13)/G13,0)</f>
        <v>2.7098283146670243E-2</v>
      </c>
      <c r="P13" s="28">
        <f>IFERROR((I13-H13)/H13,0)</f>
        <v>2.5359021551495463E-2</v>
      </c>
      <c r="Q13" s="28">
        <f>IFERROR((J13-I13)/I13,0)</f>
        <v>2.5074127878052178E-2</v>
      </c>
      <c r="R13" s="28">
        <f>IFERROR((J13-D13)/D13,0)</f>
        <v>0.17689393766307351</v>
      </c>
      <c r="S13" s="29">
        <f>IFERROR((J13/D13)^(1/6)-1,0)</f>
        <v>2.7518273813729843E-2</v>
      </c>
    </row>
    <row r="14" spans="2:29" x14ac:dyDescent="0.2">
      <c r="B14" s="74">
        <f t="shared" si="1"/>
        <v>10</v>
      </c>
      <c r="C14" t="s">
        <v>30</v>
      </c>
      <c r="D14" s="2">
        <f>SUMIFS('Streaming Data (2024-2026)'!$F:$F,'Streaming Data (2024-2026)'!$D:$D,$C14,'Streaming Data (2024-2026)'!$E:$E,D$2)</f>
        <v>4029785</v>
      </c>
      <c r="E14" s="2">
        <f>SUMIFS('Streaming Data (2024-2026)'!$F:$F,'Streaming Data (2024-2026)'!$D:$D,$C14,'Streaming Data (2024-2026)'!$E:$E,E$2)</f>
        <v>4172483</v>
      </c>
      <c r="F14" s="2">
        <f>SUMIFS('Streaming Data (2024-2026)'!$F:$F,'Streaming Data (2024-2026)'!$D:$D,$C14,'Streaming Data (2024-2026)'!$E:$E,F$2)</f>
        <v>4260375</v>
      </c>
      <c r="G14" s="2">
        <f>SUMIFS('Streaming Data (2024-2026)'!$F:$F,'Streaming Data (2024-2026)'!$D:$D,$C14,'Streaming Data (2024-2026)'!$E:$E,G$2)</f>
        <v>4363075</v>
      </c>
      <c r="H14" s="2">
        <f>SUMIFS('Streaming Data (2024-2026)'!$F:$F,'Streaming Data (2024-2026)'!$D:$D,$C14,'Streaming Data (2024-2026)'!$E:$E,H$2)</f>
        <v>4455569</v>
      </c>
      <c r="I14" s="2">
        <f>SUMIFS('Streaming Data (2024-2026)'!$F:$F,'Streaming Data (2024-2026)'!$D:$D,$C14,'Streaming Data (2024-2026)'!$E:$E,I$2)</f>
        <v>4576550</v>
      </c>
      <c r="J14" s="2">
        <f>SUMIFS('Streaming Data (2024-2026)'!$F:$F,'Streaming Data (2024-2026)'!$D:$D,$C14,'Streaming Data (2024-2026)'!$E:$E,J$2)</f>
        <v>4665879</v>
      </c>
      <c r="L14" s="27">
        <f>IFERROR((E14-D14)/D14,0)</f>
        <v>3.5410822165450516E-2</v>
      </c>
      <c r="M14" s="28">
        <f>IFERROR((F14-E14)/E14,0)</f>
        <v>2.1064675398317981E-2</v>
      </c>
      <c r="N14" s="28">
        <f>IFERROR((G14-F14)/F14,0)</f>
        <v>2.4105859226007099E-2</v>
      </c>
      <c r="O14" s="28">
        <f>IFERROR((H14-G14)/G14,0)</f>
        <v>2.1199268864275769E-2</v>
      </c>
      <c r="P14" s="28">
        <f>IFERROR((I14-H14)/H14,0)</f>
        <v>2.7152760960496854E-2</v>
      </c>
      <c r="Q14" s="28">
        <f>IFERROR((J14-I14)/I14,0)</f>
        <v>1.9518851536637859E-2</v>
      </c>
      <c r="R14" s="28">
        <f>IFERROR((J14-D14)/D14,0)</f>
        <v>0.15784812341105048</v>
      </c>
      <c r="S14" s="29">
        <f>IFERROR((J14/D14)^(1/6)-1,0)</f>
        <v>2.4727990982676751E-2</v>
      </c>
    </row>
    <row r="15" spans="2:29" x14ac:dyDescent="0.2">
      <c r="B15" s="74">
        <f t="shared" si="1"/>
        <v>11</v>
      </c>
      <c r="C15" t="s">
        <v>125</v>
      </c>
      <c r="D15" s="2">
        <f>SUMIFS('Streaming Data (2024-2026)'!$F:$F,'Streaming Data (2024-2026)'!$D:$D,$C15,'Streaming Data (2024-2026)'!$E:$E,D$2)</f>
        <v>380917</v>
      </c>
      <c r="E15" s="2">
        <f>SUMIFS('Streaming Data (2024-2026)'!$F:$F,'Streaming Data (2024-2026)'!$D:$D,$C15,'Streaming Data (2024-2026)'!$E:$E,E$2)</f>
        <v>390958</v>
      </c>
      <c r="F15" s="2">
        <f>SUMIFS('Streaming Data (2024-2026)'!$F:$F,'Streaming Data (2024-2026)'!$D:$D,$C15,'Streaming Data (2024-2026)'!$E:$E,F$2)</f>
        <v>400558</v>
      </c>
      <c r="G15" s="2">
        <f>SUMIFS('Streaming Data (2024-2026)'!$F:$F,'Streaming Data (2024-2026)'!$D:$D,$C15,'Streaming Data (2024-2026)'!$E:$E,G$2)</f>
        <v>413161</v>
      </c>
      <c r="H15" s="2">
        <f>SUMIFS('Streaming Data (2024-2026)'!$F:$F,'Streaming Data (2024-2026)'!$D:$D,$C15,'Streaming Data (2024-2026)'!$E:$E,H$2)</f>
        <v>420847</v>
      </c>
      <c r="I15" s="2">
        <f>SUMIFS('Streaming Data (2024-2026)'!$F:$F,'Streaming Data (2024-2026)'!$D:$D,$C15,'Streaming Data (2024-2026)'!$E:$E,I$2)</f>
        <v>427745</v>
      </c>
      <c r="J15" s="2">
        <f>SUMIFS('Streaming Data (2024-2026)'!$F:$F,'Streaming Data (2024-2026)'!$D:$D,$C15,'Streaming Data (2024-2026)'!$E:$E,J$2)</f>
        <v>439293</v>
      </c>
      <c r="L15" s="27">
        <f>IFERROR((E15-D15)/D15,0)</f>
        <v>2.6360073191797687E-2</v>
      </c>
      <c r="M15" s="28">
        <f>IFERROR((F15-E15)/E15,0)</f>
        <v>2.455506729623131E-2</v>
      </c>
      <c r="N15" s="28">
        <f>IFERROR((G15-F15)/F15,0)</f>
        <v>3.1463608266468275E-2</v>
      </c>
      <c r="O15" s="28">
        <f>IFERROR((H15-G15)/G15,0)</f>
        <v>1.8602917506734661E-2</v>
      </c>
      <c r="P15" s="28">
        <f>IFERROR((I15-H15)/H15,0)</f>
        <v>1.6390754834892489E-2</v>
      </c>
      <c r="Q15" s="28">
        <f>IFERROR((J15-I15)/I15,0)</f>
        <v>2.6997393306759869E-2</v>
      </c>
      <c r="R15" s="28">
        <f>IFERROR((J15-D15)/D15,0)</f>
        <v>0.15325123320828421</v>
      </c>
      <c r="S15" s="29">
        <f>IFERROR((J15/D15)^(1/6)-1,0)</f>
        <v>2.4048803822682707E-2</v>
      </c>
    </row>
    <row r="16" spans="2:29" x14ac:dyDescent="0.2">
      <c r="B16" s="74">
        <f t="shared" si="1"/>
        <v>12</v>
      </c>
      <c r="C16" t="s">
        <v>32</v>
      </c>
      <c r="D16" s="2">
        <f>SUMIFS('Streaming Data (2024-2026)'!$F:$F,'Streaming Data (2024-2026)'!$D:$D,$C16,'Streaming Data (2024-2026)'!$E:$E,D$2)</f>
        <v>3870585</v>
      </c>
      <c r="E16" s="2">
        <f>SUMIFS('Streaming Data (2024-2026)'!$F:$F,'Streaming Data (2024-2026)'!$D:$D,$C16,'Streaming Data (2024-2026)'!$E:$E,E$2)</f>
        <v>3977462</v>
      </c>
      <c r="F16" s="2">
        <f>SUMIFS('Streaming Data (2024-2026)'!$F:$F,'Streaming Data (2024-2026)'!$D:$D,$C16,'Streaming Data (2024-2026)'!$E:$E,F$2)</f>
        <v>4056869</v>
      </c>
      <c r="G16" s="2">
        <f>SUMIFS('Streaming Data (2024-2026)'!$F:$F,'Streaming Data (2024-2026)'!$D:$D,$C16,'Streaming Data (2024-2026)'!$E:$E,G$2)</f>
        <v>4198055</v>
      </c>
      <c r="H16" s="2">
        <f>SUMIFS('Streaming Data (2024-2026)'!$F:$F,'Streaming Data (2024-2026)'!$D:$D,$C16,'Streaming Data (2024-2026)'!$E:$E,H$2)</f>
        <v>4286302</v>
      </c>
      <c r="I16" s="2">
        <f>SUMIFS('Streaming Data (2024-2026)'!$F:$F,'Streaming Data (2024-2026)'!$D:$D,$C16,'Streaming Data (2024-2026)'!$E:$E,I$2)</f>
        <v>4381160</v>
      </c>
      <c r="J16" s="2">
        <f>SUMIFS('Streaming Data (2024-2026)'!$F:$F,'Streaming Data (2024-2026)'!$D:$D,$C16,'Streaming Data (2024-2026)'!$E:$E,J$2)</f>
        <v>4456656</v>
      </c>
      <c r="L16" s="27">
        <f>IFERROR((E16-D16)/D16,0)</f>
        <v>2.7612621864653533E-2</v>
      </c>
      <c r="M16" s="28">
        <f>IFERROR((F16-E16)/E16,0)</f>
        <v>1.9964238501838611E-2</v>
      </c>
      <c r="N16" s="28">
        <f>IFERROR((G16-F16)/F16,0)</f>
        <v>3.4801715312966726E-2</v>
      </c>
      <c r="O16" s="28">
        <f>IFERROR((H16-G16)/G16,0)</f>
        <v>2.1020925166535455E-2</v>
      </c>
      <c r="P16" s="28">
        <f>IFERROR((I16-H16)/H16,0)</f>
        <v>2.213049850430511E-2</v>
      </c>
      <c r="Q16" s="28">
        <f>IFERROR((J16-I16)/I16,0)</f>
        <v>1.7231965963352171E-2</v>
      </c>
      <c r="R16" s="28">
        <f>IFERROR((J16-D16)/D16,0)</f>
        <v>0.15141664632090499</v>
      </c>
      <c r="S16" s="29">
        <f>IFERROR((J16/D16)^(1/6)-1,0)</f>
        <v>2.3777114975948921E-2</v>
      </c>
    </row>
    <row r="17" spans="2:19" x14ac:dyDescent="0.2">
      <c r="B17" s="74">
        <f t="shared" si="1"/>
        <v>13</v>
      </c>
      <c r="C17" t="s">
        <v>58</v>
      </c>
      <c r="D17" s="2">
        <f>SUMIFS('Streaming Data (2024-2026)'!$F:$F,'Streaming Data (2024-2026)'!$D:$D,$C17,'Streaming Data (2024-2026)'!$E:$E,D$2)</f>
        <v>1400205</v>
      </c>
      <c r="E17" s="2">
        <f>SUMIFS('Streaming Data (2024-2026)'!$F:$F,'Streaming Data (2024-2026)'!$D:$D,$C17,'Streaming Data (2024-2026)'!$E:$E,E$2)</f>
        <v>1434595</v>
      </c>
      <c r="F17" s="2">
        <f>SUMIFS('Streaming Data (2024-2026)'!$F:$F,'Streaming Data (2024-2026)'!$D:$D,$C17,'Streaming Data (2024-2026)'!$E:$E,F$2)</f>
        <v>1458170</v>
      </c>
      <c r="G17" s="2">
        <f>SUMIFS('Streaming Data (2024-2026)'!$F:$F,'Streaming Data (2024-2026)'!$D:$D,$C17,'Streaming Data (2024-2026)'!$E:$E,G$2)</f>
        <v>1496051</v>
      </c>
      <c r="H17" s="2">
        <f>SUMIFS('Streaming Data (2024-2026)'!$F:$F,'Streaming Data (2024-2026)'!$D:$D,$C17,'Streaming Data (2024-2026)'!$E:$E,H$2)</f>
        <v>1522286</v>
      </c>
      <c r="I17" s="2">
        <f>SUMIFS('Streaming Data (2024-2026)'!$F:$F,'Streaming Data (2024-2026)'!$D:$D,$C17,'Streaming Data (2024-2026)'!$E:$E,I$2)</f>
        <v>1549038</v>
      </c>
      <c r="J17" s="2">
        <f>SUMIFS('Streaming Data (2024-2026)'!$F:$F,'Streaming Data (2024-2026)'!$D:$D,$C17,'Streaming Data (2024-2026)'!$E:$E,J$2)</f>
        <v>1570243</v>
      </c>
      <c r="L17" s="27">
        <f>IFERROR((E17-D17)/D17,0)</f>
        <v>2.4560689327634166E-2</v>
      </c>
      <c r="M17" s="28">
        <f>IFERROR((F17-E17)/E17,0)</f>
        <v>1.6433209372680096E-2</v>
      </c>
      <c r="N17" s="28">
        <f>IFERROR((G17-F17)/F17,0)</f>
        <v>2.5978452443816566E-2</v>
      </c>
      <c r="O17" s="28">
        <f>IFERROR((H17-G17)/G17,0)</f>
        <v>1.7536166882011376E-2</v>
      </c>
      <c r="P17" s="28">
        <f>IFERROR((I17-H17)/H17,0)</f>
        <v>1.7573570275230804E-2</v>
      </c>
      <c r="Q17" s="28">
        <f>IFERROR((J17-I17)/I17,0)</f>
        <v>1.3689141260575919E-2</v>
      </c>
      <c r="R17" s="28">
        <f>IFERROR((J17-D17)/D17,0)</f>
        <v>0.12143793230276995</v>
      </c>
      <c r="S17" s="29">
        <f>IFERROR((J17/D17)^(1/6)-1,0)</f>
        <v>1.9285564576369651E-2</v>
      </c>
    </row>
    <row r="18" spans="2:19" x14ac:dyDescent="0.2">
      <c r="B18" s="74">
        <f t="shared" si="1"/>
        <v>14</v>
      </c>
      <c r="C18" t="s">
        <v>26</v>
      </c>
      <c r="D18" s="2">
        <f>SUMIFS('Streaming Data (2024-2026)'!$F:$F,'Streaming Data (2024-2026)'!$D:$D,$C18,'Streaming Data (2024-2026)'!$E:$E,D$2)</f>
        <v>7063221</v>
      </c>
      <c r="E18" s="2">
        <f>SUMIFS('Streaming Data (2024-2026)'!$F:$F,'Streaming Data (2024-2026)'!$D:$D,$C18,'Streaming Data (2024-2026)'!$E:$E,E$2)</f>
        <v>7196912</v>
      </c>
      <c r="F18" s="2">
        <f>SUMIFS('Streaming Data (2024-2026)'!$F:$F,'Streaming Data (2024-2026)'!$D:$D,$C18,'Streaming Data (2024-2026)'!$E:$E,F$2)</f>
        <v>7334070</v>
      </c>
      <c r="G18" s="2">
        <f>SUMIFS('Streaming Data (2024-2026)'!$F:$F,'Streaming Data (2024-2026)'!$D:$D,$C18,'Streaming Data (2024-2026)'!$E:$E,G$2)</f>
        <v>7520172</v>
      </c>
      <c r="H18" s="2">
        <f>SUMIFS('Streaming Data (2024-2026)'!$F:$F,'Streaming Data (2024-2026)'!$D:$D,$C18,'Streaming Data (2024-2026)'!$E:$E,H$2)</f>
        <v>7646607</v>
      </c>
      <c r="I18" s="2">
        <f>SUMIFS('Streaming Data (2024-2026)'!$F:$F,'Streaming Data (2024-2026)'!$D:$D,$C18,'Streaming Data (2024-2026)'!$E:$E,I$2)</f>
        <v>7781089</v>
      </c>
      <c r="J18" s="2">
        <f>SUMIFS('Streaming Data (2024-2026)'!$F:$F,'Streaming Data (2024-2026)'!$D:$D,$C18,'Streaming Data (2024-2026)'!$E:$E,J$2)</f>
        <v>7903606</v>
      </c>
      <c r="L18" s="27">
        <f>IFERROR((E18-D18)/D18,0)</f>
        <v>1.8927766807806241E-2</v>
      </c>
      <c r="M18" s="28">
        <f>IFERROR((F18-E18)/E18,0)</f>
        <v>1.9057895942037363E-2</v>
      </c>
      <c r="N18" s="28">
        <f>IFERROR((G18-F18)/F18,0)</f>
        <v>2.5374996420814092E-2</v>
      </c>
      <c r="O18" s="28">
        <f>IFERROR((H18-G18)/G18,0)</f>
        <v>1.6812780345981448E-2</v>
      </c>
      <c r="P18" s="28">
        <f>IFERROR((I18-H18)/H18,0)</f>
        <v>1.7587146822113389E-2</v>
      </c>
      <c r="Q18" s="28">
        <f>IFERROR((J18-I18)/I18,0)</f>
        <v>1.5745482412551765E-2</v>
      </c>
      <c r="R18" s="28">
        <f>IFERROR((J18-D18)/D18,0)</f>
        <v>0.11898041983961709</v>
      </c>
      <c r="S18" s="29">
        <f>IFERROR((J18/D18)^(1/6)-1,0)</f>
        <v>1.8912948141015518E-2</v>
      </c>
    </row>
    <row r="19" spans="2:19" x14ac:dyDescent="0.2">
      <c r="B19" s="74">
        <f t="shared" si="1"/>
        <v>15</v>
      </c>
      <c r="C19" t="s">
        <v>81</v>
      </c>
      <c r="D19" s="2">
        <f>SUMIFS('Streaming Data (2024-2026)'!$F:$F,'Streaming Data (2024-2026)'!$D:$D,$C19,'Streaming Data (2024-2026)'!$E:$E,D$2)</f>
        <v>872089</v>
      </c>
      <c r="E19" s="2">
        <f>SUMIFS('Streaming Data (2024-2026)'!$F:$F,'Streaming Data (2024-2026)'!$D:$D,$C19,'Streaming Data (2024-2026)'!$E:$E,E$2)</f>
        <v>884558</v>
      </c>
      <c r="F19" s="2">
        <f>SUMIFS('Streaming Data (2024-2026)'!$F:$F,'Streaming Data (2024-2026)'!$D:$D,$C19,'Streaming Data (2024-2026)'!$E:$E,F$2)</f>
        <v>896523</v>
      </c>
      <c r="G19" s="2">
        <f>SUMIFS('Streaming Data (2024-2026)'!$F:$F,'Streaming Data (2024-2026)'!$D:$D,$C19,'Streaming Data (2024-2026)'!$E:$E,G$2)</f>
        <v>909181</v>
      </c>
      <c r="H19" s="2">
        <f>SUMIFS('Streaming Data (2024-2026)'!$F:$F,'Streaming Data (2024-2026)'!$D:$D,$C19,'Streaming Data (2024-2026)'!$E:$E,H$2)</f>
        <v>920569</v>
      </c>
      <c r="I19" s="2">
        <f>SUMIFS('Streaming Data (2024-2026)'!$F:$F,'Streaming Data (2024-2026)'!$D:$D,$C19,'Streaming Data (2024-2026)'!$E:$E,I$2)</f>
        <v>927595</v>
      </c>
      <c r="J19" s="2">
        <f>SUMIFS('Streaming Data (2024-2026)'!$F:$F,'Streaming Data (2024-2026)'!$D:$D,$C19,'Streaming Data (2024-2026)'!$E:$E,J$2)</f>
        <v>934958</v>
      </c>
      <c r="L19" s="27">
        <f>IFERROR((E19-D19)/D19,0)</f>
        <v>1.4297852627426787E-2</v>
      </c>
      <c r="M19" s="28">
        <f>IFERROR((F19-E19)/E19,0)</f>
        <v>1.3526529634009302E-2</v>
      </c>
      <c r="N19" s="28">
        <f>IFERROR((G19-F19)/F19,0)</f>
        <v>1.4118990812282562E-2</v>
      </c>
      <c r="O19" s="28">
        <f>IFERROR((H19-G19)/G19,0)</f>
        <v>1.2525558717131133E-2</v>
      </c>
      <c r="P19" s="28">
        <f>IFERROR((I19-H19)/H19,0)</f>
        <v>7.632236149598781E-3</v>
      </c>
      <c r="Q19" s="28">
        <f>IFERROR((J19-I19)/I19,0)</f>
        <v>7.9377314452967074E-3</v>
      </c>
      <c r="R19" s="28">
        <f>IFERROR((J19-D19)/D19,0)</f>
        <v>7.2090119242416775E-2</v>
      </c>
      <c r="S19" s="29">
        <f>IFERROR((J19/D19)^(1/6)-1,0)</f>
        <v>1.1669248192500037E-2</v>
      </c>
    </row>
    <row r="20" spans="2:19" x14ac:dyDescent="0.2">
      <c r="B20" s="74">
        <f t="shared" si="1"/>
        <v>16</v>
      </c>
      <c r="C20" t="s">
        <v>42</v>
      </c>
      <c r="D20" s="2">
        <f>SUMIFS('Streaming Data (2024-2026)'!$F:$F,'Streaming Data (2024-2026)'!$D:$D,$C20,'Streaming Data (2024-2026)'!$E:$E,D$2)</f>
        <v>1830487</v>
      </c>
      <c r="E20" s="2">
        <f>SUMIFS('Streaming Data (2024-2026)'!$F:$F,'Streaming Data (2024-2026)'!$D:$D,$C20,'Streaming Data (2024-2026)'!$E:$E,E$2)</f>
        <v>1841189</v>
      </c>
      <c r="F20" s="2">
        <f>SUMIFS('Streaming Data (2024-2026)'!$F:$F,'Streaming Data (2024-2026)'!$D:$D,$C20,'Streaming Data (2024-2026)'!$E:$E,F$2)</f>
        <v>1850540</v>
      </c>
      <c r="G20" s="2">
        <f>SUMIFS('Streaming Data (2024-2026)'!$F:$F,'Streaming Data (2024-2026)'!$D:$D,$C20,'Streaming Data (2024-2026)'!$E:$E,G$2)</f>
        <v>1864517</v>
      </c>
      <c r="H20" s="2">
        <f>SUMIFS('Streaming Data (2024-2026)'!$F:$F,'Streaming Data (2024-2026)'!$D:$D,$C20,'Streaming Data (2024-2026)'!$E:$E,H$2)</f>
        <v>1875781</v>
      </c>
      <c r="I20" s="2">
        <f>SUMIFS('Streaming Data (2024-2026)'!$F:$F,'Streaming Data (2024-2026)'!$D:$D,$C20,'Streaming Data (2024-2026)'!$E:$E,I$2)</f>
        <v>1907412</v>
      </c>
      <c r="J20" s="2">
        <f>SUMIFS('Streaming Data (2024-2026)'!$F:$F,'Streaming Data (2024-2026)'!$D:$D,$C20,'Streaming Data (2024-2026)'!$E:$E,J$2)</f>
        <v>1936760</v>
      </c>
      <c r="L20" s="27">
        <f>IFERROR((E20-D20)/D20,0)</f>
        <v>5.8465315514395896E-3</v>
      </c>
      <c r="M20" s="28">
        <f>IFERROR((F20-E20)/E20,0)</f>
        <v>5.0787833296853284E-3</v>
      </c>
      <c r="N20" s="28">
        <f>IFERROR((G20-F20)/F20,0)</f>
        <v>7.5529304959633401E-3</v>
      </c>
      <c r="O20" s="28">
        <f>IFERROR((H20-G20)/G20,0)</f>
        <v>6.0412428527066263E-3</v>
      </c>
      <c r="P20" s="28">
        <f>IFERROR((I20-H20)/H20,0)</f>
        <v>1.6862842730574625E-2</v>
      </c>
      <c r="Q20" s="28">
        <f>IFERROR((J20-I20)/I20,0)</f>
        <v>1.5386293050478868E-2</v>
      </c>
      <c r="R20" s="28">
        <f>IFERROR((J20-D20)/D20,0)</f>
        <v>5.8057227393584328E-2</v>
      </c>
      <c r="S20" s="29">
        <f>IFERROR((J20/D20)^(1/6)-1,0)</f>
        <v>9.4501099783690368E-3</v>
      </c>
    </row>
    <row r="21" spans="2:19" x14ac:dyDescent="0.2">
      <c r="B21" s="74">
        <f t="shared" si="1"/>
        <v>17</v>
      </c>
      <c r="C21" t="s">
        <v>56</v>
      </c>
      <c r="D21" s="2">
        <f>SUMIFS('Streaming Data (2024-2026)'!$F:$F,'Streaming Data (2024-2026)'!$D:$D,$C21,'Streaming Data (2024-2026)'!$E:$E,D$2)</f>
        <v>1513944</v>
      </c>
      <c r="E21" s="2">
        <f>SUMIFS('Streaming Data (2024-2026)'!$F:$F,'Streaming Data (2024-2026)'!$D:$D,$C21,'Streaming Data (2024-2026)'!$E:$E,E$2)</f>
        <v>1530185</v>
      </c>
      <c r="F21" s="2">
        <f>SUMIFS('Streaming Data (2024-2026)'!$F:$F,'Streaming Data (2024-2026)'!$D:$D,$C21,'Streaming Data (2024-2026)'!$E:$E,F$2)</f>
        <v>1545126</v>
      </c>
      <c r="G21" s="2">
        <f>SUMIFS('Streaming Data (2024-2026)'!$F:$F,'Streaming Data (2024-2026)'!$D:$D,$C21,'Streaming Data (2024-2026)'!$E:$E,G$2)</f>
        <v>1554430</v>
      </c>
      <c r="H21" s="2">
        <f>SUMIFS('Streaming Data (2024-2026)'!$F:$F,'Streaming Data (2024-2026)'!$D:$D,$C21,'Streaming Data (2024-2026)'!$E:$E,H$2)</f>
        <v>1568406</v>
      </c>
      <c r="I21" s="2">
        <f>SUMIFS('Streaming Data (2024-2026)'!$F:$F,'Streaming Data (2024-2026)'!$D:$D,$C21,'Streaming Data (2024-2026)'!$E:$E,I$2)</f>
        <v>1581619</v>
      </c>
      <c r="J21" s="2">
        <f>SUMIFS('Streaming Data (2024-2026)'!$F:$F,'Streaming Data (2024-2026)'!$D:$D,$C21,'Streaming Data (2024-2026)'!$E:$E,J$2)</f>
        <v>1600525</v>
      </c>
      <c r="L21" s="27">
        <f>IFERROR((E21-D21)/D21,0)</f>
        <v>1.0727609475647713E-2</v>
      </c>
      <c r="M21" s="28">
        <f>IFERROR((F21-E21)/E21,0)</f>
        <v>9.7641788411205188E-3</v>
      </c>
      <c r="N21" s="28">
        <f>IFERROR((G21-F21)/F21,0)</f>
        <v>6.0215153974497873E-3</v>
      </c>
      <c r="O21" s="28">
        <f>IFERROR((H21-G21)/G21,0)</f>
        <v>8.9910771150839858E-3</v>
      </c>
      <c r="P21" s="28">
        <f>IFERROR((I21-H21)/H21,0)</f>
        <v>8.4244768255158416E-3</v>
      </c>
      <c r="Q21" s="28">
        <f>IFERROR((J21-I21)/I21,0)</f>
        <v>1.1953574154078828E-2</v>
      </c>
      <c r="R21" s="28">
        <f>IFERROR((J21-D21)/D21,0)</f>
        <v>5.7189037375226563E-2</v>
      </c>
      <c r="S21" s="29">
        <f>IFERROR((J21/D21)^(1/6)-1,0)</f>
        <v>9.3120118564549159E-3</v>
      </c>
    </row>
    <row r="22" spans="2:19" x14ac:dyDescent="0.2">
      <c r="B22" s="74">
        <f t="shared" si="1"/>
        <v>18</v>
      </c>
      <c r="C22" t="s">
        <v>542</v>
      </c>
      <c r="D22" s="2">
        <f>SUMIFS('Streaming Data (2024-2026)'!$F:$F,'Streaming Data (2024-2026)'!$D:$D,$C22,'Streaming Data (2024-2026)'!$E:$E,D$2)</f>
        <v>2050001</v>
      </c>
      <c r="E22" s="2">
        <f>SUMIFS('Streaming Data (2024-2026)'!$F:$F,'Streaming Data (2024-2026)'!$D:$D,$C22,'Streaming Data (2024-2026)'!$E:$E,E$2)</f>
        <v>2061253</v>
      </c>
      <c r="F22" s="2">
        <f>SUMIFS('Streaming Data (2024-2026)'!$F:$F,'Streaming Data (2024-2026)'!$D:$D,$C22,'Streaming Data (2024-2026)'!$E:$E,F$2)</f>
        <v>2083019</v>
      </c>
      <c r="G22" s="2">
        <f>SUMIFS('Streaming Data (2024-2026)'!$F:$F,'Streaming Data (2024-2026)'!$D:$D,$C22,'Streaming Data (2024-2026)'!$E:$E,G$2)</f>
        <v>2097447</v>
      </c>
      <c r="H22" s="2">
        <f>SUMIFS('Streaming Data (2024-2026)'!$F:$F,'Streaming Data (2024-2026)'!$D:$D,$C22,'Streaming Data (2024-2026)'!$E:$E,H$2)</f>
        <v>2111542</v>
      </c>
      <c r="I22" s="2">
        <f>SUMIFS('Streaming Data (2024-2026)'!$F:$F,'Streaming Data (2024-2026)'!$D:$D,$C22,'Streaming Data (2024-2026)'!$E:$E,I$2)</f>
        <v>2127666</v>
      </c>
      <c r="J22" s="2">
        <f>SUMIFS('Streaming Data (2024-2026)'!$F:$F,'Streaming Data (2024-2026)'!$D:$D,$C22,'Streaming Data (2024-2026)'!$E:$E,J$2)</f>
        <v>2145000</v>
      </c>
      <c r="L22" s="27">
        <f>IFERROR((E22-D22)/D22,0)</f>
        <v>5.4887778103522872E-3</v>
      </c>
      <c r="M22" s="28">
        <f>IFERROR((F22-E22)/E22,0)</f>
        <v>1.0559596517264014E-2</v>
      </c>
      <c r="N22" s="28">
        <f>IFERROR((G22-F22)/F22,0)</f>
        <v>6.9264850680670698E-3</v>
      </c>
      <c r="O22" s="28">
        <f>IFERROR((H22-G22)/G22,0)</f>
        <v>6.7200744524176298E-3</v>
      </c>
      <c r="P22" s="28">
        <f>IFERROR((I22-H22)/H22,0)</f>
        <v>7.6361256370936501E-3</v>
      </c>
      <c r="Q22" s="28">
        <f>IFERROR((J22-I22)/I22,0)</f>
        <v>8.1469553961947029E-3</v>
      </c>
      <c r="R22" s="28">
        <f>IFERROR((J22-D22)/D22,0)</f>
        <v>4.6340953004413168E-2</v>
      </c>
      <c r="S22" s="29">
        <f>IFERROR((J22/D22)^(1/6)-1,0)</f>
        <v>7.5784507643021914E-3</v>
      </c>
    </row>
    <row r="23" spans="2:19" x14ac:dyDescent="0.2">
      <c r="B23" s="74">
        <f t="shared" si="1"/>
        <v>19</v>
      </c>
      <c r="C23" t="s">
        <v>41</v>
      </c>
      <c r="D23" s="2">
        <f>SUMIFS('Streaming Data (2024-2026)'!$F:$F,'Streaming Data (2024-2026)'!$D:$D,$C23,'Streaming Data (2024-2026)'!$E:$E,D$2)</f>
        <v>2020589</v>
      </c>
      <c r="E23" s="2">
        <f>SUMIFS('Streaming Data (2024-2026)'!$F:$F,'Streaming Data (2024-2026)'!$D:$D,$C23,'Streaming Data (2024-2026)'!$E:$E,E$2)</f>
        <v>2035222</v>
      </c>
      <c r="F23" s="2">
        <f>SUMIFS('Streaming Data (2024-2026)'!$F:$F,'Streaming Data (2024-2026)'!$D:$D,$C23,'Streaming Data (2024-2026)'!$E:$E,F$2)</f>
        <v>2046030</v>
      </c>
      <c r="G23" s="2">
        <f>SUMIFS('Streaming Data (2024-2026)'!$F:$F,'Streaming Data (2024-2026)'!$D:$D,$C23,'Streaming Data (2024-2026)'!$E:$E,G$2)</f>
        <v>2059753</v>
      </c>
      <c r="H23" s="2">
        <f>SUMIFS('Streaming Data (2024-2026)'!$F:$F,'Streaming Data (2024-2026)'!$D:$D,$C23,'Streaming Data (2024-2026)'!$E:$E,H$2)</f>
        <v>2071063</v>
      </c>
      <c r="I23" s="2">
        <f>SUMIFS('Streaming Data (2024-2026)'!$F:$F,'Streaming Data (2024-2026)'!$D:$D,$C23,'Streaming Data (2024-2026)'!$E:$E,I$2)</f>
        <v>2086011</v>
      </c>
      <c r="J23" s="2">
        <f>SUMIFS('Streaming Data (2024-2026)'!$F:$F,'Streaming Data (2024-2026)'!$D:$D,$C23,'Streaming Data (2024-2026)'!$E:$E,J$2)</f>
        <v>2097476</v>
      </c>
      <c r="L23" s="27">
        <f>IFERROR((E23-D23)/D23,0)</f>
        <v>7.2419477686951677E-3</v>
      </c>
      <c r="M23" s="28">
        <f>IFERROR((F23-E23)/E23,0)</f>
        <v>5.3104771862725539E-3</v>
      </c>
      <c r="N23" s="28">
        <f>IFERROR((G23-F23)/F23,0)</f>
        <v>6.7071352814963613E-3</v>
      </c>
      <c r="O23" s="28">
        <f>IFERROR((H23-G23)/G23,0)</f>
        <v>5.4909496429911744E-3</v>
      </c>
      <c r="P23" s="28">
        <f>IFERROR((I23-H23)/H23,0)</f>
        <v>7.217549635139057E-3</v>
      </c>
      <c r="Q23" s="28">
        <f>IFERROR((J23-I23)/I23,0)</f>
        <v>5.4961359264164957E-3</v>
      </c>
      <c r="R23" s="28">
        <f>IFERROR((J23-D23)/D23,0)</f>
        <v>3.8051775992049841E-2</v>
      </c>
      <c r="S23" s="29">
        <f>IFERROR((J23/D23)^(1/6)-1,0)</f>
        <v>6.2436884051737529E-3</v>
      </c>
    </row>
    <row r="24" spans="2:19" x14ac:dyDescent="0.2">
      <c r="B24" s="74">
        <f t="shared" si="1"/>
        <v>20</v>
      </c>
      <c r="C24" t="s">
        <v>61</v>
      </c>
      <c r="D24" s="2">
        <f>SUMIFS('Streaming Data (2024-2026)'!$F:$F,'Streaming Data (2024-2026)'!$D:$D,$C24,'Streaming Data (2024-2026)'!$E:$E,D$2)</f>
        <v>1487217</v>
      </c>
      <c r="E24" s="2">
        <f>SUMIFS('Streaming Data (2024-2026)'!$F:$F,'Streaming Data (2024-2026)'!$D:$D,$C24,'Streaming Data (2024-2026)'!$E:$E,E$2)</f>
        <v>1492987</v>
      </c>
      <c r="F24" s="2">
        <f>SUMIFS('Streaming Data (2024-2026)'!$F:$F,'Streaming Data (2024-2026)'!$D:$D,$C24,'Streaming Data (2024-2026)'!$E:$E,F$2)</f>
        <v>1498833</v>
      </c>
      <c r="G24" s="2">
        <f>SUMIFS('Streaming Data (2024-2026)'!$F:$F,'Streaming Data (2024-2026)'!$D:$D,$C24,'Streaming Data (2024-2026)'!$E:$E,G$2)</f>
        <v>1506372</v>
      </c>
      <c r="H24" s="2">
        <f>SUMIFS('Streaming Data (2024-2026)'!$F:$F,'Streaming Data (2024-2026)'!$D:$D,$C24,'Streaming Data (2024-2026)'!$E:$E,H$2)</f>
        <v>1513168</v>
      </c>
      <c r="I24" s="2">
        <f>SUMIFS('Streaming Data (2024-2026)'!$F:$F,'Streaming Data (2024-2026)'!$D:$D,$C24,'Streaming Data (2024-2026)'!$E:$E,I$2)</f>
        <v>1524474</v>
      </c>
      <c r="J24" s="2">
        <f>SUMIFS('Streaming Data (2024-2026)'!$F:$F,'Streaming Data (2024-2026)'!$D:$D,$C24,'Streaming Data (2024-2026)'!$E:$E,J$2)</f>
        <v>1534731</v>
      </c>
      <c r="L24" s="27">
        <f>IFERROR((E24-D24)/D24,0)</f>
        <v>3.8797297233692193E-3</v>
      </c>
      <c r="M24" s="28">
        <f>IFERROR((F24-E24)/E24,0)</f>
        <v>3.9156402567470444E-3</v>
      </c>
      <c r="N24" s="28">
        <f>IFERROR((G24-F24)/F24,0)</f>
        <v>5.0299132725260256E-3</v>
      </c>
      <c r="O24" s="28">
        <f>IFERROR((H24-G24)/G24,0)</f>
        <v>4.5115018069905709E-3</v>
      </c>
      <c r="P24" s="28">
        <f>IFERROR((I24-H24)/H24,0)</f>
        <v>7.4717414061095657E-3</v>
      </c>
      <c r="Q24" s="28">
        <f>IFERROR((J24-I24)/I24,0)</f>
        <v>6.7282223245525999E-3</v>
      </c>
      <c r="R24" s="28">
        <f>IFERROR((J24-D24)/D24,0)</f>
        <v>3.1948263098122195E-2</v>
      </c>
      <c r="S24" s="29">
        <f>IFERROR((J24/D24)^(1/6)-1,0)</f>
        <v>5.2551824749116349E-3</v>
      </c>
    </row>
    <row r="25" spans="2:19" hidden="1" x14ac:dyDescent="0.2">
      <c r="C25" t="s">
        <v>60</v>
      </c>
      <c r="D25" s="2">
        <f>SUMIFS('Streaming Data (2024-2026)'!$F:$F,'Streaming Data (2024-2026)'!$D:$D,$C25,'Streaming Data (2024-2026)'!$E:$E,D$2)</f>
        <v>1516676</v>
      </c>
      <c r="E25" s="2">
        <f>SUMIFS('Streaming Data (2024-2026)'!$F:$F,'Streaming Data (2024-2026)'!$D:$D,$C25,'Streaming Data (2024-2026)'!$E:$E,E$2)</f>
        <v>1523261</v>
      </c>
      <c r="F25" s="2">
        <f>SUMIFS('Streaming Data (2024-2026)'!$F:$F,'Streaming Data (2024-2026)'!$D:$D,$C25,'Streaming Data (2024-2026)'!$E:$E,F$2)</f>
        <v>1529394</v>
      </c>
      <c r="G25" s="2">
        <f>SUMIFS('Streaming Data (2024-2026)'!$F:$F,'Streaming Data (2024-2026)'!$D:$D,$C25,'Streaming Data (2024-2026)'!$E:$E,G$2)</f>
        <v>1534806</v>
      </c>
      <c r="H25" s="2">
        <f>SUMIFS('Streaming Data (2024-2026)'!$F:$F,'Streaming Data (2024-2026)'!$D:$D,$C25,'Streaming Data (2024-2026)'!$E:$E,H$2)</f>
        <v>1540959</v>
      </c>
      <c r="I25" s="2">
        <f>SUMIFS('Streaming Data (2024-2026)'!$F:$F,'Streaming Data (2024-2026)'!$D:$D,$C25,'Streaming Data (2024-2026)'!$E:$E,I$2)</f>
        <v>1545812</v>
      </c>
      <c r="J25" s="2">
        <f>SUMIFS('Streaming Data (2024-2026)'!$F:$F,'Streaming Data (2024-2026)'!$D:$D,$C25,'Streaming Data (2024-2026)'!$E:$E,J$2)</f>
        <v>1550966</v>
      </c>
      <c r="L25" s="27">
        <f>IFERROR((E25-D25)/D25,0)</f>
        <v>4.341731523410405E-3</v>
      </c>
      <c r="M25" s="28">
        <f>IFERROR((F25-E25)/E25,0)</f>
        <v>4.0262305671844812E-3</v>
      </c>
      <c r="N25" s="28">
        <f>IFERROR((G25-F25)/F25,0)</f>
        <v>3.5386564874715083E-3</v>
      </c>
      <c r="O25" s="28">
        <f>IFERROR((H25-G25)/G25,0)</f>
        <v>4.0089757272254601E-3</v>
      </c>
      <c r="P25" s="28">
        <f>IFERROR((I25-H25)/H25,0)</f>
        <v>3.149337522932148E-3</v>
      </c>
      <c r="Q25" s="28">
        <f>IFERROR((J25-I25)/I25,0)</f>
        <v>3.3341700025617603E-3</v>
      </c>
      <c r="R25" s="28">
        <f>IFERROR((J25-D25)/D25,0)</f>
        <v>2.2608652078624572E-2</v>
      </c>
      <c r="S25" s="29">
        <f>IFERROR((J25/D25)^(1/6)-1,0)</f>
        <v>3.7330947871356823E-3</v>
      </c>
    </row>
    <row r="26" spans="2:19" x14ac:dyDescent="0.2">
      <c r="D26" s="2"/>
      <c r="E26" s="2"/>
      <c r="F26" s="2"/>
      <c r="G26" s="2"/>
      <c r="H26" s="2"/>
      <c r="I26" s="2"/>
      <c r="J26" s="2"/>
      <c r="L26" s="76"/>
      <c r="M26" s="77"/>
      <c r="N26" s="77"/>
      <c r="O26" s="77"/>
      <c r="P26" s="77"/>
      <c r="Q26" s="77"/>
      <c r="R26" s="77"/>
      <c r="S26" s="78"/>
    </row>
    <row r="28" spans="2:19" x14ac:dyDescent="0.2">
      <c r="D28" s="16" t="s">
        <v>482</v>
      </c>
      <c r="E28" s="17"/>
      <c r="F28" s="17"/>
      <c r="G28" s="17"/>
      <c r="H28" s="17"/>
      <c r="I28" s="17"/>
      <c r="J28" s="18"/>
      <c r="L28" s="19" t="s">
        <v>700</v>
      </c>
      <c r="M28" s="20"/>
      <c r="N28" s="20"/>
      <c r="O28" s="20"/>
      <c r="P28" s="20"/>
      <c r="Q28" s="20"/>
      <c r="R28" s="21"/>
      <c r="S28" s="61"/>
    </row>
    <row r="29" spans="2:19" x14ac:dyDescent="0.2">
      <c r="C29" s="60" t="s">
        <v>480</v>
      </c>
      <c r="D29" s="54" t="s">
        <v>549</v>
      </c>
      <c r="E29" s="54" t="s">
        <v>550</v>
      </c>
      <c r="F29" s="54" t="s">
        <v>551</v>
      </c>
      <c r="G29" s="54" t="s">
        <v>678</v>
      </c>
      <c r="H29" s="54" t="s">
        <v>497</v>
      </c>
      <c r="I29" s="54" t="s">
        <v>498</v>
      </c>
      <c r="J29" s="54" t="s">
        <v>532</v>
      </c>
      <c r="L29" s="56" t="s">
        <v>679</v>
      </c>
      <c r="M29" s="54" t="s">
        <v>680</v>
      </c>
      <c r="N29" s="54" t="s">
        <v>681</v>
      </c>
      <c r="O29" s="54" t="s">
        <v>682</v>
      </c>
      <c r="P29" s="54" t="s">
        <v>683</v>
      </c>
      <c r="Q29" s="54" t="s">
        <v>684</v>
      </c>
      <c r="R29" s="52" t="s">
        <v>552</v>
      </c>
      <c r="S29" s="62" t="s">
        <v>690</v>
      </c>
    </row>
    <row r="30" spans="2:19" x14ac:dyDescent="0.2">
      <c r="B30" s="74">
        <f>RANK(S30,$S$30:$S$37,0)</f>
        <v>1</v>
      </c>
      <c r="C30" t="s">
        <v>121</v>
      </c>
      <c r="D30" s="2">
        <f>SUMIFS('Streaming Data (2024-2026)'!$H:$H,'Streaming Data (2024-2026)'!$D:$D,$C30,'Streaming Data (2024-2026)'!$E:$E,D$2)</f>
        <v>215412886</v>
      </c>
      <c r="E30" s="2">
        <f>SUMIFS('Streaming Data (2024-2026)'!$H:$H,'Streaming Data (2024-2026)'!$D:$D,$C30,'Streaming Data (2024-2026)'!$E:$E,E$2)</f>
        <v>226990576</v>
      </c>
      <c r="F30" s="2">
        <f>SUMIFS('Streaming Data (2024-2026)'!$H:$H,'Streaming Data (2024-2026)'!$D:$D,$C30,'Streaming Data (2024-2026)'!$E:$E,F$2)</f>
        <v>237634529</v>
      </c>
      <c r="G30" s="2">
        <f>SUMIFS('Streaming Data (2024-2026)'!$H:$H,'Streaming Data (2024-2026)'!$D:$D,$C30,'Streaming Data (2024-2026)'!$E:$E,G$2)</f>
        <v>249037882</v>
      </c>
      <c r="H30" s="2">
        <f>SUMIFS('Streaming Data (2024-2026)'!$H:$H,'Streaming Data (2024-2026)'!$D:$D,$C30,'Streaming Data (2024-2026)'!$E:$E,H$2)</f>
        <v>262915560</v>
      </c>
      <c r="I30" s="2">
        <f>SUMIFS('Streaming Data (2024-2026)'!$H:$H,'Streaming Data (2024-2026)'!$D:$D,$C30,'Streaming Data (2024-2026)'!$E:$E,I$2)</f>
        <v>275566413</v>
      </c>
      <c r="J30" s="2">
        <f>SUMIFS('Streaming Data (2024-2026)'!$H:$H,'Streaming Data (2024-2026)'!$D:$D,$C30,'Streaming Data (2024-2026)'!$E:$E,J$2)</f>
        <v>286537146</v>
      </c>
      <c r="L30" s="27">
        <f>IFERROR((E30-D30)/D30,0)</f>
        <v>5.3746506139841603E-2</v>
      </c>
      <c r="M30" s="28">
        <f>IFERROR((F30-E30)/E30,0)</f>
        <v>4.689160751766188E-2</v>
      </c>
      <c r="N30" s="28">
        <f>IFERROR((G30-F30)/F30,0)</f>
        <v>4.7986936275578033E-2</v>
      </c>
      <c r="O30" s="28">
        <f>IFERROR((H30-G30)/G30,0)</f>
        <v>5.5725168751635946E-2</v>
      </c>
      <c r="P30" s="28">
        <f>IFERROR((I30-H30)/H30,0)</f>
        <v>4.8117551505890331E-2</v>
      </c>
      <c r="Q30" s="28">
        <f>IFERROR((J30-I30)/I30,0)</f>
        <v>3.9811575295280996E-2</v>
      </c>
      <c r="R30" s="28">
        <f>IFERROR((J30-D30)/D30,0)</f>
        <v>0.33017644079101194</v>
      </c>
      <c r="S30" s="29">
        <f>IFERROR((J30/D30)^(1/6)-1,0)</f>
        <v>4.8700661473737528E-2</v>
      </c>
    </row>
    <row r="31" spans="2:19" x14ac:dyDescent="0.2">
      <c r="B31" s="74">
        <f t="shared" ref="B31:B37" si="2">RANK(S31,$S$30:$S$37,0)</f>
        <v>2</v>
      </c>
      <c r="C31" t="s">
        <v>49</v>
      </c>
      <c r="D31" s="2">
        <f>SUMIFS('Streaming Data (2024-2026)'!$H:$H,'Streaming Data (2024-2026)'!$D:$D,$C31,'Streaming Data (2024-2026)'!$E:$E,D$2)</f>
        <v>215925503</v>
      </c>
      <c r="E31" s="2">
        <f>SUMIFS('Streaming Data (2024-2026)'!$H:$H,'Streaming Data (2024-2026)'!$D:$D,$C31,'Streaming Data (2024-2026)'!$E:$E,E$2)</f>
        <v>228238900</v>
      </c>
      <c r="F31" s="2">
        <f>SUMIFS('Streaming Data (2024-2026)'!$H:$H,'Streaming Data (2024-2026)'!$D:$D,$C31,'Streaming Data (2024-2026)'!$E:$E,F$2)</f>
        <v>236607719</v>
      </c>
      <c r="G31" s="2">
        <f>SUMIFS('Streaming Data (2024-2026)'!$H:$H,'Streaming Data (2024-2026)'!$D:$D,$C31,'Streaming Data (2024-2026)'!$E:$E,G$2)</f>
        <v>245103082</v>
      </c>
      <c r="H31" s="2">
        <f>SUMIFS('Streaming Data (2024-2026)'!$H:$H,'Streaming Data (2024-2026)'!$D:$D,$C31,'Streaming Data (2024-2026)'!$E:$E,H$2)</f>
        <v>254314841</v>
      </c>
      <c r="I31" s="2">
        <f>SUMIFS('Streaming Data (2024-2026)'!$H:$H,'Streaming Data (2024-2026)'!$D:$D,$C31,'Streaming Data (2024-2026)'!$E:$E,I$2)</f>
        <v>263362547</v>
      </c>
      <c r="J31" s="2">
        <f>SUMIFS('Streaming Data (2024-2026)'!$H:$H,'Streaming Data (2024-2026)'!$D:$D,$C31,'Streaming Data (2024-2026)'!$E:$E,J$2)</f>
        <v>271481212</v>
      </c>
      <c r="L31" s="27">
        <f>IFERROR((E31-D31)/D31,0)</f>
        <v>5.7026135537125502E-2</v>
      </c>
      <c r="M31" s="28">
        <f>IFERROR((F31-E31)/E31,0)</f>
        <v>3.6666926628195283E-2</v>
      </c>
      <c r="N31" s="28">
        <f>IFERROR((G31-F31)/F31,0)</f>
        <v>3.5904842986124216E-2</v>
      </c>
      <c r="O31" s="28">
        <f>IFERROR((H31-G31)/G31,0)</f>
        <v>3.7583203462125375E-2</v>
      </c>
      <c r="P31" s="28">
        <f>IFERROR((I31-H31)/H31,0)</f>
        <v>3.5576791210545203E-2</v>
      </c>
      <c r="Q31" s="28">
        <f>IFERROR((J31-I31)/I31,0)</f>
        <v>3.0826953537930357E-2</v>
      </c>
      <c r="R31" s="28">
        <f>IFERROR((J31-D31)/D31,0)</f>
        <v>0.25729109451235133</v>
      </c>
      <c r="S31" s="29">
        <f>IFERROR((J31/D31)^(1/6)-1,0)</f>
        <v>3.8897353405719537E-2</v>
      </c>
    </row>
    <row r="32" spans="2:19" x14ac:dyDescent="0.2">
      <c r="B32" s="74">
        <f t="shared" si="2"/>
        <v>3</v>
      </c>
      <c r="C32" t="s">
        <v>91</v>
      </c>
      <c r="D32" s="2">
        <f>SUMIFS('Streaming Data (2024-2026)'!$H:$H,'Streaming Data (2024-2026)'!$D:$D,$C32,'Streaming Data (2024-2026)'!$E:$E,D$2)</f>
        <v>164203186</v>
      </c>
      <c r="E32" s="2">
        <f>SUMIFS('Streaming Data (2024-2026)'!$H:$H,'Streaming Data (2024-2026)'!$D:$D,$C32,'Streaming Data (2024-2026)'!$E:$E,E$2)</f>
        <v>169669448</v>
      </c>
      <c r="F32" s="2">
        <f>SUMIFS('Streaming Data (2024-2026)'!$H:$H,'Streaming Data (2024-2026)'!$D:$D,$C32,'Streaming Data (2024-2026)'!$E:$E,F$2)</f>
        <v>176026699</v>
      </c>
      <c r="G32" s="2">
        <f>SUMIFS('Streaming Data (2024-2026)'!$H:$H,'Streaming Data (2024-2026)'!$D:$D,$C32,'Streaming Data (2024-2026)'!$E:$E,G$2)</f>
        <v>182990665</v>
      </c>
      <c r="H32" s="2">
        <f>SUMIFS('Streaming Data (2024-2026)'!$H:$H,'Streaming Data (2024-2026)'!$D:$D,$C32,'Streaming Data (2024-2026)'!$E:$E,H$2)</f>
        <v>189040180</v>
      </c>
      <c r="I32" s="2">
        <f>SUMIFS('Streaming Data (2024-2026)'!$H:$H,'Streaming Data (2024-2026)'!$D:$D,$C32,'Streaming Data (2024-2026)'!$E:$E,I$2)</f>
        <v>194119736</v>
      </c>
      <c r="J32" s="2">
        <f>SUMIFS('Streaming Data (2024-2026)'!$H:$H,'Streaming Data (2024-2026)'!$D:$D,$C32,'Streaming Data (2024-2026)'!$E:$E,J$2)</f>
        <v>198570357</v>
      </c>
      <c r="L32" s="27">
        <f>IFERROR((E32-D32)/D32,0)</f>
        <v>3.3289622041803746E-2</v>
      </c>
      <c r="M32" s="28">
        <f>IFERROR((F32-E32)/E32,0)</f>
        <v>3.7468448650814258E-2</v>
      </c>
      <c r="N32" s="28">
        <f>IFERROR((G32-F32)/F32,0)</f>
        <v>3.9561987127873142E-2</v>
      </c>
      <c r="O32" s="28">
        <f>IFERROR((H32-G32)/G32,0)</f>
        <v>3.305914539411068E-2</v>
      </c>
      <c r="P32" s="28">
        <f>IFERROR((I32-H32)/H32,0)</f>
        <v>2.6870245256854917E-2</v>
      </c>
      <c r="Q32" s="28">
        <f>IFERROR((J32-I32)/I32,0)</f>
        <v>2.2927194790745026E-2</v>
      </c>
      <c r="R32" s="28">
        <f>IFERROR((J32-D32)/D32,0)</f>
        <v>0.20929661498772625</v>
      </c>
      <c r="S32" s="29">
        <f>IFERROR((J32/D32)^(1/6)-1,0)</f>
        <v>3.2180078776983922E-2</v>
      </c>
    </row>
    <row r="33" spans="2:19" x14ac:dyDescent="0.2">
      <c r="B33" s="74">
        <f t="shared" si="2"/>
        <v>4</v>
      </c>
      <c r="C33" t="s">
        <v>30</v>
      </c>
      <c r="D33" s="2">
        <f>SUMIFS('Streaming Data (2024-2026)'!$H:$H,'Streaming Data (2024-2026)'!$D:$D,$C33,'Streaming Data (2024-2026)'!$E:$E,D$2)</f>
        <v>519161347</v>
      </c>
      <c r="E33" s="2">
        <f>SUMIFS('Streaming Data (2024-2026)'!$H:$H,'Streaming Data (2024-2026)'!$D:$D,$C33,'Streaming Data (2024-2026)'!$E:$E,E$2)</f>
        <v>539788810</v>
      </c>
      <c r="F33" s="2">
        <f>SUMIFS('Streaming Data (2024-2026)'!$H:$H,'Streaming Data (2024-2026)'!$D:$D,$C33,'Streaming Data (2024-2026)'!$E:$E,F$2)</f>
        <v>556438091</v>
      </c>
      <c r="G33" s="2">
        <f>SUMIFS('Streaming Data (2024-2026)'!$H:$H,'Streaming Data (2024-2026)'!$D:$D,$C33,'Streaming Data (2024-2026)'!$E:$E,G$2)</f>
        <v>574021864</v>
      </c>
      <c r="H33" s="2">
        <f>SUMIFS('Streaming Data (2024-2026)'!$H:$H,'Streaming Data (2024-2026)'!$D:$D,$C33,'Streaming Data (2024-2026)'!$E:$E,H$2)</f>
        <v>590156360</v>
      </c>
      <c r="I33" s="2">
        <f>SUMIFS('Streaming Data (2024-2026)'!$H:$H,'Streaming Data (2024-2026)'!$D:$D,$C33,'Streaming Data (2024-2026)'!$E:$E,I$2)</f>
        <v>605741469</v>
      </c>
      <c r="J33" s="2">
        <f>SUMIFS('Streaming Data (2024-2026)'!$H:$H,'Streaming Data (2024-2026)'!$D:$D,$C33,'Streaming Data (2024-2026)'!$E:$E,J$2)</f>
        <v>620313166</v>
      </c>
      <c r="L33" s="27">
        <f>IFERROR((E33-D33)/D33,0)</f>
        <v>3.9732278065762856E-2</v>
      </c>
      <c r="M33" s="28">
        <f>IFERROR((F33-E33)/E33,0)</f>
        <v>3.0844064737095975E-2</v>
      </c>
      <c r="N33" s="28">
        <f>IFERROR((G33-F33)/F33,0)</f>
        <v>3.1600591843738458E-2</v>
      </c>
      <c r="O33" s="28">
        <f>IFERROR((H33-G33)/G33,0)</f>
        <v>2.8107807405747177E-2</v>
      </c>
      <c r="P33" s="28">
        <f>IFERROR((I33-H33)/H33,0)</f>
        <v>2.6408440298770989E-2</v>
      </c>
      <c r="Q33" s="28">
        <f>IFERROR((J33-I33)/I33,0)</f>
        <v>2.4055967348670989E-2</v>
      </c>
      <c r="R33" s="28">
        <f>IFERROR((J33-D33)/D33,0)</f>
        <v>0.19483696077242824</v>
      </c>
      <c r="S33" s="29">
        <f>IFERROR((J33/D33)^(1/6)-1,0)</f>
        <v>3.0112778835502674E-2</v>
      </c>
    </row>
    <row r="34" spans="2:19" x14ac:dyDescent="0.2">
      <c r="B34" s="74">
        <f t="shared" si="2"/>
        <v>5</v>
      </c>
      <c r="C34" t="s">
        <v>26</v>
      </c>
      <c r="D34" s="2">
        <f>SUMIFS('Streaming Data (2024-2026)'!$H:$H,'Streaming Data (2024-2026)'!$D:$D,$C34,'Streaming Data (2024-2026)'!$E:$E,D$2)</f>
        <v>985904694</v>
      </c>
      <c r="E34" s="2">
        <f>SUMIFS('Streaming Data (2024-2026)'!$H:$H,'Streaming Data (2024-2026)'!$D:$D,$C34,'Streaming Data (2024-2026)'!$E:$E,E$2)</f>
        <v>1012034887</v>
      </c>
      <c r="F34" s="2">
        <f>SUMIFS('Streaming Data (2024-2026)'!$H:$H,'Streaming Data (2024-2026)'!$D:$D,$C34,'Streaming Data (2024-2026)'!$E:$E,F$2)</f>
        <v>1034766488</v>
      </c>
      <c r="G34" s="2">
        <f>SUMIFS('Streaming Data (2024-2026)'!$H:$H,'Streaming Data (2024-2026)'!$D:$D,$C34,'Streaming Data (2024-2026)'!$E:$E,G$2)</f>
        <v>1062295287</v>
      </c>
      <c r="H34" s="2">
        <f>SUMIFS('Streaming Data (2024-2026)'!$H:$H,'Streaming Data (2024-2026)'!$D:$D,$C34,'Streaming Data (2024-2026)'!$E:$E,H$2)</f>
        <v>1087941638</v>
      </c>
      <c r="I34" s="2">
        <f>SUMIFS('Streaming Data (2024-2026)'!$H:$H,'Streaming Data (2024-2026)'!$D:$D,$C34,'Streaming Data (2024-2026)'!$E:$E,I$2)</f>
        <v>1121801331</v>
      </c>
      <c r="J34" s="2">
        <f>SUMIFS('Streaming Data (2024-2026)'!$H:$H,'Streaming Data (2024-2026)'!$D:$D,$C34,'Streaming Data (2024-2026)'!$E:$E,J$2)</f>
        <v>1148699708</v>
      </c>
      <c r="L34" s="27">
        <f>IFERROR((E34-D34)/D34,0)</f>
        <v>2.6503771773298809E-2</v>
      </c>
      <c r="M34" s="28">
        <f>IFERROR((F34-E34)/E34,0)</f>
        <v>2.2461282009144809E-2</v>
      </c>
      <c r="N34" s="28">
        <f>IFERROR((G34-F34)/F34,0)</f>
        <v>2.6603875675571743E-2</v>
      </c>
      <c r="O34" s="28">
        <f>IFERROR((H34-G34)/G34,0)</f>
        <v>2.4142393658195718E-2</v>
      </c>
      <c r="P34" s="28">
        <f>IFERROR((I34-H34)/H34,0)</f>
        <v>3.1122710830560195E-2</v>
      </c>
      <c r="Q34" s="28">
        <f>IFERROR((J34-I34)/I34,0)</f>
        <v>2.3977843720351229E-2</v>
      </c>
      <c r="R34" s="28">
        <f>IFERROR((J34-D34)/D34,0)</f>
        <v>0.16512246568125175</v>
      </c>
      <c r="S34" s="29">
        <f>IFERROR((J34/D34)^(1/6)-1,0)</f>
        <v>2.5798192270346965E-2</v>
      </c>
    </row>
    <row r="35" spans="2:19" x14ac:dyDescent="0.2">
      <c r="B35" s="74">
        <f t="shared" si="2"/>
        <v>6</v>
      </c>
      <c r="C35" t="s">
        <v>32</v>
      </c>
      <c r="D35" s="2">
        <f>SUMIFS('Streaming Data (2024-2026)'!$H:$H,'Streaming Data (2024-2026)'!$D:$D,$C35,'Streaming Data (2024-2026)'!$E:$E,D$2)</f>
        <v>1259570282</v>
      </c>
      <c r="E35" s="2">
        <f>SUMIFS('Streaming Data (2024-2026)'!$H:$H,'Streaming Data (2024-2026)'!$D:$D,$C35,'Streaming Data (2024-2026)'!$E:$E,E$2)</f>
        <v>1296628309</v>
      </c>
      <c r="F35" s="2">
        <f>SUMIFS('Streaming Data (2024-2026)'!$H:$H,'Streaming Data (2024-2026)'!$D:$D,$C35,'Streaming Data (2024-2026)'!$E:$E,F$2)</f>
        <v>1328133349</v>
      </c>
      <c r="G35" s="2">
        <f>SUMIFS('Streaming Data (2024-2026)'!$H:$H,'Streaming Data (2024-2026)'!$D:$D,$C35,'Streaming Data (2024-2026)'!$E:$E,G$2)</f>
        <v>1362692089</v>
      </c>
      <c r="H35" s="2">
        <f>SUMIFS('Streaming Data (2024-2026)'!$H:$H,'Streaming Data (2024-2026)'!$D:$D,$C35,'Streaming Data (2024-2026)'!$E:$E,H$2)</f>
        <v>1399013970</v>
      </c>
      <c r="I35" s="2">
        <f>SUMIFS('Streaming Data (2024-2026)'!$H:$H,'Streaming Data (2024-2026)'!$D:$D,$C35,'Streaming Data (2024-2026)'!$E:$E,I$2)</f>
        <v>1433092880</v>
      </c>
      <c r="J35" s="2">
        <f>SUMIFS('Streaming Data (2024-2026)'!$H:$H,'Streaming Data (2024-2026)'!$D:$D,$C35,'Streaming Data (2024-2026)'!$E:$E,J$2)</f>
        <v>1462975291</v>
      </c>
      <c r="L35" s="27">
        <f>IFERROR((E35-D35)/D35,0)</f>
        <v>2.9421166511770718E-2</v>
      </c>
      <c r="M35" s="28">
        <f>IFERROR((F35-E35)/E35,0)</f>
        <v>2.4297664782822508E-2</v>
      </c>
      <c r="N35" s="28">
        <f>IFERROR((G35-F35)/F35,0)</f>
        <v>2.6020534779900326E-2</v>
      </c>
      <c r="O35" s="28">
        <f>IFERROR((H35-G35)/G35,0)</f>
        <v>2.6654503459144982E-2</v>
      </c>
      <c r="P35" s="28">
        <f>IFERROR((I35-H35)/H35,0)</f>
        <v>2.4359234954601634E-2</v>
      </c>
      <c r="Q35" s="28">
        <f>IFERROR((J35-I35)/I35,0)</f>
        <v>2.0851691761946373E-2</v>
      </c>
      <c r="R35" s="28">
        <f>IFERROR((J35-D35)/D35,0)</f>
        <v>0.16148762153789842</v>
      </c>
      <c r="S35" s="29">
        <f>IFERROR((J35/D35)^(1/6)-1,0)</f>
        <v>2.5264132164643627E-2</v>
      </c>
    </row>
    <row r="36" spans="2:19" x14ac:dyDescent="0.2">
      <c r="B36" s="74">
        <f t="shared" si="2"/>
        <v>7</v>
      </c>
      <c r="C36" t="s">
        <v>42</v>
      </c>
      <c r="D36" s="2">
        <f>SUMIFS('Streaming Data (2024-2026)'!$H:$H,'Streaming Data (2024-2026)'!$D:$D,$C36,'Streaming Data (2024-2026)'!$E:$E,D$2)</f>
        <v>375706184</v>
      </c>
      <c r="E36" s="2">
        <f>SUMIFS('Streaming Data (2024-2026)'!$H:$H,'Streaming Data (2024-2026)'!$D:$D,$C36,'Streaming Data (2024-2026)'!$E:$E,E$2)</f>
        <v>385289348</v>
      </c>
      <c r="F36" s="2">
        <f>SUMIFS('Streaming Data (2024-2026)'!$H:$H,'Streaming Data (2024-2026)'!$D:$D,$C36,'Streaming Data (2024-2026)'!$E:$E,F$2)</f>
        <v>393335698</v>
      </c>
      <c r="G36" s="2">
        <f>SUMIFS('Streaming Data (2024-2026)'!$H:$H,'Streaming Data (2024-2026)'!$D:$D,$C36,'Streaming Data (2024-2026)'!$E:$E,G$2)</f>
        <v>402319635</v>
      </c>
      <c r="H36" s="2">
        <f>SUMIFS('Streaming Data (2024-2026)'!$H:$H,'Streaming Data (2024-2026)'!$D:$D,$C36,'Streaming Data (2024-2026)'!$E:$E,H$2)</f>
        <v>410997568</v>
      </c>
      <c r="I36" s="2">
        <f>SUMIFS('Streaming Data (2024-2026)'!$H:$H,'Streaming Data (2024-2026)'!$D:$D,$C36,'Streaming Data (2024-2026)'!$E:$E,I$2)</f>
        <v>419258161</v>
      </c>
      <c r="J36" s="2">
        <f>SUMIFS('Streaming Data (2024-2026)'!$H:$H,'Streaming Data (2024-2026)'!$D:$D,$C36,'Streaming Data (2024-2026)'!$E:$E,J$2)</f>
        <v>426663898</v>
      </c>
      <c r="L36" s="27">
        <f>IFERROR((E36-D36)/D36,0)</f>
        <v>2.5507070173750455E-2</v>
      </c>
      <c r="M36" s="28">
        <f>IFERROR((F36-E36)/E36,0)</f>
        <v>2.0883915015475589E-2</v>
      </c>
      <c r="N36" s="28">
        <f>IFERROR((G36-F36)/F36,0)</f>
        <v>2.2840380483339705E-2</v>
      </c>
      <c r="O36" s="28">
        <f>IFERROR((H36-G36)/G36,0)</f>
        <v>2.156974764604765E-2</v>
      </c>
      <c r="P36" s="28">
        <f>IFERROR((I36-H36)/H36,0)</f>
        <v>2.0098885353988273E-2</v>
      </c>
      <c r="Q36" s="28">
        <f>IFERROR((J36-I36)/I36,0)</f>
        <v>1.7663906606698112E-2</v>
      </c>
      <c r="R36" s="28">
        <f>IFERROR((J36-D36)/D36,0)</f>
        <v>0.13563182127446696</v>
      </c>
      <c r="S36" s="29">
        <f>IFERROR((J36/D36)^(1/6)-1,0)</f>
        <v>2.142447225199251E-2</v>
      </c>
    </row>
    <row r="37" spans="2:19" x14ac:dyDescent="0.2">
      <c r="B37" s="74">
        <f t="shared" si="2"/>
        <v>8</v>
      </c>
      <c r="C37" t="s">
        <v>542</v>
      </c>
      <c r="D37" s="2">
        <f>SUMIFS('Streaming Data (2024-2026)'!$H:$H,'Streaming Data (2024-2026)'!$D:$D,$C37,'Streaming Data (2024-2026)'!$E:$E,D$2)</f>
        <v>198509649</v>
      </c>
      <c r="E37" s="2">
        <f>SUMIFS('Streaming Data (2024-2026)'!$H:$H,'Streaming Data (2024-2026)'!$D:$D,$C37,'Streaming Data (2024-2026)'!$E:$E,E$2)</f>
        <v>202077604</v>
      </c>
      <c r="F37" s="2">
        <f>SUMIFS('Streaming Data (2024-2026)'!$H:$H,'Streaming Data (2024-2026)'!$D:$D,$C37,'Streaming Data (2024-2026)'!$E:$E,F$2)</f>
        <v>205149573</v>
      </c>
      <c r="G37" s="2">
        <f>SUMIFS('Streaming Data (2024-2026)'!$H:$H,'Streaming Data (2024-2026)'!$D:$D,$C37,'Streaming Data (2024-2026)'!$E:$E,G$2)</f>
        <v>211208291</v>
      </c>
      <c r="H37" s="2">
        <f>SUMIFS('Streaming Data (2024-2026)'!$H:$H,'Streaming Data (2024-2026)'!$D:$D,$C37,'Streaming Data (2024-2026)'!$E:$E,H$2)</f>
        <v>215603125</v>
      </c>
      <c r="I37" s="2">
        <f>SUMIFS('Streaming Data (2024-2026)'!$H:$H,'Streaming Data (2024-2026)'!$D:$D,$C37,'Streaming Data (2024-2026)'!$E:$E,I$2)</f>
        <v>219837866</v>
      </c>
      <c r="J37" s="2">
        <f>SUMIFS('Streaming Data (2024-2026)'!$H:$H,'Streaming Data (2024-2026)'!$D:$D,$C37,'Streaming Data (2024-2026)'!$E:$E,J$2)</f>
        <v>223532613</v>
      </c>
      <c r="L37" s="27">
        <f>IFERROR((E37-D37)/D37,0)</f>
        <v>1.7973710688491521E-2</v>
      </c>
      <c r="M37" s="28">
        <f>IFERROR((F37-E37)/E37,0)</f>
        <v>1.520192707748059E-2</v>
      </c>
      <c r="N37" s="28">
        <f>IFERROR((G37-F37)/F37,0)</f>
        <v>2.9533173827273822E-2</v>
      </c>
      <c r="O37" s="28">
        <f>IFERROR((H37-G37)/G37,0)</f>
        <v>2.0808056251920528E-2</v>
      </c>
      <c r="P37" s="28">
        <f>IFERROR((I37-H37)/H37,0)</f>
        <v>1.9641371153595294E-2</v>
      </c>
      <c r="Q37" s="28">
        <f>IFERROR((J37-I37)/I37,0)</f>
        <v>1.6806690618075777E-2</v>
      </c>
      <c r="R37" s="28">
        <f>IFERROR((J37-D37)/D37,0)</f>
        <v>0.12605414460231099</v>
      </c>
      <c r="S37" s="29">
        <f>IFERROR((J37/D37)^(1/6)-1,0)</f>
        <v>1.9983654729021527E-2</v>
      </c>
    </row>
    <row r="38" spans="2:19" hidden="1" x14ac:dyDescent="0.2">
      <c r="B38" s="74">
        <f>RANK(S38,$S$30:$S$49,0)</f>
        <v>9</v>
      </c>
      <c r="D38" s="2">
        <f>SUMIFS('Streaming Data (2024-2026)'!$H:$H,'Streaming Data (2024-2026)'!$D:$D,$C38,'Streaming Data (2024-2026)'!$E:$E,D$2)</f>
        <v>0</v>
      </c>
      <c r="E38" s="2">
        <f>SUMIFS('Streaming Data (2024-2026)'!$H:$H,'Streaming Data (2024-2026)'!$D:$D,$C38,'Streaming Data (2024-2026)'!$E:$E,E$2)</f>
        <v>0</v>
      </c>
      <c r="F38" s="2">
        <f>SUMIFS('Streaming Data (2024-2026)'!$H:$H,'Streaming Data (2024-2026)'!$D:$D,$C38,'Streaming Data (2024-2026)'!$E:$E,F$2)</f>
        <v>0</v>
      </c>
      <c r="G38" s="2">
        <f>SUMIFS('Streaming Data (2024-2026)'!$H:$H,'Streaming Data (2024-2026)'!$D:$D,$C38,'Streaming Data (2024-2026)'!$E:$E,G$2)</f>
        <v>0</v>
      </c>
      <c r="H38" s="2">
        <f>SUMIFS('Streaming Data (2024-2026)'!$H:$H,'Streaming Data (2024-2026)'!$D:$D,$C38,'Streaming Data (2024-2026)'!$E:$E,H$2)</f>
        <v>0</v>
      </c>
      <c r="I38" s="2">
        <f>SUMIFS('Streaming Data (2024-2026)'!$H:$H,'Streaming Data (2024-2026)'!$D:$D,$C38,'Streaming Data (2024-2026)'!$E:$E,I$2)</f>
        <v>0</v>
      </c>
      <c r="J38" s="2">
        <f>SUMIFS('Streaming Data (2024-2026)'!$H:$H,'Streaming Data (2024-2026)'!$D:$D,$C38,'Streaming Data (2024-2026)'!$E:$E,J$2)</f>
        <v>0</v>
      </c>
      <c r="L38" s="27">
        <f t="shared" ref="L30:Q45" si="3">IFERROR((E38-D38)/D38,0)</f>
        <v>0</v>
      </c>
      <c r="M38" s="28">
        <f t="shared" si="3"/>
        <v>0</v>
      </c>
      <c r="N38" s="28">
        <f t="shared" si="3"/>
        <v>0</v>
      </c>
      <c r="O38" s="28">
        <f t="shared" si="3"/>
        <v>0</v>
      </c>
      <c r="P38" s="28">
        <f t="shared" si="3"/>
        <v>0</v>
      </c>
      <c r="Q38" s="28">
        <f t="shared" si="3"/>
        <v>0</v>
      </c>
      <c r="R38" s="28">
        <f t="shared" ref="R31:R49" si="4">IFERROR((J38-D38)/D38,0)</f>
        <v>0</v>
      </c>
      <c r="S38" s="29">
        <f t="shared" ref="S31:S49" si="5">IFERROR((J38/D38)^(1/6)-1,0)</f>
        <v>0</v>
      </c>
    </row>
    <row r="39" spans="2:19" hidden="1" x14ac:dyDescent="0.2">
      <c r="B39" s="74">
        <f>RANK(S39,$S$30:$S$49,0)</f>
        <v>9</v>
      </c>
      <c r="D39" s="2">
        <f>SUMIFS('Streaming Data (2024-2026)'!$H:$H,'Streaming Data (2024-2026)'!$D:$D,$C39,'Streaming Data (2024-2026)'!$E:$E,D$2)</f>
        <v>0</v>
      </c>
      <c r="E39" s="2">
        <f>SUMIFS('Streaming Data (2024-2026)'!$H:$H,'Streaming Data (2024-2026)'!$D:$D,$C39,'Streaming Data (2024-2026)'!$E:$E,E$2)</f>
        <v>0</v>
      </c>
      <c r="F39" s="2">
        <f>SUMIFS('Streaming Data (2024-2026)'!$H:$H,'Streaming Data (2024-2026)'!$D:$D,$C39,'Streaming Data (2024-2026)'!$E:$E,F$2)</f>
        <v>0</v>
      </c>
      <c r="G39" s="2">
        <f>SUMIFS('Streaming Data (2024-2026)'!$H:$H,'Streaming Data (2024-2026)'!$D:$D,$C39,'Streaming Data (2024-2026)'!$E:$E,G$2)</f>
        <v>0</v>
      </c>
      <c r="H39" s="2">
        <f>SUMIFS('Streaming Data (2024-2026)'!$H:$H,'Streaming Data (2024-2026)'!$D:$D,$C39,'Streaming Data (2024-2026)'!$E:$E,H$2)</f>
        <v>0</v>
      </c>
      <c r="I39" s="2">
        <f>SUMIFS('Streaming Data (2024-2026)'!$H:$H,'Streaming Data (2024-2026)'!$D:$D,$C39,'Streaming Data (2024-2026)'!$E:$E,I$2)</f>
        <v>0</v>
      </c>
      <c r="J39" s="2">
        <f>SUMIFS('Streaming Data (2024-2026)'!$H:$H,'Streaming Data (2024-2026)'!$D:$D,$C39,'Streaming Data (2024-2026)'!$E:$E,J$2)</f>
        <v>0</v>
      </c>
      <c r="L39" s="27">
        <f t="shared" si="3"/>
        <v>0</v>
      </c>
      <c r="M39" s="28">
        <f t="shared" si="3"/>
        <v>0</v>
      </c>
      <c r="N39" s="28">
        <f t="shared" si="3"/>
        <v>0</v>
      </c>
      <c r="O39" s="28">
        <f t="shared" si="3"/>
        <v>0</v>
      </c>
      <c r="P39" s="28">
        <f t="shared" si="3"/>
        <v>0</v>
      </c>
      <c r="Q39" s="28">
        <f t="shared" si="3"/>
        <v>0</v>
      </c>
      <c r="R39" s="28">
        <f t="shared" si="4"/>
        <v>0</v>
      </c>
      <c r="S39" s="29">
        <f t="shared" si="5"/>
        <v>0</v>
      </c>
    </row>
    <row r="40" spans="2:19" hidden="1" x14ac:dyDescent="0.2">
      <c r="B40" s="74">
        <f>RANK(S40,$S$30:$S$49,0)</f>
        <v>9</v>
      </c>
      <c r="D40" s="2">
        <f>SUMIFS('Streaming Data (2024-2026)'!$H:$H,'Streaming Data (2024-2026)'!$D:$D,$C40,'Streaming Data (2024-2026)'!$E:$E,D$2)</f>
        <v>0</v>
      </c>
      <c r="E40" s="2">
        <f>SUMIFS('Streaming Data (2024-2026)'!$H:$H,'Streaming Data (2024-2026)'!$D:$D,$C40,'Streaming Data (2024-2026)'!$E:$E,E$2)</f>
        <v>0</v>
      </c>
      <c r="F40" s="2">
        <f>SUMIFS('Streaming Data (2024-2026)'!$H:$H,'Streaming Data (2024-2026)'!$D:$D,$C40,'Streaming Data (2024-2026)'!$E:$E,F$2)</f>
        <v>0</v>
      </c>
      <c r="G40" s="2">
        <f>SUMIFS('Streaming Data (2024-2026)'!$H:$H,'Streaming Data (2024-2026)'!$D:$D,$C40,'Streaming Data (2024-2026)'!$E:$E,G$2)</f>
        <v>0</v>
      </c>
      <c r="H40" s="2">
        <f>SUMIFS('Streaming Data (2024-2026)'!$H:$H,'Streaming Data (2024-2026)'!$D:$D,$C40,'Streaming Data (2024-2026)'!$E:$E,H$2)</f>
        <v>0</v>
      </c>
      <c r="I40" s="2">
        <f>SUMIFS('Streaming Data (2024-2026)'!$H:$H,'Streaming Data (2024-2026)'!$D:$D,$C40,'Streaming Data (2024-2026)'!$E:$E,I$2)</f>
        <v>0</v>
      </c>
      <c r="J40" s="2">
        <f>SUMIFS('Streaming Data (2024-2026)'!$H:$H,'Streaming Data (2024-2026)'!$D:$D,$C40,'Streaming Data (2024-2026)'!$E:$E,J$2)</f>
        <v>0</v>
      </c>
      <c r="L40" s="27">
        <f t="shared" si="3"/>
        <v>0</v>
      </c>
      <c r="M40" s="28">
        <f t="shared" si="3"/>
        <v>0</v>
      </c>
      <c r="N40" s="28">
        <f t="shared" si="3"/>
        <v>0</v>
      </c>
      <c r="O40" s="28">
        <f t="shared" si="3"/>
        <v>0</v>
      </c>
      <c r="P40" s="28">
        <f t="shared" si="3"/>
        <v>0</v>
      </c>
      <c r="Q40" s="28">
        <f t="shared" si="3"/>
        <v>0</v>
      </c>
      <c r="R40" s="28">
        <f t="shared" si="4"/>
        <v>0</v>
      </c>
      <c r="S40" s="29">
        <f t="shared" si="5"/>
        <v>0</v>
      </c>
    </row>
    <row r="41" spans="2:19" hidden="1" x14ac:dyDescent="0.2">
      <c r="B41" s="74">
        <f>RANK(S41,$S$30:$S$49,0)</f>
        <v>9</v>
      </c>
      <c r="D41" s="2">
        <f>SUMIFS('Streaming Data (2024-2026)'!$H:$H,'Streaming Data (2024-2026)'!$D:$D,$C41,'Streaming Data (2024-2026)'!$E:$E,D$2)</f>
        <v>0</v>
      </c>
      <c r="E41" s="2">
        <f>SUMIFS('Streaming Data (2024-2026)'!$H:$H,'Streaming Data (2024-2026)'!$D:$D,$C41,'Streaming Data (2024-2026)'!$E:$E,E$2)</f>
        <v>0</v>
      </c>
      <c r="F41" s="2">
        <f>SUMIFS('Streaming Data (2024-2026)'!$H:$H,'Streaming Data (2024-2026)'!$D:$D,$C41,'Streaming Data (2024-2026)'!$E:$E,F$2)</f>
        <v>0</v>
      </c>
      <c r="G41" s="2">
        <f>SUMIFS('Streaming Data (2024-2026)'!$H:$H,'Streaming Data (2024-2026)'!$D:$D,$C41,'Streaming Data (2024-2026)'!$E:$E,G$2)</f>
        <v>0</v>
      </c>
      <c r="H41" s="2">
        <f>SUMIFS('Streaming Data (2024-2026)'!$H:$H,'Streaming Data (2024-2026)'!$D:$D,$C41,'Streaming Data (2024-2026)'!$E:$E,H$2)</f>
        <v>0</v>
      </c>
      <c r="I41" s="2">
        <f>SUMIFS('Streaming Data (2024-2026)'!$H:$H,'Streaming Data (2024-2026)'!$D:$D,$C41,'Streaming Data (2024-2026)'!$E:$E,I$2)</f>
        <v>0</v>
      </c>
      <c r="J41" s="2">
        <f>SUMIFS('Streaming Data (2024-2026)'!$H:$H,'Streaming Data (2024-2026)'!$D:$D,$C41,'Streaming Data (2024-2026)'!$E:$E,J$2)</f>
        <v>0</v>
      </c>
      <c r="L41" s="27">
        <f t="shared" si="3"/>
        <v>0</v>
      </c>
      <c r="M41" s="28">
        <f t="shared" si="3"/>
        <v>0</v>
      </c>
      <c r="N41" s="28">
        <f t="shared" si="3"/>
        <v>0</v>
      </c>
      <c r="O41" s="28">
        <f t="shared" si="3"/>
        <v>0</v>
      </c>
      <c r="P41" s="28">
        <f t="shared" si="3"/>
        <v>0</v>
      </c>
      <c r="Q41" s="28">
        <f t="shared" si="3"/>
        <v>0</v>
      </c>
      <c r="R41" s="28">
        <f t="shared" si="4"/>
        <v>0</v>
      </c>
      <c r="S41" s="29">
        <f t="shared" si="5"/>
        <v>0</v>
      </c>
    </row>
    <row r="42" spans="2:19" hidden="1" x14ac:dyDescent="0.2">
      <c r="B42" s="74">
        <f>RANK(S42,$S$30:$S$49,0)</f>
        <v>9</v>
      </c>
      <c r="D42" s="2">
        <f>SUMIFS('Streaming Data (2024-2026)'!$H:$H,'Streaming Data (2024-2026)'!$D:$D,$C42,'Streaming Data (2024-2026)'!$E:$E,D$2)</f>
        <v>0</v>
      </c>
      <c r="E42" s="2">
        <f>SUMIFS('Streaming Data (2024-2026)'!$H:$H,'Streaming Data (2024-2026)'!$D:$D,$C42,'Streaming Data (2024-2026)'!$E:$E,E$2)</f>
        <v>0</v>
      </c>
      <c r="F42" s="2">
        <f>SUMIFS('Streaming Data (2024-2026)'!$H:$H,'Streaming Data (2024-2026)'!$D:$D,$C42,'Streaming Data (2024-2026)'!$E:$E,F$2)</f>
        <v>0</v>
      </c>
      <c r="G42" s="2">
        <f>SUMIFS('Streaming Data (2024-2026)'!$H:$H,'Streaming Data (2024-2026)'!$D:$D,$C42,'Streaming Data (2024-2026)'!$E:$E,G$2)</f>
        <v>0</v>
      </c>
      <c r="H42" s="2">
        <f>SUMIFS('Streaming Data (2024-2026)'!$H:$H,'Streaming Data (2024-2026)'!$D:$D,$C42,'Streaming Data (2024-2026)'!$E:$E,H$2)</f>
        <v>0</v>
      </c>
      <c r="I42" s="2">
        <f>SUMIFS('Streaming Data (2024-2026)'!$H:$H,'Streaming Data (2024-2026)'!$D:$D,$C42,'Streaming Data (2024-2026)'!$E:$E,I$2)</f>
        <v>0</v>
      </c>
      <c r="J42" s="2">
        <f>SUMIFS('Streaming Data (2024-2026)'!$H:$H,'Streaming Data (2024-2026)'!$D:$D,$C42,'Streaming Data (2024-2026)'!$E:$E,J$2)</f>
        <v>0</v>
      </c>
      <c r="L42" s="27">
        <f t="shared" si="3"/>
        <v>0</v>
      </c>
      <c r="M42" s="28">
        <f t="shared" si="3"/>
        <v>0</v>
      </c>
      <c r="N42" s="28">
        <f t="shared" si="3"/>
        <v>0</v>
      </c>
      <c r="O42" s="28">
        <f t="shared" si="3"/>
        <v>0</v>
      </c>
      <c r="P42" s="28">
        <f t="shared" si="3"/>
        <v>0</v>
      </c>
      <c r="Q42" s="28">
        <f t="shared" si="3"/>
        <v>0</v>
      </c>
      <c r="R42" s="28">
        <f t="shared" si="4"/>
        <v>0</v>
      </c>
      <c r="S42" s="29">
        <f t="shared" si="5"/>
        <v>0</v>
      </c>
    </row>
    <row r="43" spans="2:19" hidden="1" x14ac:dyDescent="0.2">
      <c r="B43" s="74">
        <f>RANK(S43,$S$30:$S$49,0)</f>
        <v>9</v>
      </c>
      <c r="D43" s="2">
        <f>SUMIFS('Streaming Data (2024-2026)'!$H:$H,'Streaming Data (2024-2026)'!$D:$D,$C43,'Streaming Data (2024-2026)'!$E:$E,D$2)</f>
        <v>0</v>
      </c>
      <c r="E43" s="2">
        <f>SUMIFS('Streaming Data (2024-2026)'!$H:$H,'Streaming Data (2024-2026)'!$D:$D,$C43,'Streaming Data (2024-2026)'!$E:$E,E$2)</f>
        <v>0</v>
      </c>
      <c r="F43" s="2">
        <f>SUMIFS('Streaming Data (2024-2026)'!$H:$H,'Streaming Data (2024-2026)'!$D:$D,$C43,'Streaming Data (2024-2026)'!$E:$E,F$2)</f>
        <v>0</v>
      </c>
      <c r="G43" s="2">
        <f>SUMIFS('Streaming Data (2024-2026)'!$H:$H,'Streaming Data (2024-2026)'!$D:$D,$C43,'Streaming Data (2024-2026)'!$E:$E,G$2)</f>
        <v>0</v>
      </c>
      <c r="H43" s="2">
        <f>SUMIFS('Streaming Data (2024-2026)'!$H:$H,'Streaming Data (2024-2026)'!$D:$D,$C43,'Streaming Data (2024-2026)'!$E:$E,H$2)</f>
        <v>0</v>
      </c>
      <c r="I43" s="2">
        <f>SUMIFS('Streaming Data (2024-2026)'!$H:$H,'Streaming Data (2024-2026)'!$D:$D,$C43,'Streaming Data (2024-2026)'!$E:$E,I$2)</f>
        <v>0</v>
      </c>
      <c r="J43" s="2">
        <f>SUMIFS('Streaming Data (2024-2026)'!$H:$H,'Streaming Data (2024-2026)'!$D:$D,$C43,'Streaming Data (2024-2026)'!$E:$E,J$2)</f>
        <v>0</v>
      </c>
      <c r="L43" s="27">
        <f t="shared" si="3"/>
        <v>0</v>
      </c>
      <c r="M43" s="28">
        <f t="shared" si="3"/>
        <v>0</v>
      </c>
      <c r="N43" s="28">
        <f t="shared" si="3"/>
        <v>0</v>
      </c>
      <c r="O43" s="28">
        <f t="shared" si="3"/>
        <v>0</v>
      </c>
      <c r="P43" s="28">
        <f t="shared" si="3"/>
        <v>0</v>
      </c>
      <c r="Q43" s="28">
        <f t="shared" si="3"/>
        <v>0</v>
      </c>
      <c r="R43" s="28">
        <f t="shared" si="4"/>
        <v>0</v>
      </c>
      <c r="S43" s="29">
        <f t="shared" si="5"/>
        <v>0</v>
      </c>
    </row>
    <row r="44" spans="2:19" hidden="1" x14ac:dyDescent="0.2">
      <c r="B44" s="74">
        <f>RANK(S44,$S$30:$S$49,0)</f>
        <v>9</v>
      </c>
      <c r="D44" s="2">
        <f>SUMIFS('Streaming Data (2024-2026)'!$H:$H,'Streaming Data (2024-2026)'!$D:$D,$C44,'Streaming Data (2024-2026)'!$E:$E,D$2)</f>
        <v>0</v>
      </c>
      <c r="E44" s="2">
        <f>SUMIFS('Streaming Data (2024-2026)'!$H:$H,'Streaming Data (2024-2026)'!$D:$D,$C44,'Streaming Data (2024-2026)'!$E:$E,E$2)</f>
        <v>0</v>
      </c>
      <c r="F44" s="2">
        <f>SUMIFS('Streaming Data (2024-2026)'!$H:$H,'Streaming Data (2024-2026)'!$D:$D,$C44,'Streaming Data (2024-2026)'!$E:$E,F$2)</f>
        <v>0</v>
      </c>
      <c r="G44" s="2">
        <f>SUMIFS('Streaming Data (2024-2026)'!$H:$H,'Streaming Data (2024-2026)'!$D:$D,$C44,'Streaming Data (2024-2026)'!$E:$E,G$2)</f>
        <v>0</v>
      </c>
      <c r="H44" s="2">
        <f>SUMIFS('Streaming Data (2024-2026)'!$H:$H,'Streaming Data (2024-2026)'!$D:$D,$C44,'Streaming Data (2024-2026)'!$E:$E,H$2)</f>
        <v>0</v>
      </c>
      <c r="I44" s="2">
        <f>SUMIFS('Streaming Data (2024-2026)'!$H:$H,'Streaming Data (2024-2026)'!$D:$D,$C44,'Streaming Data (2024-2026)'!$E:$E,I$2)</f>
        <v>0</v>
      </c>
      <c r="J44" s="2">
        <f>SUMIFS('Streaming Data (2024-2026)'!$H:$H,'Streaming Data (2024-2026)'!$D:$D,$C44,'Streaming Data (2024-2026)'!$E:$E,J$2)</f>
        <v>0</v>
      </c>
      <c r="L44" s="27">
        <f t="shared" si="3"/>
        <v>0</v>
      </c>
      <c r="M44" s="28">
        <f t="shared" si="3"/>
        <v>0</v>
      </c>
      <c r="N44" s="28">
        <f t="shared" si="3"/>
        <v>0</v>
      </c>
      <c r="O44" s="28">
        <f t="shared" si="3"/>
        <v>0</v>
      </c>
      <c r="P44" s="28">
        <f t="shared" si="3"/>
        <v>0</v>
      </c>
      <c r="Q44" s="28">
        <f t="shared" si="3"/>
        <v>0</v>
      </c>
      <c r="R44" s="28">
        <f t="shared" si="4"/>
        <v>0</v>
      </c>
      <c r="S44" s="29">
        <f t="shared" si="5"/>
        <v>0</v>
      </c>
    </row>
    <row r="45" spans="2:19" hidden="1" x14ac:dyDescent="0.2">
      <c r="B45" s="74">
        <f>RANK(S45,$S$30:$S$49,0)</f>
        <v>9</v>
      </c>
      <c r="D45" s="2">
        <f>SUMIFS('Streaming Data (2024-2026)'!$H:$H,'Streaming Data (2024-2026)'!$D:$D,$C45,'Streaming Data (2024-2026)'!$E:$E,D$2)</f>
        <v>0</v>
      </c>
      <c r="E45" s="2">
        <f>SUMIFS('Streaming Data (2024-2026)'!$H:$H,'Streaming Data (2024-2026)'!$D:$D,$C45,'Streaming Data (2024-2026)'!$E:$E,E$2)</f>
        <v>0</v>
      </c>
      <c r="F45" s="2">
        <f>SUMIFS('Streaming Data (2024-2026)'!$H:$H,'Streaming Data (2024-2026)'!$D:$D,$C45,'Streaming Data (2024-2026)'!$E:$E,F$2)</f>
        <v>0</v>
      </c>
      <c r="G45" s="2">
        <f>SUMIFS('Streaming Data (2024-2026)'!$H:$H,'Streaming Data (2024-2026)'!$D:$D,$C45,'Streaming Data (2024-2026)'!$E:$E,G$2)</f>
        <v>0</v>
      </c>
      <c r="H45" s="2">
        <f>SUMIFS('Streaming Data (2024-2026)'!$H:$H,'Streaming Data (2024-2026)'!$D:$D,$C45,'Streaming Data (2024-2026)'!$E:$E,H$2)</f>
        <v>0</v>
      </c>
      <c r="I45" s="2">
        <f>SUMIFS('Streaming Data (2024-2026)'!$H:$H,'Streaming Data (2024-2026)'!$D:$D,$C45,'Streaming Data (2024-2026)'!$E:$E,I$2)</f>
        <v>0</v>
      </c>
      <c r="J45" s="2">
        <f>SUMIFS('Streaming Data (2024-2026)'!$H:$H,'Streaming Data (2024-2026)'!$D:$D,$C45,'Streaming Data (2024-2026)'!$E:$E,J$2)</f>
        <v>0</v>
      </c>
      <c r="L45" s="27">
        <f t="shared" si="3"/>
        <v>0</v>
      </c>
      <c r="M45" s="28">
        <f t="shared" si="3"/>
        <v>0</v>
      </c>
      <c r="N45" s="28">
        <f t="shared" si="3"/>
        <v>0</v>
      </c>
      <c r="O45" s="28">
        <f t="shared" si="3"/>
        <v>0</v>
      </c>
      <c r="P45" s="28">
        <f t="shared" si="3"/>
        <v>0</v>
      </c>
      <c r="Q45" s="28">
        <f t="shared" si="3"/>
        <v>0</v>
      </c>
      <c r="R45" s="28">
        <f t="shared" si="4"/>
        <v>0</v>
      </c>
      <c r="S45" s="29">
        <f t="shared" si="5"/>
        <v>0</v>
      </c>
    </row>
    <row r="46" spans="2:19" hidden="1" x14ac:dyDescent="0.2">
      <c r="B46" s="74">
        <f>RANK(S46,$S$30:$S$49,0)</f>
        <v>9</v>
      </c>
      <c r="D46" s="2">
        <f>SUMIFS('Streaming Data (2024-2026)'!$H:$H,'Streaming Data (2024-2026)'!$D:$D,$C46,'Streaming Data (2024-2026)'!$E:$E,D$2)</f>
        <v>0</v>
      </c>
      <c r="E46" s="2">
        <f>SUMIFS('Streaming Data (2024-2026)'!$H:$H,'Streaming Data (2024-2026)'!$D:$D,$C46,'Streaming Data (2024-2026)'!$E:$E,E$2)</f>
        <v>0</v>
      </c>
      <c r="F46" s="2">
        <f>SUMIFS('Streaming Data (2024-2026)'!$H:$H,'Streaming Data (2024-2026)'!$D:$D,$C46,'Streaming Data (2024-2026)'!$E:$E,F$2)</f>
        <v>0</v>
      </c>
      <c r="G46" s="2">
        <f>SUMIFS('Streaming Data (2024-2026)'!$H:$H,'Streaming Data (2024-2026)'!$D:$D,$C46,'Streaming Data (2024-2026)'!$E:$E,G$2)</f>
        <v>0</v>
      </c>
      <c r="H46" s="2">
        <f>SUMIFS('Streaming Data (2024-2026)'!$H:$H,'Streaming Data (2024-2026)'!$D:$D,$C46,'Streaming Data (2024-2026)'!$E:$E,H$2)</f>
        <v>0</v>
      </c>
      <c r="I46" s="2">
        <f>SUMIFS('Streaming Data (2024-2026)'!$H:$H,'Streaming Data (2024-2026)'!$D:$D,$C46,'Streaming Data (2024-2026)'!$E:$E,I$2)</f>
        <v>0</v>
      </c>
      <c r="J46" s="2">
        <f>SUMIFS('Streaming Data (2024-2026)'!$H:$H,'Streaming Data (2024-2026)'!$D:$D,$C46,'Streaming Data (2024-2026)'!$E:$E,J$2)</f>
        <v>0</v>
      </c>
      <c r="L46" s="27">
        <f t="shared" ref="L46:Q64" si="6">IFERROR((E46-D46)/D46,0)</f>
        <v>0</v>
      </c>
      <c r="M46" s="28">
        <f t="shared" si="6"/>
        <v>0</v>
      </c>
      <c r="N46" s="28">
        <f t="shared" si="6"/>
        <v>0</v>
      </c>
      <c r="O46" s="28">
        <f t="shared" si="6"/>
        <v>0</v>
      </c>
      <c r="P46" s="28">
        <f t="shared" si="6"/>
        <v>0</v>
      </c>
      <c r="Q46" s="28">
        <f t="shared" si="6"/>
        <v>0</v>
      </c>
      <c r="R46" s="28">
        <f t="shared" si="4"/>
        <v>0</v>
      </c>
      <c r="S46" s="29">
        <f t="shared" si="5"/>
        <v>0</v>
      </c>
    </row>
    <row r="47" spans="2:19" hidden="1" x14ac:dyDescent="0.2">
      <c r="B47" s="74">
        <f>RANK(S47,$S$30:$S$49,0)</f>
        <v>9</v>
      </c>
      <c r="D47" s="2">
        <f>SUMIFS('Streaming Data (2024-2026)'!$H:$H,'Streaming Data (2024-2026)'!$D:$D,$C47,'Streaming Data (2024-2026)'!$E:$E,D$2)</f>
        <v>0</v>
      </c>
      <c r="E47" s="2">
        <f>SUMIFS('Streaming Data (2024-2026)'!$H:$H,'Streaming Data (2024-2026)'!$D:$D,$C47,'Streaming Data (2024-2026)'!$E:$E,E$2)</f>
        <v>0</v>
      </c>
      <c r="F47" s="2">
        <f>SUMIFS('Streaming Data (2024-2026)'!$H:$H,'Streaming Data (2024-2026)'!$D:$D,$C47,'Streaming Data (2024-2026)'!$E:$E,F$2)</f>
        <v>0</v>
      </c>
      <c r="G47" s="2">
        <f>SUMIFS('Streaming Data (2024-2026)'!$H:$H,'Streaming Data (2024-2026)'!$D:$D,$C47,'Streaming Data (2024-2026)'!$E:$E,G$2)</f>
        <v>0</v>
      </c>
      <c r="H47" s="2">
        <f>SUMIFS('Streaming Data (2024-2026)'!$H:$H,'Streaming Data (2024-2026)'!$D:$D,$C47,'Streaming Data (2024-2026)'!$E:$E,H$2)</f>
        <v>0</v>
      </c>
      <c r="I47" s="2">
        <f>SUMIFS('Streaming Data (2024-2026)'!$H:$H,'Streaming Data (2024-2026)'!$D:$D,$C47,'Streaming Data (2024-2026)'!$E:$E,I$2)</f>
        <v>0</v>
      </c>
      <c r="J47" s="2">
        <f>SUMIFS('Streaming Data (2024-2026)'!$H:$H,'Streaming Data (2024-2026)'!$D:$D,$C47,'Streaming Data (2024-2026)'!$E:$E,J$2)</f>
        <v>0</v>
      </c>
      <c r="L47" s="27">
        <f t="shared" si="6"/>
        <v>0</v>
      </c>
      <c r="M47" s="28">
        <f t="shared" si="6"/>
        <v>0</v>
      </c>
      <c r="N47" s="28">
        <f t="shared" si="6"/>
        <v>0</v>
      </c>
      <c r="O47" s="28">
        <f t="shared" si="6"/>
        <v>0</v>
      </c>
      <c r="P47" s="28">
        <f t="shared" si="6"/>
        <v>0</v>
      </c>
      <c r="Q47" s="28">
        <f t="shared" si="6"/>
        <v>0</v>
      </c>
      <c r="R47" s="28">
        <f t="shared" si="4"/>
        <v>0</v>
      </c>
      <c r="S47" s="29">
        <f t="shared" si="5"/>
        <v>0</v>
      </c>
    </row>
    <row r="48" spans="2:19" hidden="1" x14ac:dyDescent="0.2">
      <c r="B48" s="74">
        <f>RANK(S48,$S$30:$S$49,0)</f>
        <v>9</v>
      </c>
      <c r="D48" s="2">
        <f>SUMIFS('Streaming Data (2024-2026)'!$H:$H,'Streaming Data (2024-2026)'!$D:$D,$C48,'Streaming Data (2024-2026)'!$E:$E,D$2)</f>
        <v>0</v>
      </c>
      <c r="E48" s="2">
        <f>SUMIFS('Streaming Data (2024-2026)'!$H:$H,'Streaming Data (2024-2026)'!$D:$D,$C48,'Streaming Data (2024-2026)'!$E:$E,E$2)</f>
        <v>0</v>
      </c>
      <c r="F48" s="2">
        <f>SUMIFS('Streaming Data (2024-2026)'!$H:$H,'Streaming Data (2024-2026)'!$D:$D,$C48,'Streaming Data (2024-2026)'!$E:$E,F$2)</f>
        <v>0</v>
      </c>
      <c r="G48" s="2">
        <f>SUMIFS('Streaming Data (2024-2026)'!$H:$H,'Streaming Data (2024-2026)'!$D:$D,$C48,'Streaming Data (2024-2026)'!$E:$E,G$2)</f>
        <v>0</v>
      </c>
      <c r="H48" s="2">
        <f>SUMIFS('Streaming Data (2024-2026)'!$H:$H,'Streaming Data (2024-2026)'!$D:$D,$C48,'Streaming Data (2024-2026)'!$E:$E,H$2)</f>
        <v>0</v>
      </c>
      <c r="I48" s="2">
        <f>SUMIFS('Streaming Data (2024-2026)'!$H:$H,'Streaming Data (2024-2026)'!$D:$D,$C48,'Streaming Data (2024-2026)'!$E:$E,I$2)</f>
        <v>0</v>
      </c>
      <c r="J48" s="2">
        <f>SUMIFS('Streaming Data (2024-2026)'!$H:$H,'Streaming Data (2024-2026)'!$D:$D,$C48,'Streaming Data (2024-2026)'!$E:$E,J$2)</f>
        <v>0</v>
      </c>
      <c r="L48" s="27">
        <f t="shared" si="6"/>
        <v>0</v>
      </c>
      <c r="M48" s="28">
        <f t="shared" si="6"/>
        <v>0</v>
      </c>
      <c r="N48" s="28">
        <f t="shared" si="6"/>
        <v>0</v>
      </c>
      <c r="O48" s="28">
        <f t="shared" si="6"/>
        <v>0</v>
      </c>
      <c r="P48" s="28">
        <f t="shared" si="6"/>
        <v>0</v>
      </c>
      <c r="Q48" s="28">
        <f t="shared" si="6"/>
        <v>0</v>
      </c>
      <c r="R48" s="28">
        <f t="shared" si="4"/>
        <v>0</v>
      </c>
      <c r="S48" s="29">
        <f t="shared" si="5"/>
        <v>0</v>
      </c>
    </row>
    <row r="49" spans="2:19" hidden="1" x14ac:dyDescent="0.2">
      <c r="B49" s="74">
        <f>RANK(S49,$S$30:$S$49,0)</f>
        <v>9</v>
      </c>
      <c r="D49" s="2">
        <f>SUMIFS('Streaming Data (2024-2026)'!$H:$H,'Streaming Data (2024-2026)'!$D:$D,$C49,'Streaming Data (2024-2026)'!$E:$E,D$2)</f>
        <v>0</v>
      </c>
      <c r="E49" s="2">
        <f>SUMIFS('Streaming Data (2024-2026)'!$H:$H,'Streaming Data (2024-2026)'!$D:$D,$C49,'Streaming Data (2024-2026)'!$E:$E,E$2)</f>
        <v>0</v>
      </c>
      <c r="F49" s="2">
        <f>SUMIFS('Streaming Data (2024-2026)'!$H:$H,'Streaming Data (2024-2026)'!$D:$D,$C49,'Streaming Data (2024-2026)'!$E:$E,F$2)</f>
        <v>0</v>
      </c>
      <c r="G49" s="2">
        <f>SUMIFS('Streaming Data (2024-2026)'!$H:$H,'Streaming Data (2024-2026)'!$D:$D,$C49,'Streaming Data (2024-2026)'!$E:$E,G$2)</f>
        <v>0</v>
      </c>
      <c r="H49" s="2">
        <f>SUMIFS('Streaming Data (2024-2026)'!$H:$H,'Streaming Data (2024-2026)'!$D:$D,$C49,'Streaming Data (2024-2026)'!$E:$E,H$2)</f>
        <v>0</v>
      </c>
      <c r="I49" s="2">
        <f>SUMIFS('Streaming Data (2024-2026)'!$H:$H,'Streaming Data (2024-2026)'!$D:$D,$C49,'Streaming Data (2024-2026)'!$E:$E,I$2)</f>
        <v>0</v>
      </c>
      <c r="J49" s="2">
        <f>SUMIFS('Streaming Data (2024-2026)'!$H:$H,'Streaming Data (2024-2026)'!$D:$D,$C49,'Streaming Data (2024-2026)'!$E:$E,J$2)</f>
        <v>0</v>
      </c>
      <c r="L49" s="27">
        <f t="shared" si="6"/>
        <v>0</v>
      </c>
      <c r="M49" s="28">
        <f t="shared" si="6"/>
        <v>0</v>
      </c>
      <c r="N49" s="28">
        <f t="shared" si="6"/>
        <v>0</v>
      </c>
      <c r="O49" s="28">
        <f t="shared" si="6"/>
        <v>0</v>
      </c>
      <c r="P49" s="28">
        <f t="shared" si="6"/>
        <v>0</v>
      </c>
      <c r="Q49" s="28">
        <f t="shared" si="6"/>
        <v>0</v>
      </c>
      <c r="R49" s="28">
        <f t="shared" si="4"/>
        <v>0</v>
      </c>
      <c r="S49" s="29">
        <f t="shared" si="5"/>
        <v>0</v>
      </c>
    </row>
    <row r="50" spans="2:19" x14ac:dyDescent="0.2">
      <c r="L50" s="30"/>
      <c r="M50" s="31"/>
      <c r="N50" s="31"/>
      <c r="O50" s="31"/>
      <c r="P50" s="31"/>
      <c r="Q50" s="31"/>
      <c r="R50" s="31"/>
      <c r="S50" s="32"/>
    </row>
    <row r="52" spans="2:19" x14ac:dyDescent="0.2">
      <c r="C52" s="16" t="s">
        <v>533</v>
      </c>
      <c r="D52" s="17"/>
      <c r="E52" s="17"/>
      <c r="F52" s="17"/>
      <c r="G52" s="17"/>
      <c r="H52" s="17"/>
      <c r="I52" s="17"/>
      <c r="J52" s="18"/>
      <c r="L52" s="19" t="s">
        <v>538</v>
      </c>
      <c r="M52" s="20"/>
      <c r="N52" s="20"/>
      <c r="O52" s="20"/>
      <c r="P52" s="20"/>
      <c r="Q52" s="20"/>
      <c r="R52" s="21"/>
      <c r="S52" s="61"/>
    </row>
    <row r="53" spans="2:19" x14ac:dyDescent="0.2">
      <c r="C53" s="60" t="s">
        <v>480</v>
      </c>
      <c r="D53" s="54" t="s">
        <v>549</v>
      </c>
      <c r="E53" s="54" t="s">
        <v>550</v>
      </c>
      <c r="F53" s="54" t="s">
        <v>551</v>
      </c>
      <c r="G53" s="54" t="s">
        <v>678</v>
      </c>
      <c r="H53" s="54" t="s">
        <v>497</v>
      </c>
      <c r="I53" s="54" t="s">
        <v>498</v>
      </c>
      <c r="J53" s="54" t="s">
        <v>532</v>
      </c>
      <c r="L53" s="56" t="s">
        <v>679</v>
      </c>
      <c r="M53" s="54" t="s">
        <v>680</v>
      </c>
      <c r="N53" s="54" t="s">
        <v>681</v>
      </c>
      <c r="O53" s="54" t="s">
        <v>682</v>
      </c>
      <c r="P53" s="54" t="s">
        <v>683</v>
      </c>
      <c r="Q53" s="54" t="s">
        <v>684</v>
      </c>
      <c r="R53" s="52" t="s">
        <v>552</v>
      </c>
      <c r="S53" s="62" t="s">
        <v>690</v>
      </c>
    </row>
    <row r="54" spans="2:19" x14ac:dyDescent="0.2">
      <c r="B54" s="74">
        <f>RANK(S54,$S$54:$S$61,0)</f>
        <v>1</v>
      </c>
      <c r="C54" t="s">
        <v>26</v>
      </c>
      <c r="D54" s="2">
        <f>SUMIFS('Streaming Data (2024-2026)'!$J:$J,'Streaming Data (2024-2026)'!$D:$D,$C54,'Streaming Data (2024-2026)'!$E:$E,D$2)</f>
        <v>3678462</v>
      </c>
      <c r="E54" s="2">
        <f>SUMIFS('Streaming Data (2024-2026)'!$J:$J,'Streaming Data (2024-2026)'!$D:$D,$C54,'Streaming Data (2024-2026)'!$E:$E,E$2)</f>
        <v>3036334</v>
      </c>
      <c r="F54" s="2">
        <f>SUMIFS('Streaming Data (2024-2026)'!$J:$J,'Streaming Data (2024-2026)'!$D:$D,$C54,'Streaming Data (2024-2026)'!$E:$E,F$2)</f>
        <v>3079098</v>
      </c>
      <c r="G54" s="2">
        <f>SUMIFS('Streaming Data (2024-2026)'!$J:$J,'Streaming Data (2024-2026)'!$D:$D,$C54,'Streaming Data (2024-2026)'!$E:$E,G$2)</f>
        <v>3267700</v>
      </c>
      <c r="H54" s="2">
        <f>SUMIFS('Streaming Data (2024-2026)'!$J:$J,'Streaming Data (2024-2026)'!$D:$D,$C54,'Streaming Data (2024-2026)'!$E:$E,H$2)</f>
        <v>3211035</v>
      </c>
      <c r="I54" s="2">
        <f>SUMIFS('Streaming Data (2024-2026)'!$J:$J,'Streaming Data (2024-2026)'!$D:$D,$C54,'Streaming Data (2024-2026)'!$E:$E,I$2)</f>
        <v>4217498</v>
      </c>
      <c r="J54" s="2">
        <f>SUMIFS('Streaming Data (2024-2026)'!$J:$J,'Streaming Data (2024-2026)'!$D:$D,$C54,'Streaming Data (2024-2026)'!$E:$E,J$2)</f>
        <v>3831583</v>
      </c>
      <c r="L54" s="27">
        <f>IFERROR((E54-D54)/D54,0)</f>
        <v>-0.17456426082422491</v>
      </c>
      <c r="M54" s="28">
        <f>IFERROR((F54-E54)/E54,0)</f>
        <v>1.408408956326939E-2</v>
      </c>
      <c r="N54" s="28">
        <f>IFERROR((G54-F54)/F54,0)</f>
        <v>6.1252353773735037E-2</v>
      </c>
      <c r="O54" s="28">
        <f>IFERROR((H54-G54)/G54,0)</f>
        <v>-1.7340943171037734E-2</v>
      </c>
      <c r="P54" s="28">
        <f>IFERROR((I54-H54)/H54,0)</f>
        <v>0.31343881334211554</v>
      </c>
      <c r="Q54" s="28">
        <f>IFERROR((J54-I54)/I54,0)</f>
        <v>-9.1503303617452805E-2</v>
      </c>
      <c r="R54" s="28">
        <f>IFERROR((J54-D54)/D54,0)</f>
        <v>4.1626364496901151E-2</v>
      </c>
      <c r="S54" s="29">
        <f>IFERROR((J54/D54)^(1/6)-1,0)</f>
        <v>6.820370792939956E-3</v>
      </c>
    </row>
    <row r="55" spans="2:19" x14ac:dyDescent="0.2">
      <c r="B55" s="74">
        <f t="shared" ref="B55:B61" si="7">RANK(S55,$S$54:$S$61,0)</f>
        <v>2</v>
      </c>
      <c r="C55" t="s">
        <v>42</v>
      </c>
      <c r="D55" s="2">
        <f>SUMIFS('Streaming Data (2024-2026)'!$J:$J,'Streaming Data (2024-2026)'!$D:$D,$C55,'Streaming Data (2024-2026)'!$E:$E,D$2)</f>
        <v>1198159</v>
      </c>
      <c r="E55" s="2">
        <f>SUMIFS('Streaming Data (2024-2026)'!$J:$J,'Streaming Data (2024-2026)'!$D:$D,$C55,'Streaming Data (2024-2026)'!$E:$E,E$2)</f>
        <v>948951</v>
      </c>
      <c r="F55" s="2">
        <f>SUMIFS('Streaming Data (2024-2026)'!$J:$J,'Streaming Data (2024-2026)'!$D:$D,$C55,'Streaming Data (2024-2026)'!$E:$E,F$2)</f>
        <v>970747</v>
      </c>
      <c r="G55" s="2">
        <f>SUMIFS('Streaming Data (2024-2026)'!$J:$J,'Streaming Data (2024-2026)'!$D:$D,$C55,'Streaming Data (2024-2026)'!$E:$E,G$2)</f>
        <v>1081397</v>
      </c>
      <c r="H55" s="2">
        <f>SUMIFS('Streaming Data (2024-2026)'!$J:$J,'Streaming Data (2024-2026)'!$D:$D,$C55,'Streaming Data (2024-2026)'!$E:$E,H$2)</f>
        <v>1097576</v>
      </c>
      <c r="I55" s="2">
        <f>SUMIFS('Streaming Data (2024-2026)'!$J:$J,'Streaming Data (2024-2026)'!$D:$D,$C55,'Streaming Data (2024-2026)'!$E:$E,I$2)</f>
        <v>1097225</v>
      </c>
      <c r="J55" s="2">
        <f>SUMIFS('Streaming Data (2024-2026)'!$J:$J,'Streaming Data (2024-2026)'!$D:$D,$C55,'Streaming Data (2024-2026)'!$E:$E,J$2)</f>
        <v>1057331</v>
      </c>
      <c r="L55" s="27">
        <f>IFERROR((E55-D55)/D55,0)</f>
        <v>-0.20799242838387894</v>
      </c>
      <c r="M55" s="28">
        <f>IFERROR((F55-E55)/E55,0)</f>
        <v>2.2968519976268531E-2</v>
      </c>
      <c r="N55" s="28">
        <f>IFERROR((G55-F55)/F55,0)</f>
        <v>0.113984385220866</v>
      </c>
      <c r="O55" s="28">
        <f>IFERROR((H55-G55)/G55,0)</f>
        <v>1.4961202962464294E-2</v>
      </c>
      <c r="P55" s="28">
        <f>IFERROR((I55-H55)/H55,0)</f>
        <v>-3.1979562235325844E-4</v>
      </c>
      <c r="Q55" s="28">
        <f>IFERROR((J55-I55)/I55,0)</f>
        <v>-3.635899655950238E-2</v>
      </c>
      <c r="R55" s="28">
        <f>IFERROR((J55-D55)/D55,0)</f>
        <v>-0.11753698799575014</v>
      </c>
      <c r="S55" s="29">
        <f>IFERROR((J55/D55)^(1/6)-1,0)</f>
        <v>-2.0624087314298878E-2</v>
      </c>
    </row>
    <row r="56" spans="2:19" x14ac:dyDescent="0.2">
      <c r="B56" s="74">
        <f t="shared" si="7"/>
        <v>3</v>
      </c>
      <c r="C56" t="s">
        <v>121</v>
      </c>
      <c r="D56" s="2">
        <f>SUMIFS('Streaming Data (2024-2026)'!$J:$J,'Streaming Data (2024-2026)'!$D:$D,$C56,'Streaming Data (2024-2026)'!$E:$E,D$2)</f>
        <v>2700767</v>
      </c>
      <c r="E56" s="2">
        <f>SUMIFS('Streaming Data (2024-2026)'!$J:$J,'Streaming Data (2024-2026)'!$D:$D,$C56,'Streaming Data (2024-2026)'!$E:$E,E$2)</f>
        <v>2134959</v>
      </c>
      <c r="F56" s="2">
        <f>SUMIFS('Streaming Data (2024-2026)'!$J:$J,'Streaming Data (2024-2026)'!$D:$D,$C56,'Streaming Data (2024-2026)'!$E:$E,F$2)</f>
        <v>2176559</v>
      </c>
      <c r="G56" s="2">
        <f>SUMIFS('Streaming Data (2024-2026)'!$J:$J,'Streaming Data (2024-2026)'!$D:$D,$C56,'Streaming Data (2024-2026)'!$E:$E,G$2)</f>
        <v>2250119</v>
      </c>
      <c r="H56" s="2">
        <f>SUMIFS('Streaming Data (2024-2026)'!$J:$J,'Streaming Data (2024-2026)'!$D:$D,$C56,'Streaming Data (2024-2026)'!$E:$E,H$2)</f>
        <v>2491708</v>
      </c>
      <c r="I56" s="2">
        <f>SUMIFS('Streaming Data (2024-2026)'!$J:$J,'Streaming Data (2024-2026)'!$D:$D,$C56,'Streaming Data (2024-2026)'!$E:$E,I$2)</f>
        <v>2405388</v>
      </c>
      <c r="J56" s="2">
        <f>SUMIFS('Streaming Data (2024-2026)'!$J:$J,'Streaming Data (2024-2026)'!$D:$D,$C56,'Streaming Data (2024-2026)'!$E:$E,J$2)</f>
        <v>2281763</v>
      </c>
      <c r="L56" s="27">
        <f>IFERROR((E56-D56)/D56,0)</f>
        <v>-0.20949900528257343</v>
      </c>
      <c r="M56" s="28">
        <f>IFERROR((F56-E56)/E56,0)</f>
        <v>1.9485151705489426E-2</v>
      </c>
      <c r="N56" s="28">
        <f>IFERROR((G56-F56)/F56,0)</f>
        <v>3.3796464970625655E-2</v>
      </c>
      <c r="O56" s="28">
        <f>IFERROR((H56-G56)/G56,0)</f>
        <v>0.10736721035643004</v>
      </c>
      <c r="P56" s="28">
        <f>IFERROR((I56-H56)/H56,0)</f>
        <v>-3.4642903582602774E-2</v>
      </c>
      <c r="Q56" s="28">
        <f>IFERROR((J56-I56)/I56,0)</f>
        <v>-5.1395034813510335E-2</v>
      </c>
      <c r="R56" s="28">
        <f>IFERROR((J56-D56)/D56,0)</f>
        <v>-0.15514259467773414</v>
      </c>
      <c r="S56" s="29">
        <f>IFERROR((J56/D56)^(1/6)-1,0)</f>
        <v>-2.7706828108956083E-2</v>
      </c>
    </row>
    <row r="57" spans="2:19" x14ac:dyDescent="0.2">
      <c r="B57" s="74">
        <f t="shared" si="7"/>
        <v>4</v>
      </c>
      <c r="C57" t="s">
        <v>91</v>
      </c>
      <c r="D57" s="2">
        <f>SUMIFS('Streaming Data (2024-2026)'!$J:$J,'Streaming Data (2024-2026)'!$D:$D,$C57,'Streaming Data (2024-2026)'!$E:$E,D$2)</f>
        <v>1227036</v>
      </c>
      <c r="E57" s="2">
        <f>SUMIFS('Streaming Data (2024-2026)'!$J:$J,'Streaming Data (2024-2026)'!$D:$D,$C57,'Streaming Data (2024-2026)'!$E:$E,E$2)</f>
        <v>923213</v>
      </c>
      <c r="F57" s="2">
        <f>SUMIFS('Streaming Data (2024-2026)'!$J:$J,'Streaming Data (2024-2026)'!$D:$D,$C57,'Streaming Data (2024-2026)'!$E:$E,F$2)</f>
        <v>1328977</v>
      </c>
      <c r="G57" s="2">
        <f>SUMIFS('Streaming Data (2024-2026)'!$J:$J,'Streaming Data (2024-2026)'!$D:$D,$C57,'Streaming Data (2024-2026)'!$E:$E,G$2)</f>
        <v>1497840</v>
      </c>
      <c r="H57" s="2">
        <f>SUMIFS('Streaming Data (2024-2026)'!$J:$J,'Streaming Data (2024-2026)'!$D:$D,$C57,'Streaming Data (2024-2026)'!$E:$E,H$2)</f>
        <v>1296472</v>
      </c>
      <c r="I57" s="2">
        <f>SUMIFS('Streaming Data (2024-2026)'!$J:$J,'Streaming Data (2024-2026)'!$D:$D,$C57,'Streaming Data (2024-2026)'!$E:$E,I$2)</f>
        <v>1133849</v>
      </c>
      <c r="J57" s="2">
        <f>SUMIFS('Streaming Data (2024-2026)'!$J:$J,'Streaming Data (2024-2026)'!$D:$D,$C57,'Streaming Data (2024-2026)'!$E:$E,J$2)</f>
        <v>1000659</v>
      </c>
      <c r="L57" s="27">
        <f>IFERROR((E57-D57)/D57,0)</f>
        <v>-0.24760724216730398</v>
      </c>
      <c r="M57" s="28">
        <f>IFERROR((F57-E57)/E57,0)</f>
        <v>0.43951287514365589</v>
      </c>
      <c r="N57" s="28">
        <f>IFERROR((G57-F57)/F57,0)</f>
        <v>0.12706239460878554</v>
      </c>
      <c r="O57" s="28">
        <f>IFERROR((H57-G57)/G57,0)</f>
        <v>-0.134438925385889</v>
      </c>
      <c r="P57" s="28">
        <f>IFERROR((I57-H57)/H57,0)</f>
        <v>-0.12543502674951715</v>
      </c>
      <c r="Q57" s="28">
        <f>IFERROR((J57-I57)/I57,0)</f>
        <v>-0.11746714068628186</v>
      </c>
      <c r="R57" s="28">
        <f>IFERROR((J57-D57)/D57,0)</f>
        <v>-0.18449091958182157</v>
      </c>
      <c r="S57" s="29">
        <f>IFERROR((J57/D57)^(1/6)-1,0)</f>
        <v>-3.3419268136383518E-2</v>
      </c>
    </row>
    <row r="58" spans="2:19" x14ac:dyDescent="0.2">
      <c r="B58" s="74">
        <f t="shared" si="7"/>
        <v>5</v>
      </c>
      <c r="C58" t="s">
        <v>32</v>
      </c>
      <c r="D58" s="2">
        <f>SUMIFS('Streaming Data (2024-2026)'!$J:$J,'Streaming Data (2024-2026)'!$D:$D,$C58,'Streaming Data (2024-2026)'!$E:$E,D$2)</f>
        <v>5767124</v>
      </c>
      <c r="E58" s="2">
        <f>SUMIFS('Streaming Data (2024-2026)'!$J:$J,'Streaming Data (2024-2026)'!$D:$D,$C58,'Streaming Data (2024-2026)'!$E:$E,E$2)</f>
        <v>5024432</v>
      </c>
      <c r="F58" s="2">
        <f>SUMIFS('Streaming Data (2024-2026)'!$J:$J,'Streaming Data (2024-2026)'!$D:$D,$C58,'Streaming Data (2024-2026)'!$E:$E,F$2)</f>
        <v>4893966</v>
      </c>
      <c r="G58" s="2">
        <f>SUMIFS('Streaming Data (2024-2026)'!$J:$J,'Streaming Data (2024-2026)'!$D:$D,$C58,'Streaming Data (2024-2026)'!$E:$E,G$2)</f>
        <v>4876913</v>
      </c>
      <c r="H58" s="2">
        <f>SUMIFS('Streaming Data (2024-2026)'!$J:$J,'Streaming Data (2024-2026)'!$D:$D,$C58,'Streaming Data (2024-2026)'!$E:$E,H$2)</f>
        <v>5149111</v>
      </c>
      <c r="I58" s="2">
        <f>SUMIFS('Streaming Data (2024-2026)'!$J:$J,'Streaming Data (2024-2026)'!$D:$D,$C58,'Streaming Data (2024-2026)'!$E:$E,I$2)</f>
        <v>4954074</v>
      </c>
      <c r="J58" s="2">
        <f>SUMIFS('Streaming Data (2024-2026)'!$J:$J,'Streaming Data (2024-2026)'!$D:$D,$C58,'Streaming Data (2024-2026)'!$E:$E,J$2)</f>
        <v>4697892</v>
      </c>
      <c r="L58" s="27">
        <f>IFERROR((E58-D58)/D58,0)</f>
        <v>-0.12878030713402383</v>
      </c>
      <c r="M58" s="28">
        <f>IFERROR((F58-E58)/E58,0)</f>
        <v>-2.5966318182831412E-2</v>
      </c>
      <c r="N58" s="28">
        <f>IFERROR((G58-F58)/F58,0)</f>
        <v>-3.4844949883182678E-3</v>
      </c>
      <c r="O58" s="28">
        <f>IFERROR((H58-G58)/G58,0)</f>
        <v>5.5813585356146396E-2</v>
      </c>
      <c r="P58" s="28">
        <f>IFERROR((I58-H58)/H58,0)</f>
        <v>-3.7877800653355505E-2</v>
      </c>
      <c r="Q58" s="28">
        <f>IFERROR((J58-I58)/I58,0)</f>
        <v>-5.171137936171321E-2</v>
      </c>
      <c r="R58" s="28">
        <f>IFERROR((J58-D58)/D58,0)</f>
        <v>-0.18540125025922799</v>
      </c>
      <c r="S58" s="29">
        <f>IFERROR((J58/D58)^(1/6)-1,0)</f>
        <v>-3.3599179811650282E-2</v>
      </c>
    </row>
    <row r="59" spans="2:19" x14ac:dyDescent="0.2">
      <c r="B59" s="74">
        <f t="shared" si="7"/>
        <v>6</v>
      </c>
      <c r="C59" t="s">
        <v>542</v>
      </c>
      <c r="D59" s="2">
        <f>SUMIFS('Streaming Data (2024-2026)'!$J:$J,'Streaming Data (2024-2026)'!$D:$D,$C59,'Streaming Data (2024-2026)'!$E:$E,D$2)</f>
        <v>1004213</v>
      </c>
      <c r="E59" s="2">
        <f>SUMIFS('Streaming Data (2024-2026)'!$J:$J,'Streaming Data (2024-2026)'!$D:$D,$C59,'Streaming Data (2024-2026)'!$E:$E,E$2)</f>
        <v>760737</v>
      </c>
      <c r="F59" s="2">
        <f>SUMIFS('Streaming Data (2024-2026)'!$J:$J,'Streaming Data (2024-2026)'!$D:$D,$C59,'Streaming Data (2024-2026)'!$E:$E,F$2)</f>
        <v>814445</v>
      </c>
      <c r="G59" s="2">
        <f>SUMIFS('Streaming Data (2024-2026)'!$J:$J,'Streaming Data (2024-2026)'!$D:$D,$C59,'Streaming Data (2024-2026)'!$E:$E,G$2)</f>
        <v>1057948</v>
      </c>
      <c r="H59" s="2">
        <f>SUMIFS('Streaming Data (2024-2026)'!$J:$J,'Streaming Data (2024-2026)'!$D:$D,$C59,'Streaming Data (2024-2026)'!$E:$E,H$2)</f>
        <v>920477</v>
      </c>
      <c r="I59" s="2">
        <f>SUMIFS('Streaming Data (2024-2026)'!$J:$J,'Streaming Data (2024-2026)'!$D:$D,$C59,'Streaming Data (2024-2026)'!$E:$E,I$2)</f>
        <v>861540</v>
      </c>
      <c r="J59" s="2">
        <f>SUMIFS('Streaming Data (2024-2026)'!$J:$J,'Streaming Data (2024-2026)'!$D:$D,$C59,'Streaming Data (2024-2026)'!$E:$E,J$2)</f>
        <v>806533</v>
      </c>
      <c r="L59" s="27">
        <f>IFERROR((E59-D59)/D59,0)</f>
        <v>-0.24245453902707892</v>
      </c>
      <c r="M59" s="28">
        <f>IFERROR((F59-E59)/E59,0)</f>
        <v>7.0599957672625363E-2</v>
      </c>
      <c r="N59" s="28">
        <f>IFERROR((G59-F59)/F59,0)</f>
        <v>0.29898028718943576</v>
      </c>
      <c r="O59" s="28">
        <f>IFERROR((H59-G59)/G59,0)</f>
        <v>-0.12994116913118603</v>
      </c>
      <c r="P59" s="28">
        <f>IFERROR((I59-H59)/H59,0)</f>
        <v>-6.4028759002126068E-2</v>
      </c>
      <c r="Q59" s="28">
        <f>IFERROR((J59-I59)/I59,0)</f>
        <v>-6.3847296701255885E-2</v>
      </c>
      <c r="R59" s="28">
        <f>IFERROR((J59-D59)/D59,0)</f>
        <v>-0.19685066813514662</v>
      </c>
      <c r="S59" s="29">
        <f>IFERROR((J59/D59)^(1/6)-1,0)</f>
        <v>-3.5876392597890772E-2</v>
      </c>
    </row>
    <row r="60" spans="2:19" x14ac:dyDescent="0.2">
      <c r="B60" s="74">
        <f t="shared" si="7"/>
        <v>7</v>
      </c>
      <c r="C60" t="s">
        <v>30</v>
      </c>
      <c r="D60" s="2">
        <f>SUMIFS('Streaming Data (2024-2026)'!$J:$J,'Streaming Data (2024-2026)'!$D:$D,$C60,'Streaming Data (2024-2026)'!$E:$E,D$2)</f>
        <v>2318011</v>
      </c>
      <c r="E60" s="2">
        <f>SUMIFS('Streaming Data (2024-2026)'!$J:$J,'Streaming Data (2024-2026)'!$D:$D,$C60,'Streaming Data (2024-2026)'!$E:$E,E$2)</f>
        <v>1859454</v>
      </c>
      <c r="F60" s="2">
        <f>SUMIFS('Streaming Data (2024-2026)'!$J:$J,'Streaming Data (2024-2026)'!$D:$D,$C60,'Streaming Data (2024-2026)'!$E:$E,F$2)</f>
        <v>1862357</v>
      </c>
      <c r="G60" s="2">
        <f>SUMIFS('Streaming Data (2024-2026)'!$J:$J,'Streaming Data (2024-2026)'!$D:$D,$C60,'Streaming Data (2024-2026)'!$E:$E,G$2)</f>
        <v>1848805</v>
      </c>
      <c r="H60" s="2">
        <f>SUMIFS('Streaming Data (2024-2026)'!$J:$J,'Streaming Data (2024-2026)'!$D:$D,$C60,'Streaming Data (2024-2026)'!$E:$E,H$2)</f>
        <v>1746310</v>
      </c>
      <c r="I60" s="2">
        <f>SUMIFS('Streaming Data (2024-2026)'!$J:$J,'Streaming Data (2024-2026)'!$D:$D,$C60,'Streaming Data (2024-2026)'!$E:$E,I$2)</f>
        <v>1671236</v>
      </c>
      <c r="J60" s="2">
        <f>SUMIFS('Streaming Data (2024-2026)'!$J:$J,'Streaming Data (2024-2026)'!$D:$D,$C60,'Streaming Data (2024-2026)'!$E:$E,J$2)</f>
        <v>1671453</v>
      </c>
      <c r="L60" s="27">
        <f>IFERROR((E60-D60)/D60,0)</f>
        <v>-0.19782347883595031</v>
      </c>
      <c r="M60" s="28">
        <f>IFERROR((F60-E60)/E60,0)</f>
        <v>1.5612109791368863E-3</v>
      </c>
      <c r="N60" s="28">
        <f>IFERROR((G60-F60)/F60,0)</f>
        <v>-7.2768003127219967E-3</v>
      </c>
      <c r="O60" s="28">
        <f>IFERROR((H60-G60)/G60,0)</f>
        <v>-5.5438512985414905E-2</v>
      </c>
      <c r="P60" s="28">
        <f>IFERROR((I60-H60)/H60,0)</f>
        <v>-4.2990076217853647E-2</v>
      </c>
      <c r="Q60" s="28">
        <f>IFERROR((J60-I60)/I60,0)</f>
        <v>1.2984401963576659E-4</v>
      </c>
      <c r="R60" s="28">
        <f>IFERROR((J60-D60)/D60,0)</f>
        <v>-0.27892792570872182</v>
      </c>
      <c r="S60" s="29">
        <f>IFERROR((J60/D60)^(1/6)-1,0)</f>
        <v>-5.3044045141119711E-2</v>
      </c>
    </row>
    <row r="61" spans="2:19" x14ac:dyDescent="0.2">
      <c r="B61" s="74">
        <f t="shared" si="7"/>
        <v>8</v>
      </c>
      <c r="C61" t="s">
        <v>49</v>
      </c>
      <c r="D61" s="2">
        <f>SUMIFS('Streaming Data (2024-2026)'!$J:$J,'Streaming Data (2024-2026)'!$D:$D,$C61,'Streaming Data (2024-2026)'!$E:$E,D$2)</f>
        <v>3447060</v>
      </c>
      <c r="E61" s="2">
        <f>SUMIFS('Streaming Data (2024-2026)'!$J:$J,'Streaming Data (2024-2026)'!$D:$D,$C61,'Streaming Data (2024-2026)'!$E:$E,E$2)</f>
        <v>2615929</v>
      </c>
      <c r="F61" s="2">
        <f>SUMIFS('Streaming Data (2024-2026)'!$J:$J,'Streaming Data (2024-2026)'!$D:$D,$C61,'Streaming Data (2024-2026)'!$E:$E,F$2)</f>
        <v>2286194</v>
      </c>
      <c r="G61" s="2">
        <f>SUMIFS('Streaming Data (2024-2026)'!$J:$J,'Streaming Data (2024-2026)'!$D:$D,$C61,'Streaming Data (2024-2026)'!$E:$E,G$2)</f>
        <v>2200482</v>
      </c>
      <c r="H61" s="2">
        <f>SUMIFS('Streaming Data (2024-2026)'!$J:$J,'Streaming Data (2024-2026)'!$D:$D,$C61,'Streaming Data (2024-2026)'!$E:$E,H$2)</f>
        <v>2264738</v>
      </c>
      <c r="I61" s="2">
        <f>SUMIFS('Streaming Data (2024-2026)'!$J:$J,'Streaming Data (2024-2026)'!$D:$D,$C61,'Streaming Data (2024-2026)'!$E:$E,I$2)</f>
        <v>2136262</v>
      </c>
      <c r="J61" s="2">
        <f>SUMIFS('Streaming Data (2024-2026)'!$J:$J,'Streaming Data (2024-2026)'!$D:$D,$C61,'Streaming Data (2024-2026)'!$E:$E,J$2)</f>
        <v>2014789</v>
      </c>
      <c r="L61" s="27">
        <f>IFERROR((E61-D61)/D61,0)</f>
        <v>-0.24111300644607289</v>
      </c>
      <c r="M61" s="28">
        <f>IFERROR((F61-E61)/E61,0)</f>
        <v>-0.12604891034886651</v>
      </c>
      <c r="N61" s="28">
        <f>IFERROR((G61-F61)/F61,0)</f>
        <v>-3.7491131548766203E-2</v>
      </c>
      <c r="O61" s="28">
        <f>IFERROR((H61-G61)/G61,0)</f>
        <v>2.9200875081004978E-2</v>
      </c>
      <c r="P61" s="28">
        <f>IFERROR((I61-H61)/H61,0)</f>
        <v>-5.6728857819315082E-2</v>
      </c>
      <c r="Q61" s="28">
        <f>IFERROR((J61-I61)/I61,0)</f>
        <v>-5.6862407326442169E-2</v>
      </c>
      <c r="R61" s="28">
        <f>IFERROR((J61-D61)/D61,0)</f>
        <v>-0.41550509709723649</v>
      </c>
      <c r="S61" s="29">
        <f>IFERROR((J61/D61)^(1/6)-1,0)</f>
        <v>-8.5612834967651152E-2</v>
      </c>
    </row>
    <row r="62" spans="2:19" hidden="1" x14ac:dyDescent="0.2">
      <c r="B62" s="74">
        <f>RANK(S62,$S$54:$S$73,0)</f>
        <v>2</v>
      </c>
      <c r="D62" s="2">
        <f>SUMIFS('Streaming Data (2024-2026)'!$J:$J,'Streaming Data (2024-2026)'!$D:$D,$C62,'Streaming Data (2024-2026)'!$E:$E,D$2)</f>
        <v>0</v>
      </c>
      <c r="E62" s="2">
        <f>SUMIFS('Streaming Data (2024-2026)'!$J:$J,'Streaming Data (2024-2026)'!$D:$D,$C62,'Streaming Data (2024-2026)'!$E:$E,E$2)</f>
        <v>0</v>
      </c>
      <c r="F62" s="2">
        <f>SUMIFS('Streaming Data (2024-2026)'!$J:$J,'Streaming Data (2024-2026)'!$D:$D,$C62,'Streaming Data (2024-2026)'!$E:$E,F$2)</f>
        <v>0</v>
      </c>
      <c r="G62" s="2">
        <f>SUMIFS('Streaming Data (2024-2026)'!$J:$J,'Streaming Data (2024-2026)'!$D:$D,$C62,'Streaming Data (2024-2026)'!$E:$E,G$2)</f>
        <v>0</v>
      </c>
      <c r="H62" s="2">
        <f>SUMIFS('Streaming Data (2024-2026)'!$J:$J,'Streaming Data (2024-2026)'!$D:$D,$C62,'Streaming Data (2024-2026)'!$E:$E,H$2)</f>
        <v>0</v>
      </c>
      <c r="I62" s="2">
        <f>SUMIFS('Streaming Data (2024-2026)'!$J:$J,'Streaming Data (2024-2026)'!$D:$D,$C62,'Streaming Data (2024-2026)'!$E:$E,I$2)</f>
        <v>0</v>
      </c>
      <c r="J62" s="2">
        <f>SUMIFS('Streaming Data (2024-2026)'!$J:$J,'Streaming Data (2024-2026)'!$D:$D,$C62,'Streaming Data (2024-2026)'!$E:$E,J$2)</f>
        <v>0</v>
      </c>
      <c r="L62" s="27">
        <f t="shared" ref="L54:Q73" si="8">IFERROR((E62-D62)/D62,0)</f>
        <v>0</v>
      </c>
      <c r="M62" s="28">
        <f t="shared" si="8"/>
        <v>0</v>
      </c>
      <c r="N62" s="28">
        <f t="shared" si="8"/>
        <v>0</v>
      </c>
      <c r="O62" s="28">
        <f t="shared" si="8"/>
        <v>0</v>
      </c>
      <c r="P62" s="28">
        <f t="shared" si="8"/>
        <v>0</v>
      </c>
      <c r="Q62" s="28">
        <f t="shared" si="8"/>
        <v>0</v>
      </c>
      <c r="R62" s="28">
        <f t="shared" ref="R54:R73" si="9">IFERROR((J62-D62)/D62,0)</f>
        <v>0</v>
      </c>
      <c r="S62" s="29">
        <f t="shared" ref="S55:S73" si="10">IFERROR((J62/D62)^(1/6)-1,0)</f>
        <v>0</v>
      </c>
    </row>
    <row r="63" spans="2:19" hidden="1" x14ac:dyDescent="0.2">
      <c r="B63" s="74">
        <f>RANK(S63,$S$54:$S$73,0)</f>
        <v>2</v>
      </c>
      <c r="D63" s="2">
        <f>SUMIFS('Streaming Data (2024-2026)'!$J:$J,'Streaming Data (2024-2026)'!$D:$D,$C63,'Streaming Data (2024-2026)'!$E:$E,D$2)</f>
        <v>0</v>
      </c>
      <c r="E63" s="2">
        <f>SUMIFS('Streaming Data (2024-2026)'!$J:$J,'Streaming Data (2024-2026)'!$D:$D,$C63,'Streaming Data (2024-2026)'!$E:$E,E$2)</f>
        <v>0</v>
      </c>
      <c r="F63" s="2">
        <f>SUMIFS('Streaming Data (2024-2026)'!$J:$J,'Streaming Data (2024-2026)'!$D:$D,$C63,'Streaming Data (2024-2026)'!$E:$E,F$2)</f>
        <v>0</v>
      </c>
      <c r="G63" s="2">
        <f>SUMIFS('Streaming Data (2024-2026)'!$J:$J,'Streaming Data (2024-2026)'!$D:$D,$C63,'Streaming Data (2024-2026)'!$E:$E,G$2)</f>
        <v>0</v>
      </c>
      <c r="H63" s="2">
        <f>SUMIFS('Streaming Data (2024-2026)'!$J:$J,'Streaming Data (2024-2026)'!$D:$D,$C63,'Streaming Data (2024-2026)'!$E:$E,H$2)</f>
        <v>0</v>
      </c>
      <c r="I63" s="2">
        <f>SUMIFS('Streaming Data (2024-2026)'!$J:$J,'Streaming Data (2024-2026)'!$D:$D,$C63,'Streaming Data (2024-2026)'!$E:$E,I$2)</f>
        <v>0</v>
      </c>
      <c r="J63" s="2">
        <f>SUMIFS('Streaming Data (2024-2026)'!$J:$J,'Streaming Data (2024-2026)'!$D:$D,$C63,'Streaming Data (2024-2026)'!$E:$E,J$2)</f>
        <v>0</v>
      </c>
      <c r="L63" s="27">
        <f t="shared" si="8"/>
        <v>0</v>
      </c>
      <c r="M63" s="28">
        <f t="shared" si="8"/>
        <v>0</v>
      </c>
      <c r="N63" s="28">
        <f t="shared" si="8"/>
        <v>0</v>
      </c>
      <c r="O63" s="28">
        <f t="shared" si="8"/>
        <v>0</v>
      </c>
      <c r="P63" s="28">
        <f t="shared" si="8"/>
        <v>0</v>
      </c>
      <c r="Q63" s="28">
        <f t="shared" si="8"/>
        <v>0</v>
      </c>
      <c r="R63" s="28">
        <f t="shared" si="9"/>
        <v>0</v>
      </c>
      <c r="S63" s="29">
        <f t="shared" si="10"/>
        <v>0</v>
      </c>
    </row>
    <row r="64" spans="2:19" hidden="1" x14ac:dyDescent="0.2">
      <c r="B64" s="74">
        <f>RANK(S64,$S$54:$S$73,0)</f>
        <v>2</v>
      </c>
      <c r="D64" s="2">
        <f>SUMIFS('Streaming Data (2024-2026)'!$J:$J,'Streaming Data (2024-2026)'!$D:$D,$C64,'Streaming Data (2024-2026)'!$E:$E,D$2)</f>
        <v>0</v>
      </c>
      <c r="E64" s="2">
        <f>SUMIFS('Streaming Data (2024-2026)'!$J:$J,'Streaming Data (2024-2026)'!$D:$D,$C64,'Streaming Data (2024-2026)'!$E:$E,E$2)</f>
        <v>0</v>
      </c>
      <c r="F64" s="2">
        <f>SUMIFS('Streaming Data (2024-2026)'!$J:$J,'Streaming Data (2024-2026)'!$D:$D,$C64,'Streaming Data (2024-2026)'!$E:$E,F$2)</f>
        <v>0</v>
      </c>
      <c r="G64" s="2">
        <f>SUMIFS('Streaming Data (2024-2026)'!$J:$J,'Streaming Data (2024-2026)'!$D:$D,$C64,'Streaming Data (2024-2026)'!$E:$E,G$2)</f>
        <v>0</v>
      </c>
      <c r="H64" s="2">
        <f>SUMIFS('Streaming Data (2024-2026)'!$J:$J,'Streaming Data (2024-2026)'!$D:$D,$C64,'Streaming Data (2024-2026)'!$E:$E,H$2)</f>
        <v>0</v>
      </c>
      <c r="I64" s="2">
        <f>SUMIFS('Streaming Data (2024-2026)'!$J:$J,'Streaming Data (2024-2026)'!$D:$D,$C64,'Streaming Data (2024-2026)'!$E:$E,I$2)</f>
        <v>0</v>
      </c>
      <c r="J64" s="2">
        <f>SUMIFS('Streaming Data (2024-2026)'!$J:$J,'Streaming Data (2024-2026)'!$D:$D,$C64,'Streaming Data (2024-2026)'!$E:$E,J$2)</f>
        <v>0</v>
      </c>
      <c r="L64" s="27">
        <f t="shared" si="8"/>
        <v>0</v>
      </c>
      <c r="M64" s="28">
        <f t="shared" si="8"/>
        <v>0</v>
      </c>
      <c r="N64" s="28">
        <f t="shared" si="8"/>
        <v>0</v>
      </c>
      <c r="O64" s="28">
        <f t="shared" si="8"/>
        <v>0</v>
      </c>
      <c r="P64" s="28">
        <f t="shared" si="8"/>
        <v>0</v>
      </c>
      <c r="Q64" s="28">
        <f t="shared" si="8"/>
        <v>0</v>
      </c>
      <c r="R64" s="28">
        <f t="shared" si="9"/>
        <v>0</v>
      </c>
      <c r="S64" s="29">
        <f t="shared" si="10"/>
        <v>0</v>
      </c>
    </row>
    <row r="65" spans="2:19" hidden="1" x14ac:dyDescent="0.2">
      <c r="B65" s="74">
        <f>RANK(S65,$S$54:$S$73,0)</f>
        <v>2</v>
      </c>
      <c r="D65" s="2">
        <f>SUMIFS('Streaming Data (2024-2026)'!$J:$J,'Streaming Data (2024-2026)'!$D:$D,$C65,'Streaming Data (2024-2026)'!$E:$E,D$2)</f>
        <v>0</v>
      </c>
      <c r="E65" s="2">
        <f>SUMIFS('Streaming Data (2024-2026)'!$J:$J,'Streaming Data (2024-2026)'!$D:$D,$C65,'Streaming Data (2024-2026)'!$E:$E,E$2)</f>
        <v>0</v>
      </c>
      <c r="F65" s="2">
        <f>SUMIFS('Streaming Data (2024-2026)'!$J:$J,'Streaming Data (2024-2026)'!$D:$D,$C65,'Streaming Data (2024-2026)'!$E:$E,F$2)</f>
        <v>0</v>
      </c>
      <c r="G65" s="2">
        <f>SUMIFS('Streaming Data (2024-2026)'!$J:$J,'Streaming Data (2024-2026)'!$D:$D,$C65,'Streaming Data (2024-2026)'!$E:$E,G$2)</f>
        <v>0</v>
      </c>
      <c r="H65" s="2">
        <f>SUMIFS('Streaming Data (2024-2026)'!$J:$J,'Streaming Data (2024-2026)'!$D:$D,$C65,'Streaming Data (2024-2026)'!$E:$E,H$2)</f>
        <v>0</v>
      </c>
      <c r="I65" s="2">
        <f>SUMIFS('Streaming Data (2024-2026)'!$J:$J,'Streaming Data (2024-2026)'!$D:$D,$C65,'Streaming Data (2024-2026)'!$E:$E,I$2)</f>
        <v>0</v>
      </c>
      <c r="J65" s="2">
        <f>SUMIFS('Streaming Data (2024-2026)'!$J:$J,'Streaming Data (2024-2026)'!$D:$D,$C65,'Streaming Data (2024-2026)'!$E:$E,J$2)</f>
        <v>0</v>
      </c>
      <c r="L65" s="27">
        <f t="shared" si="8"/>
        <v>0</v>
      </c>
      <c r="M65" s="28">
        <f t="shared" si="8"/>
        <v>0</v>
      </c>
      <c r="N65" s="28">
        <f t="shared" si="8"/>
        <v>0</v>
      </c>
      <c r="O65" s="28">
        <f t="shared" si="8"/>
        <v>0</v>
      </c>
      <c r="P65" s="28">
        <f t="shared" si="8"/>
        <v>0</v>
      </c>
      <c r="Q65" s="28">
        <f t="shared" si="8"/>
        <v>0</v>
      </c>
      <c r="R65" s="28">
        <f t="shared" si="9"/>
        <v>0</v>
      </c>
      <c r="S65" s="29">
        <f t="shared" si="10"/>
        <v>0</v>
      </c>
    </row>
    <row r="66" spans="2:19" hidden="1" x14ac:dyDescent="0.2">
      <c r="B66" s="74">
        <f>RANK(S66,$S$54:$S$73,0)</f>
        <v>2</v>
      </c>
      <c r="D66" s="2">
        <f>SUMIFS('Streaming Data (2024-2026)'!$J:$J,'Streaming Data (2024-2026)'!$D:$D,$C66,'Streaming Data (2024-2026)'!$E:$E,D$2)</f>
        <v>0</v>
      </c>
      <c r="E66" s="2">
        <f>SUMIFS('Streaming Data (2024-2026)'!$J:$J,'Streaming Data (2024-2026)'!$D:$D,$C66,'Streaming Data (2024-2026)'!$E:$E,E$2)</f>
        <v>0</v>
      </c>
      <c r="F66" s="2">
        <f>SUMIFS('Streaming Data (2024-2026)'!$J:$J,'Streaming Data (2024-2026)'!$D:$D,$C66,'Streaming Data (2024-2026)'!$E:$E,F$2)</f>
        <v>0</v>
      </c>
      <c r="G66" s="2">
        <f>SUMIFS('Streaming Data (2024-2026)'!$J:$J,'Streaming Data (2024-2026)'!$D:$D,$C66,'Streaming Data (2024-2026)'!$E:$E,G$2)</f>
        <v>0</v>
      </c>
      <c r="H66" s="2">
        <f>SUMIFS('Streaming Data (2024-2026)'!$J:$J,'Streaming Data (2024-2026)'!$D:$D,$C66,'Streaming Data (2024-2026)'!$E:$E,H$2)</f>
        <v>0</v>
      </c>
      <c r="I66" s="2">
        <f>SUMIFS('Streaming Data (2024-2026)'!$J:$J,'Streaming Data (2024-2026)'!$D:$D,$C66,'Streaming Data (2024-2026)'!$E:$E,I$2)</f>
        <v>0</v>
      </c>
      <c r="J66" s="2">
        <f>SUMIFS('Streaming Data (2024-2026)'!$J:$J,'Streaming Data (2024-2026)'!$D:$D,$C66,'Streaming Data (2024-2026)'!$E:$E,J$2)</f>
        <v>0</v>
      </c>
      <c r="L66" s="27">
        <f t="shared" si="8"/>
        <v>0</v>
      </c>
      <c r="M66" s="28">
        <f t="shared" si="8"/>
        <v>0</v>
      </c>
      <c r="N66" s="28">
        <f t="shared" si="8"/>
        <v>0</v>
      </c>
      <c r="O66" s="28">
        <f t="shared" si="8"/>
        <v>0</v>
      </c>
      <c r="P66" s="28">
        <f t="shared" si="8"/>
        <v>0</v>
      </c>
      <c r="Q66" s="28">
        <f t="shared" si="8"/>
        <v>0</v>
      </c>
      <c r="R66" s="28">
        <f t="shared" si="9"/>
        <v>0</v>
      </c>
      <c r="S66" s="29">
        <f t="shared" si="10"/>
        <v>0</v>
      </c>
    </row>
    <row r="67" spans="2:19" hidden="1" x14ac:dyDescent="0.2">
      <c r="B67" s="74">
        <f>RANK(S67,$S$54:$S$73,0)</f>
        <v>2</v>
      </c>
      <c r="D67" s="2">
        <f>SUMIFS('Streaming Data (2024-2026)'!$J:$J,'Streaming Data (2024-2026)'!$D:$D,$C67,'Streaming Data (2024-2026)'!$E:$E,D$2)</f>
        <v>0</v>
      </c>
      <c r="E67" s="2">
        <f>SUMIFS('Streaming Data (2024-2026)'!$J:$J,'Streaming Data (2024-2026)'!$D:$D,$C67,'Streaming Data (2024-2026)'!$E:$E,E$2)</f>
        <v>0</v>
      </c>
      <c r="F67" s="2">
        <f>SUMIFS('Streaming Data (2024-2026)'!$J:$J,'Streaming Data (2024-2026)'!$D:$D,$C67,'Streaming Data (2024-2026)'!$E:$E,F$2)</f>
        <v>0</v>
      </c>
      <c r="G67" s="2">
        <f>SUMIFS('Streaming Data (2024-2026)'!$J:$J,'Streaming Data (2024-2026)'!$D:$D,$C67,'Streaming Data (2024-2026)'!$E:$E,G$2)</f>
        <v>0</v>
      </c>
      <c r="H67" s="2">
        <f>SUMIFS('Streaming Data (2024-2026)'!$J:$J,'Streaming Data (2024-2026)'!$D:$D,$C67,'Streaming Data (2024-2026)'!$E:$E,H$2)</f>
        <v>0</v>
      </c>
      <c r="I67" s="2">
        <f>SUMIFS('Streaming Data (2024-2026)'!$J:$J,'Streaming Data (2024-2026)'!$D:$D,$C67,'Streaming Data (2024-2026)'!$E:$E,I$2)</f>
        <v>0</v>
      </c>
      <c r="J67" s="2">
        <f>SUMIFS('Streaming Data (2024-2026)'!$J:$J,'Streaming Data (2024-2026)'!$D:$D,$C67,'Streaming Data (2024-2026)'!$E:$E,J$2)</f>
        <v>0</v>
      </c>
      <c r="L67" s="27">
        <f t="shared" si="8"/>
        <v>0</v>
      </c>
      <c r="M67" s="28">
        <f t="shared" si="8"/>
        <v>0</v>
      </c>
      <c r="N67" s="28">
        <f t="shared" si="8"/>
        <v>0</v>
      </c>
      <c r="O67" s="28">
        <f t="shared" si="8"/>
        <v>0</v>
      </c>
      <c r="P67" s="28">
        <f t="shared" si="8"/>
        <v>0</v>
      </c>
      <c r="Q67" s="28">
        <f t="shared" si="8"/>
        <v>0</v>
      </c>
      <c r="R67" s="28">
        <f t="shared" si="9"/>
        <v>0</v>
      </c>
      <c r="S67" s="29">
        <f t="shared" si="10"/>
        <v>0</v>
      </c>
    </row>
    <row r="68" spans="2:19" hidden="1" x14ac:dyDescent="0.2">
      <c r="B68" s="74">
        <f>RANK(S68,$S$54:$S$73,0)</f>
        <v>2</v>
      </c>
      <c r="D68" s="2">
        <f>SUMIFS('Streaming Data (2024-2026)'!$J:$J,'Streaming Data (2024-2026)'!$D:$D,$C68,'Streaming Data (2024-2026)'!$E:$E,D$2)</f>
        <v>0</v>
      </c>
      <c r="E68" s="2">
        <f>SUMIFS('Streaming Data (2024-2026)'!$J:$J,'Streaming Data (2024-2026)'!$D:$D,$C68,'Streaming Data (2024-2026)'!$E:$E,E$2)</f>
        <v>0</v>
      </c>
      <c r="F68" s="2">
        <f>SUMIFS('Streaming Data (2024-2026)'!$J:$J,'Streaming Data (2024-2026)'!$D:$D,$C68,'Streaming Data (2024-2026)'!$E:$E,F$2)</f>
        <v>0</v>
      </c>
      <c r="G68" s="2">
        <f>SUMIFS('Streaming Data (2024-2026)'!$J:$J,'Streaming Data (2024-2026)'!$D:$D,$C68,'Streaming Data (2024-2026)'!$E:$E,G$2)</f>
        <v>0</v>
      </c>
      <c r="H68" s="2">
        <f>SUMIFS('Streaming Data (2024-2026)'!$J:$J,'Streaming Data (2024-2026)'!$D:$D,$C68,'Streaming Data (2024-2026)'!$E:$E,H$2)</f>
        <v>0</v>
      </c>
      <c r="I68" s="2">
        <f>SUMIFS('Streaming Data (2024-2026)'!$J:$J,'Streaming Data (2024-2026)'!$D:$D,$C68,'Streaming Data (2024-2026)'!$E:$E,I$2)</f>
        <v>0</v>
      </c>
      <c r="J68" s="2">
        <f>SUMIFS('Streaming Data (2024-2026)'!$J:$J,'Streaming Data (2024-2026)'!$D:$D,$C68,'Streaming Data (2024-2026)'!$E:$E,J$2)</f>
        <v>0</v>
      </c>
      <c r="L68" s="27">
        <f t="shared" si="8"/>
        <v>0</v>
      </c>
      <c r="M68" s="28">
        <f t="shared" si="8"/>
        <v>0</v>
      </c>
      <c r="N68" s="28">
        <f t="shared" si="8"/>
        <v>0</v>
      </c>
      <c r="O68" s="28">
        <f t="shared" si="8"/>
        <v>0</v>
      </c>
      <c r="P68" s="28">
        <f t="shared" si="8"/>
        <v>0</v>
      </c>
      <c r="Q68" s="28">
        <f t="shared" si="8"/>
        <v>0</v>
      </c>
      <c r="R68" s="28">
        <f t="shared" si="9"/>
        <v>0</v>
      </c>
      <c r="S68" s="29">
        <f t="shared" si="10"/>
        <v>0</v>
      </c>
    </row>
    <row r="69" spans="2:19" hidden="1" x14ac:dyDescent="0.2">
      <c r="B69" s="74">
        <f>RANK(S69,$S$54:$S$73,0)</f>
        <v>2</v>
      </c>
      <c r="D69" s="2">
        <f>SUMIFS('Streaming Data (2024-2026)'!$J:$J,'Streaming Data (2024-2026)'!$D:$D,$C69,'Streaming Data (2024-2026)'!$E:$E,D$2)</f>
        <v>0</v>
      </c>
      <c r="E69" s="2">
        <f>SUMIFS('Streaming Data (2024-2026)'!$J:$J,'Streaming Data (2024-2026)'!$D:$D,$C69,'Streaming Data (2024-2026)'!$E:$E,E$2)</f>
        <v>0</v>
      </c>
      <c r="F69" s="2">
        <f>SUMIFS('Streaming Data (2024-2026)'!$J:$J,'Streaming Data (2024-2026)'!$D:$D,$C69,'Streaming Data (2024-2026)'!$E:$E,F$2)</f>
        <v>0</v>
      </c>
      <c r="G69" s="2">
        <f>SUMIFS('Streaming Data (2024-2026)'!$J:$J,'Streaming Data (2024-2026)'!$D:$D,$C69,'Streaming Data (2024-2026)'!$E:$E,G$2)</f>
        <v>0</v>
      </c>
      <c r="H69" s="2">
        <f>SUMIFS('Streaming Data (2024-2026)'!$J:$J,'Streaming Data (2024-2026)'!$D:$D,$C69,'Streaming Data (2024-2026)'!$E:$E,H$2)</f>
        <v>0</v>
      </c>
      <c r="I69" s="2">
        <f>SUMIFS('Streaming Data (2024-2026)'!$J:$J,'Streaming Data (2024-2026)'!$D:$D,$C69,'Streaming Data (2024-2026)'!$E:$E,I$2)</f>
        <v>0</v>
      </c>
      <c r="J69" s="2">
        <f>SUMIFS('Streaming Data (2024-2026)'!$J:$J,'Streaming Data (2024-2026)'!$D:$D,$C69,'Streaming Data (2024-2026)'!$E:$E,J$2)</f>
        <v>0</v>
      </c>
      <c r="L69" s="27">
        <f t="shared" si="8"/>
        <v>0</v>
      </c>
      <c r="M69" s="28">
        <f t="shared" si="8"/>
        <v>0</v>
      </c>
      <c r="N69" s="28">
        <f t="shared" si="8"/>
        <v>0</v>
      </c>
      <c r="O69" s="28">
        <f t="shared" si="8"/>
        <v>0</v>
      </c>
      <c r="P69" s="28">
        <f t="shared" si="8"/>
        <v>0</v>
      </c>
      <c r="Q69" s="28">
        <f t="shared" si="8"/>
        <v>0</v>
      </c>
      <c r="R69" s="28">
        <f t="shared" si="9"/>
        <v>0</v>
      </c>
      <c r="S69" s="29">
        <f t="shared" si="10"/>
        <v>0</v>
      </c>
    </row>
    <row r="70" spans="2:19" hidden="1" x14ac:dyDescent="0.2">
      <c r="B70" s="74">
        <f>RANK(S70,$S$54:$S$73,0)</f>
        <v>2</v>
      </c>
      <c r="D70" s="2">
        <f>SUMIFS('Streaming Data (2024-2026)'!$J:$J,'Streaming Data (2024-2026)'!$D:$D,$C70,'Streaming Data (2024-2026)'!$E:$E,D$2)</f>
        <v>0</v>
      </c>
      <c r="E70" s="2">
        <f>SUMIFS('Streaming Data (2024-2026)'!$J:$J,'Streaming Data (2024-2026)'!$D:$D,$C70,'Streaming Data (2024-2026)'!$E:$E,E$2)</f>
        <v>0</v>
      </c>
      <c r="F70" s="2">
        <f>SUMIFS('Streaming Data (2024-2026)'!$J:$J,'Streaming Data (2024-2026)'!$D:$D,$C70,'Streaming Data (2024-2026)'!$E:$E,F$2)</f>
        <v>0</v>
      </c>
      <c r="G70" s="2">
        <f>SUMIFS('Streaming Data (2024-2026)'!$J:$J,'Streaming Data (2024-2026)'!$D:$D,$C70,'Streaming Data (2024-2026)'!$E:$E,G$2)</f>
        <v>0</v>
      </c>
      <c r="H70" s="2">
        <f>SUMIFS('Streaming Data (2024-2026)'!$J:$J,'Streaming Data (2024-2026)'!$D:$D,$C70,'Streaming Data (2024-2026)'!$E:$E,H$2)</f>
        <v>0</v>
      </c>
      <c r="I70" s="2">
        <f>SUMIFS('Streaming Data (2024-2026)'!$J:$J,'Streaming Data (2024-2026)'!$D:$D,$C70,'Streaming Data (2024-2026)'!$E:$E,I$2)</f>
        <v>0</v>
      </c>
      <c r="J70" s="2">
        <f>SUMIFS('Streaming Data (2024-2026)'!$J:$J,'Streaming Data (2024-2026)'!$D:$D,$C70,'Streaming Data (2024-2026)'!$E:$E,J$2)</f>
        <v>0</v>
      </c>
      <c r="L70" s="27">
        <f t="shared" si="8"/>
        <v>0</v>
      </c>
      <c r="M70" s="28">
        <f t="shared" si="8"/>
        <v>0</v>
      </c>
      <c r="N70" s="28">
        <f t="shared" si="8"/>
        <v>0</v>
      </c>
      <c r="O70" s="28">
        <f t="shared" si="8"/>
        <v>0</v>
      </c>
      <c r="P70" s="28">
        <f t="shared" si="8"/>
        <v>0</v>
      </c>
      <c r="Q70" s="28">
        <f t="shared" si="8"/>
        <v>0</v>
      </c>
      <c r="R70" s="28">
        <f t="shared" si="9"/>
        <v>0</v>
      </c>
      <c r="S70" s="29">
        <f t="shared" si="10"/>
        <v>0</v>
      </c>
    </row>
    <row r="71" spans="2:19" hidden="1" x14ac:dyDescent="0.2">
      <c r="B71" s="74">
        <f>RANK(S71,$S$54:$S$73,0)</f>
        <v>2</v>
      </c>
      <c r="D71" s="2">
        <f>SUMIFS('Streaming Data (2024-2026)'!$J:$J,'Streaming Data (2024-2026)'!$D:$D,$C71,'Streaming Data (2024-2026)'!$E:$E,D$2)</f>
        <v>0</v>
      </c>
      <c r="E71" s="2">
        <f>SUMIFS('Streaming Data (2024-2026)'!$J:$J,'Streaming Data (2024-2026)'!$D:$D,$C71,'Streaming Data (2024-2026)'!$E:$E,E$2)</f>
        <v>0</v>
      </c>
      <c r="F71" s="2">
        <f>SUMIFS('Streaming Data (2024-2026)'!$J:$J,'Streaming Data (2024-2026)'!$D:$D,$C71,'Streaming Data (2024-2026)'!$E:$E,F$2)</f>
        <v>0</v>
      </c>
      <c r="G71" s="2">
        <f>SUMIFS('Streaming Data (2024-2026)'!$J:$J,'Streaming Data (2024-2026)'!$D:$D,$C71,'Streaming Data (2024-2026)'!$E:$E,G$2)</f>
        <v>0</v>
      </c>
      <c r="H71" s="2">
        <f>SUMIFS('Streaming Data (2024-2026)'!$J:$J,'Streaming Data (2024-2026)'!$D:$D,$C71,'Streaming Data (2024-2026)'!$E:$E,H$2)</f>
        <v>0</v>
      </c>
      <c r="I71" s="2">
        <f>SUMIFS('Streaming Data (2024-2026)'!$J:$J,'Streaming Data (2024-2026)'!$D:$D,$C71,'Streaming Data (2024-2026)'!$E:$E,I$2)</f>
        <v>0</v>
      </c>
      <c r="J71" s="2">
        <f>SUMIFS('Streaming Data (2024-2026)'!$J:$J,'Streaming Data (2024-2026)'!$D:$D,$C71,'Streaming Data (2024-2026)'!$E:$E,J$2)</f>
        <v>0</v>
      </c>
      <c r="L71" s="27">
        <f t="shared" si="8"/>
        <v>0</v>
      </c>
      <c r="M71" s="28">
        <f t="shared" si="8"/>
        <v>0</v>
      </c>
      <c r="N71" s="28">
        <f t="shared" si="8"/>
        <v>0</v>
      </c>
      <c r="O71" s="28">
        <f t="shared" si="8"/>
        <v>0</v>
      </c>
      <c r="P71" s="28">
        <f t="shared" si="8"/>
        <v>0</v>
      </c>
      <c r="Q71" s="28">
        <f t="shared" si="8"/>
        <v>0</v>
      </c>
      <c r="R71" s="28">
        <f t="shared" si="9"/>
        <v>0</v>
      </c>
      <c r="S71" s="29">
        <f t="shared" si="10"/>
        <v>0</v>
      </c>
    </row>
    <row r="72" spans="2:19" hidden="1" x14ac:dyDescent="0.2">
      <c r="B72" s="74">
        <f>RANK(S72,$S$54:$S$73,0)</f>
        <v>2</v>
      </c>
      <c r="D72" s="2">
        <f>SUMIFS('Streaming Data (2024-2026)'!$J:$J,'Streaming Data (2024-2026)'!$D:$D,$C72,'Streaming Data (2024-2026)'!$E:$E,D$2)</f>
        <v>0</v>
      </c>
      <c r="E72" s="2">
        <f>SUMIFS('Streaming Data (2024-2026)'!$J:$J,'Streaming Data (2024-2026)'!$D:$D,$C72,'Streaming Data (2024-2026)'!$E:$E,E$2)</f>
        <v>0</v>
      </c>
      <c r="F72" s="2">
        <f>SUMIFS('Streaming Data (2024-2026)'!$J:$J,'Streaming Data (2024-2026)'!$D:$D,$C72,'Streaming Data (2024-2026)'!$E:$E,F$2)</f>
        <v>0</v>
      </c>
      <c r="G72" s="2">
        <f>SUMIFS('Streaming Data (2024-2026)'!$J:$J,'Streaming Data (2024-2026)'!$D:$D,$C72,'Streaming Data (2024-2026)'!$E:$E,G$2)</f>
        <v>0</v>
      </c>
      <c r="H72" s="2">
        <f>SUMIFS('Streaming Data (2024-2026)'!$J:$J,'Streaming Data (2024-2026)'!$D:$D,$C72,'Streaming Data (2024-2026)'!$E:$E,H$2)</f>
        <v>0</v>
      </c>
      <c r="I72" s="2">
        <f>SUMIFS('Streaming Data (2024-2026)'!$J:$J,'Streaming Data (2024-2026)'!$D:$D,$C72,'Streaming Data (2024-2026)'!$E:$E,I$2)</f>
        <v>0</v>
      </c>
      <c r="J72" s="2">
        <f>SUMIFS('Streaming Data (2024-2026)'!$J:$J,'Streaming Data (2024-2026)'!$D:$D,$C72,'Streaming Data (2024-2026)'!$E:$E,J$2)</f>
        <v>0</v>
      </c>
      <c r="L72" s="27">
        <f t="shared" si="8"/>
        <v>0</v>
      </c>
      <c r="M72" s="28">
        <f t="shared" si="8"/>
        <v>0</v>
      </c>
      <c r="N72" s="28">
        <f t="shared" si="8"/>
        <v>0</v>
      </c>
      <c r="O72" s="28">
        <f t="shared" si="8"/>
        <v>0</v>
      </c>
      <c r="P72" s="28">
        <f t="shared" si="8"/>
        <v>0</v>
      </c>
      <c r="Q72" s="28">
        <f t="shared" si="8"/>
        <v>0</v>
      </c>
      <c r="R72" s="28">
        <f t="shared" si="9"/>
        <v>0</v>
      </c>
      <c r="S72" s="29">
        <f t="shared" si="10"/>
        <v>0</v>
      </c>
    </row>
    <row r="73" spans="2:19" hidden="1" x14ac:dyDescent="0.2">
      <c r="B73" s="74">
        <f>RANK(S73,$S$54:$S$73,0)</f>
        <v>2</v>
      </c>
      <c r="D73" s="2">
        <f>SUMIFS('Streaming Data (2024-2026)'!$J:$J,'Streaming Data (2024-2026)'!$D:$D,$C73,'Streaming Data (2024-2026)'!$E:$E,D$2)</f>
        <v>0</v>
      </c>
      <c r="E73" s="2">
        <f>SUMIFS('Streaming Data (2024-2026)'!$J:$J,'Streaming Data (2024-2026)'!$D:$D,$C73,'Streaming Data (2024-2026)'!$E:$E,E$2)</f>
        <v>0</v>
      </c>
      <c r="F73" s="2">
        <f>SUMIFS('Streaming Data (2024-2026)'!$J:$J,'Streaming Data (2024-2026)'!$D:$D,$C73,'Streaming Data (2024-2026)'!$E:$E,F$2)</f>
        <v>0</v>
      </c>
      <c r="G73" s="2">
        <f>SUMIFS('Streaming Data (2024-2026)'!$J:$J,'Streaming Data (2024-2026)'!$D:$D,$C73,'Streaming Data (2024-2026)'!$E:$E,G$2)</f>
        <v>0</v>
      </c>
      <c r="H73" s="2">
        <f>SUMIFS('Streaming Data (2024-2026)'!$J:$J,'Streaming Data (2024-2026)'!$D:$D,$C73,'Streaming Data (2024-2026)'!$E:$E,H$2)</f>
        <v>0</v>
      </c>
      <c r="I73" s="2">
        <f>SUMIFS('Streaming Data (2024-2026)'!$J:$J,'Streaming Data (2024-2026)'!$D:$D,$C73,'Streaming Data (2024-2026)'!$E:$E,I$2)</f>
        <v>0</v>
      </c>
      <c r="J73" s="2">
        <f>SUMIFS('Streaming Data (2024-2026)'!$J:$J,'Streaming Data (2024-2026)'!$D:$D,$C73,'Streaming Data (2024-2026)'!$E:$E,J$2)</f>
        <v>0</v>
      </c>
      <c r="L73" s="27">
        <f t="shared" si="8"/>
        <v>0</v>
      </c>
      <c r="M73" s="28">
        <f t="shared" si="8"/>
        <v>0</v>
      </c>
      <c r="N73" s="28">
        <f t="shared" si="8"/>
        <v>0</v>
      </c>
      <c r="O73" s="28">
        <f t="shared" si="8"/>
        <v>0</v>
      </c>
      <c r="P73" s="28">
        <f t="shared" si="8"/>
        <v>0</v>
      </c>
      <c r="Q73" s="28">
        <f t="shared" si="8"/>
        <v>0</v>
      </c>
      <c r="R73" s="28">
        <f t="shared" si="9"/>
        <v>0</v>
      </c>
      <c r="S73" s="29">
        <f t="shared" si="10"/>
        <v>0</v>
      </c>
    </row>
    <row r="74" spans="2:19" x14ac:dyDescent="0.2">
      <c r="L74" s="30"/>
      <c r="M74" s="31"/>
      <c r="N74" s="31"/>
      <c r="O74" s="31"/>
      <c r="P74" s="31"/>
      <c r="Q74" s="31"/>
      <c r="R74" s="31"/>
      <c r="S74" s="32"/>
    </row>
    <row r="76" spans="2:19" x14ac:dyDescent="0.2">
      <c r="D76" s="13" t="s">
        <v>697</v>
      </c>
      <c r="E76" s="14"/>
      <c r="F76" s="14"/>
      <c r="G76" s="14"/>
      <c r="H76" s="14"/>
      <c r="I76" s="14"/>
      <c r="J76" s="15"/>
      <c r="L76" s="19" t="s">
        <v>538</v>
      </c>
      <c r="M76" s="20"/>
      <c r="N76" s="20"/>
      <c r="O76" s="20"/>
      <c r="P76" s="20"/>
      <c r="Q76" s="20"/>
      <c r="R76" s="21"/>
      <c r="S76" s="63"/>
    </row>
    <row r="77" spans="2:19" x14ac:dyDescent="0.2">
      <c r="C77" s="60" t="s">
        <v>546</v>
      </c>
      <c r="D77" s="54" t="s">
        <v>549</v>
      </c>
      <c r="E77" s="54" t="s">
        <v>550</v>
      </c>
      <c r="F77" s="54" t="s">
        <v>551</v>
      </c>
      <c r="G77" s="54" t="s">
        <v>678</v>
      </c>
      <c r="H77" s="54" t="s">
        <v>497</v>
      </c>
      <c r="I77" s="54" t="s">
        <v>498</v>
      </c>
      <c r="J77" s="54" t="s">
        <v>532</v>
      </c>
      <c r="L77" s="56" t="s">
        <v>679</v>
      </c>
      <c r="M77" s="54" t="s">
        <v>680</v>
      </c>
      <c r="N77" s="54" t="s">
        <v>681</v>
      </c>
      <c r="O77" s="54" t="s">
        <v>682</v>
      </c>
      <c r="P77" s="52" t="s">
        <v>683</v>
      </c>
      <c r="Q77" s="52" t="s">
        <v>684</v>
      </c>
      <c r="R77" s="52" t="s">
        <v>552</v>
      </c>
      <c r="S77" s="62" t="s">
        <v>690</v>
      </c>
    </row>
    <row r="78" spans="2:19" x14ac:dyDescent="0.2">
      <c r="C78" t="s">
        <v>534</v>
      </c>
      <c r="D78" s="2">
        <f>SUMIFS('Streaming Data (2024-2026)'!$F:$F,'Streaming Data (2024-2026)'!$E:$E,D$2)</f>
        <v>33315543</v>
      </c>
      <c r="E78" s="2">
        <f>SUMIFS('Streaming Data (2024-2026)'!$F:$F,'Streaming Data (2024-2026)'!$E:$E,E$2)</f>
        <v>34120069</v>
      </c>
      <c r="F78" s="2">
        <f>SUMIFS('Streaming Data (2024-2026)'!$F:$F,'Streaming Data (2024-2026)'!$E:$E,F$2)</f>
        <v>34827169</v>
      </c>
      <c r="G78" s="2">
        <f>SUMIFS('Streaming Data (2024-2026)'!$F:$F,'Streaming Data (2024-2026)'!$E:$E,G$2)</f>
        <v>35781512</v>
      </c>
      <c r="H78" s="2">
        <f>SUMIFS('Streaming Data (2024-2026)'!$F:$F,'Streaming Data (2024-2026)'!$E:$E,H$2)</f>
        <v>36558470</v>
      </c>
      <c r="I78" s="2">
        <f>SUMIFS('Streaming Data (2024-2026)'!$F:$F,'Streaming Data (2024-2026)'!$E:$E,I$2)</f>
        <v>37376324</v>
      </c>
      <c r="J78" s="2">
        <f>SUMIFS('Streaming Data (2024-2026)'!$F:$F,'Streaming Data (2024-2026)'!$E:$E,J$2)</f>
        <v>38116082</v>
      </c>
      <c r="L78" s="27">
        <f t="shared" ref="L78:Q80" si="11">IFERROR((E78-D78)/D78,0)</f>
        <v>2.4148668385804189E-2</v>
      </c>
      <c r="M78" s="28">
        <f t="shared" si="11"/>
        <v>2.0723873682670455E-2</v>
      </c>
      <c r="N78" s="28">
        <f t="shared" si="11"/>
        <v>2.7402255980094162E-2</v>
      </c>
      <c r="O78" s="28">
        <f t="shared" si="11"/>
        <v>2.1713951048239661E-2</v>
      </c>
      <c r="P78" s="28">
        <f t="shared" si="11"/>
        <v>2.2371122205059456E-2</v>
      </c>
      <c r="Q78" s="28">
        <f t="shared" si="11"/>
        <v>1.9792155055162727E-2</v>
      </c>
      <c r="R78" s="28">
        <f>IFERROR((J78-D78)/D78,0)</f>
        <v>0.1440930739144789</v>
      </c>
      <c r="S78" s="64">
        <f>(J78/D78)^(1/6)-1</f>
        <v>2.2688940409175906E-2</v>
      </c>
    </row>
    <row r="79" spans="2:19" x14ac:dyDescent="0.2">
      <c r="C79" t="s">
        <v>535</v>
      </c>
      <c r="D79" s="2">
        <f>SUMIFS('Streaming Data (2024-2026)'!$H:$H,'Streaming Data (2024-2026)'!$E:$E,D$2)</f>
        <v>6467942154</v>
      </c>
      <c r="E79" s="2">
        <f>SUMIFS('Streaming Data (2024-2026)'!$H:$H,'Streaming Data (2024-2026)'!$E:$E,E$2)</f>
        <v>6718991334</v>
      </c>
      <c r="F79" s="2">
        <f>SUMIFS('Streaming Data (2024-2026)'!$H:$H,'Streaming Data (2024-2026)'!$E:$E,F$2)</f>
        <v>7037749917</v>
      </c>
      <c r="G79" s="2">
        <f>SUMIFS('Streaming Data (2024-2026)'!$H:$H,'Streaming Data (2024-2026)'!$E:$E,G$2)</f>
        <v>7278601259</v>
      </c>
      <c r="H79" s="2">
        <f>SUMIFS('Streaming Data (2024-2026)'!$H:$H,'Streaming Data (2024-2026)'!$E:$E,H$2)</f>
        <v>7519263867</v>
      </c>
      <c r="I79" s="2">
        <f>SUMIFS('Streaming Data (2024-2026)'!$H:$H,'Streaming Data (2024-2026)'!$E:$E,I$2)</f>
        <v>7760992208</v>
      </c>
      <c r="J79" s="2">
        <f>SUMIFS('Streaming Data (2024-2026)'!$H:$H,'Streaming Data (2024-2026)'!$E:$E,J$2)</f>
        <v>7980090839</v>
      </c>
      <c r="L79" s="27">
        <f t="shared" si="11"/>
        <v>3.8814382383544122E-2</v>
      </c>
      <c r="M79" s="28">
        <f t="shared" si="11"/>
        <v>4.7441433863293025E-2</v>
      </c>
      <c r="N79" s="28">
        <f t="shared" si="11"/>
        <v>3.4222776432878466E-2</v>
      </c>
      <c r="O79" s="28">
        <f t="shared" si="11"/>
        <v>3.3064403370416863E-2</v>
      </c>
      <c r="P79" s="28">
        <f t="shared" si="11"/>
        <v>3.2147873152966452E-2</v>
      </c>
      <c r="Q79" s="28">
        <f t="shared" si="11"/>
        <v>2.8230750028862803E-2</v>
      </c>
      <c r="R79" s="28">
        <f>IFERROR((J79-D79)/D79,0)</f>
        <v>0.23379131244469073</v>
      </c>
      <c r="S79" s="64">
        <f t="shared" ref="S79:S80" si="12">(J79/D79)^(1/6)-1</f>
        <v>3.5635553292932221E-2</v>
      </c>
    </row>
    <row r="80" spans="2:19" x14ac:dyDescent="0.2">
      <c r="C80" t="s">
        <v>536</v>
      </c>
      <c r="D80" s="2">
        <f>SUMIFS('Streaming Data (2024-2026)'!$J:$J,'Streaming Data (2024-2026)'!$E:$E,D$2)</f>
        <v>45254548</v>
      </c>
      <c r="E80" s="2">
        <f>SUMIFS('Streaming Data (2024-2026)'!$J:$J,'Streaming Data (2024-2026)'!$E:$E,E$2)</f>
        <v>38671155</v>
      </c>
      <c r="F80" s="2">
        <f>SUMIFS('Streaming Data (2024-2026)'!$J:$J,'Streaming Data (2024-2026)'!$E:$E,F$2)</f>
        <v>38997960</v>
      </c>
      <c r="G80" s="2">
        <f>SUMIFS('Streaming Data (2024-2026)'!$J:$J,'Streaming Data (2024-2026)'!$E:$E,G$2)</f>
        <v>41037949</v>
      </c>
      <c r="H80" s="2">
        <f>SUMIFS('Streaming Data (2024-2026)'!$J:$J,'Streaming Data (2024-2026)'!$E:$E,H$2)</f>
        <v>42093714</v>
      </c>
      <c r="I80" s="2">
        <f>SUMIFS('Streaming Data (2024-2026)'!$J:$J,'Streaming Data (2024-2026)'!$E:$E,I$2)</f>
        <v>42519841</v>
      </c>
      <c r="J80" s="2">
        <f>SUMIFS('Streaming Data (2024-2026)'!$J:$J,'Streaming Data (2024-2026)'!$E:$E,J$2)</f>
        <v>41355267</v>
      </c>
      <c r="L80" s="27">
        <f t="shared" si="11"/>
        <v>-0.14547472665067829</v>
      </c>
      <c r="M80" s="28">
        <f t="shared" si="11"/>
        <v>8.4508724913957192E-3</v>
      </c>
      <c r="N80" s="28">
        <f t="shared" si="11"/>
        <v>5.2310146479456872E-2</v>
      </c>
      <c r="O80" s="28">
        <f t="shared" si="11"/>
        <v>2.572655373201034E-2</v>
      </c>
      <c r="P80" s="28">
        <f t="shared" si="11"/>
        <v>1.0123292993343377E-2</v>
      </c>
      <c r="Q80" s="28">
        <f t="shared" si="11"/>
        <v>-2.7388954723513666E-2</v>
      </c>
      <c r="R80" s="28">
        <f>IFERROR((J80-D80)/D80,0)</f>
        <v>-8.6163295675829088E-2</v>
      </c>
      <c r="S80" s="64">
        <f t="shared" si="12"/>
        <v>-1.4905034380662263E-2</v>
      </c>
    </row>
    <row r="81" spans="3:19" x14ac:dyDescent="0.2">
      <c r="L81" s="30"/>
      <c r="M81" s="31"/>
      <c r="N81" s="31"/>
      <c r="O81" s="31"/>
      <c r="P81" s="31"/>
      <c r="Q81" s="31"/>
      <c r="R81" s="31"/>
      <c r="S81" s="32"/>
    </row>
    <row r="84" spans="3:19" ht="24" x14ac:dyDescent="0.3">
      <c r="C84" s="42" t="s">
        <v>688</v>
      </c>
    </row>
    <row r="85" spans="3:19" x14ac:dyDescent="0.2">
      <c r="C85" s="1"/>
    </row>
    <row r="86" spans="3:19" x14ac:dyDescent="0.2">
      <c r="C86" s="1" t="s">
        <v>685</v>
      </c>
    </row>
    <row r="88" spans="3:19" x14ac:dyDescent="0.2">
      <c r="C88" s="1" t="s">
        <v>686</v>
      </c>
    </row>
    <row r="90" spans="3:19" x14ac:dyDescent="0.2">
      <c r="C90" s="1" t="s">
        <v>687</v>
      </c>
    </row>
    <row r="92" spans="3:19" x14ac:dyDescent="0.2">
      <c r="C92" t="s">
        <v>689</v>
      </c>
    </row>
  </sheetData>
  <sortState xmlns:xlrd2="http://schemas.microsoft.com/office/spreadsheetml/2017/richdata2" ref="C5:S25">
    <sortCondition descending="1" ref="S5:S25"/>
  </sortState>
  <conditionalFormatting sqref="L5:L26">
    <cfRule type="colorScale" priority="24">
      <colorScale>
        <cfvo type="min"/>
        <cfvo type="max"/>
        <color rgb="FFFCFCFF"/>
        <color rgb="FF63BE7B"/>
      </colorScale>
    </cfRule>
  </conditionalFormatting>
  <conditionalFormatting sqref="R5:R26">
    <cfRule type="colorScale" priority="23">
      <colorScale>
        <cfvo type="min"/>
        <cfvo type="max"/>
        <color rgb="FFFCFCFF"/>
        <color rgb="FF63BE7B"/>
      </colorScale>
    </cfRule>
  </conditionalFormatting>
  <conditionalFormatting sqref="Q5:Q26">
    <cfRule type="colorScale" priority="22">
      <colorScale>
        <cfvo type="min"/>
        <cfvo type="max"/>
        <color rgb="FFFCFCFF"/>
        <color rgb="FF63BE7B"/>
      </colorScale>
    </cfRule>
  </conditionalFormatting>
  <conditionalFormatting sqref="M5:M26">
    <cfRule type="colorScale" priority="21">
      <colorScale>
        <cfvo type="min"/>
        <cfvo type="max"/>
        <color rgb="FFFCFCFF"/>
        <color rgb="FF63BE7B"/>
      </colorScale>
    </cfRule>
  </conditionalFormatting>
  <conditionalFormatting sqref="N5:N26">
    <cfRule type="colorScale" priority="20">
      <colorScale>
        <cfvo type="min"/>
        <cfvo type="max"/>
        <color rgb="FFFCFCFF"/>
        <color rgb="FF63BE7B"/>
      </colorScale>
    </cfRule>
  </conditionalFormatting>
  <conditionalFormatting sqref="O5:O26">
    <cfRule type="colorScale" priority="19">
      <colorScale>
        <cfvo type="min"/>
        <cfvo type="max"/>
        <color rgb="FFFCFCFF"/>
        <color rgb="FF63BE7B"/>
      </colorScale>
    </cfRule>
  </conditionalFormatting>
  <conditionalFormatting sqref="P5:P26">
    <cfRule type="colorScale" priority="18">
      <colorScale>
        <cfvo type="min"/>
        <cfvo type="max"/>
        <color rgb="FFFCFCFF"/>
        <color rgb="FF63BE7B"/>
      </colorScale>
    </cfRule>
  </conditionalFormatting>
  <conditionalFormatting sqref="L30:L49">
    <cfRule type="colorScale" priority="17">
      <colorScale>
        <cfvo type="min"/>
        <cfvo type="max"/>
        <color rgb="FFFCFCFF"/>
        <color rgb="FF63BE7B"/>
      </colorScale>
    </cfRule>
  </conditionalFormatting>
  <conditionalFormatting sqref="R30:R49">
    <cfRule type="colorScale" priority="16">
      <colorScale>
        <cfvo type="min"/>
        <cfvo type="max"/>
        <color rgb="FFFCFCFF"/>
        <color rgb="FF63BE7B"/>
      </colorScale>
    </cfRule>
  </conditionalFormatting>
  <conditionalFormatting sqref="Q30:Q49">
    <cfRule type="colorScale" priority="15">
      <colorScale>
        <cfvo type="min"/>
        <cfvo type="max"/>
        <color rgb="FFFCFCFF"/>
        <color rgb="FF63BE7B"/>
      </colorScale>
    </cfRule>
  </conditionalFormatting>
  <conditionalFormatting sqref="M30:M49">
    <cfRule type="colorScale" priority="14">
      <colorScale>
        <cfvo type="min"/>
        <cfvo type="max"/>
        <color rgb="FFFCFCFF"/>
        <color rgb="FF63BE7B"/>
      </colorScale>
    </cfRule>
  </conditionalFormatting>
  <conditionalFormatting sqref="N30:N49">
    <cfRule type="colorScale" priority="13">
      <colorScale>
        <cfvo type="min"/>
        <cfvo type="max"/>
        <color rgb="FFFCFCFF"/>
        <color rgb="FF63BE7B"/>
      </colorScale>
    </cfRule>
  </conditionalFormatting>
  <conditionalFormatting sqref="O30:O49">
    <cfRule type="colorScale" priority="12">
      <colorScale>
        <cfvo type="min"/>
        <cfvo type="max"/>
        <color rgb="FFFCFCFF"/>
        <color rgb="FF63BE7B"/>
      </colorScale>
    </cfRule>
  </conditionalFormatting>
  <conditionalFormatting sqref="P30:P49">
    <cfRule type="colorScale" priority="11">
      <colorScale>
        <cfvo type="min"/>
        <cfvo type="max"/>
        <color rgb="FFFCFCFF"/>
        <color rgb="FF63BE7B"/>
      </colorScale>
    </cfRule>
  </conditionalFormatting>
  <conditionalFormatting sqref="L54:L73">
    <cfRule type="colorScale" priority="10">
      <colorScale>
        <cfvo type="min"/>
        <cfvo type="max"/>
        <color rgb="FFFCFCFF"/>
        <color rgb="FF63BE7B"/>
      </colorScale>
    </cfRule>
  </conditionalFormatting>
  <conditionalFormatting sqref="R54:R73">
    <cfRule type="colorScale" priority="9">
      <colorScale>
        <cfvo type="min"/>
        <cfvo type="max"/>
        <color rgb="FFFCFCFF"/>
        <color rgb="FF63BE7B"/>
      </colorScale>
    </cfRule>
  </conditionalFormatting>
  <conditionalFormatting sqref="Q54:Q73">
    <cfRule type="colorScale" priority="8">
      <colorScale>
        <cfvo type="min"/>
        <cfvo type="max"/>
        <color rgb="FFFCFCFF"/>
        <color rgb="FF63BE7B"/>
      </colorScale>
    </cfRule>
  </conditionalFormatting>
  <conditionalFormatting sqref="M54:M73">
    <cfRule type="colorScale" priority="7">
      <colorScale>
        <cfvo type="min"/>
        <cfvo type="max"/>
        <color rgb="FFFCFCFF"/>
        <color rgb="FF63BE7B"/>
      </colorScale>
    </cfRule>
  </conditionalFormatting>
  <conditionalFormatting sqref="N54:N73">
    <cfRule type="colorScale" priority="6">
      <colorScale>
        <cfvo type="min"/>
        <cfvo type="max"/>
        <color rgb="FFFCFCFF"/>
        <color rgb="FF63BE7B"/>
      </colorScale>
    </cfRule>
  </conditionalFormatting>
  <conditionalFormatting sqref="O54:O73">
    <cfRule type="colorScale" priority="5">
      <colorScale>
        <cfvo type="min"/>
        <cfvo type="max"/>
        <color rgb="FFFCFCFF"/>
        <color rgb="FF63BE7B"/>
      </colorScale>
    </cfRule>
  </conditionalFormatting>
  <conditionalFormatting sqref="P54:P73">
    <cfRule type="colorScale" priority="4">
      <colorScale>
        <cfvo type="min"/>
        <cfvo type="max"/>
        <color rgb="FFFCFCFF"/>
        <color rgb="FF63BE7B"/>
      </colorScale>
    </cfRule>
  </conditionalFormatting>
  <conditionalFormatting sqref="S54:S73">
    <cfRule type="colorScale" priority="3">
      <colorScale>
        <cfvo type="min"/>
        <cfvo type="max"/>
        <color rgb="FFFCFCFF"/>
        <color rgb="FF63BE7B"/>
      </colorScale>
    </cfRule>
  </conditionalFormatting>
  <conditionalFormatting sqref="S30:S49">
    <cfRule type="colorScale" priority="2">
      <colorScale>
        <cfvo type="min"/>
        <cfvo type="max"/>
        <color rgb="FFFCFCFF"/>
        <color rgb="FF63BE7B"/>
      </colorScale>
    </cfRule>
  </conditionalFormatting>
  <conditionalFormatting sqref="S5:S26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U8" xr:uid="{609DBB16-E6D8-2247-BC21-792669C78338}">
      <formula1>$C$5:$C$24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2E4F-6016-7E4B-B58F-1BC7AA701AA1}">
  <sheetPr>
    <tabColor theme="9" tint="-0.249977111117893"/>
  </sheetPr>
  <dimension ref="C2:S80"/>
  <sheetViews>
    <sheetView showGridLines="0" topLeftCell="A18" zoomScale="133" workbookViewId="0">
      <selection activeCell="F20" sqref="F20"/>
    </sheetView>
  </sheetViews>
  <sheetFormatPr baseColWidth="10" defaultRowHeight="16" x14ac:dyDescent="0.2"/>
  <cols>
    <col min="3" max="3" width="15.6640625" bestFit="1" customWidth="1"/>
    <col min="4" max="4" width="14.33203125" bestFit="1" customWidth="1"/>
    <col min="5" max="5" width="15.1640625" bestFit="1" customWidth="1"/>
    <col min="6" max="6" width="14.33203125" bestFit="1" customWidth="1"/>
    <col min="8" max="9" width="11.33203125" bestFit="1" customWidth="1"/>
  </cols>
  <sheetData>
    <row r="2" spans="3:19" x14ac:dyDescent="0.2">
      <c r="D2">
        <v>5</v>
      </c>
      <c r="E2">
        <v>6</v>
      </c>
      <c r="F2">
        <v>7</v>
      </c>
    </row>
    <row r="3" spans="3:19" x14ac:dyDescent="0.2">
      <c r="C3" s="16" t="s">
        <v>499</v>
      </c>
      <c r="D3" s="17"/>
      <c r="E3" s="17"/>
      <c r="F3" s="18"/>
      <c r="H3" s="19" t="s">
        <v>538</v>
      </c>
      <c r="I3" s="20"/>
      <c r="J3" s="21"/>
    </row>
    <row r="4" spans="3:19" x14ac:dyDescent="0.2">
      <c r="C4" s="1" t="s">
        <v>480</v>
      </c>
      <c r="D4" s="39" t="d">
        <v>2024-07-01</v>
      </c>
      <c r="E4" s="39" t="d">
        <v>2025-07-01</v>
      </c>
      <c r="F4" s="39" t="d">
        <v>2026-07-01</v>
      </c>
      <c r="H4" s="38" t="s">
        <v>543</v>
      </c>
      <c r="I4" s="37" t="s">
        <v>544</v>
      </c>
      <c r="J4" s="36" t="s">
        <v>545</v>
      </c>
    </row>
    <row r="5" spans="3:19" x14ac:dyDescent="0.2">
      <c r="C5" s="40" t="s">
        <v>134</v>
      </c>
      <c r="D5" s="41">
        <f>SUMIFS('Streaming Data (2024-2026)'!$F:$F,'Streaming Data (2024-2026)'!$D:$D,$C5,'Streaming Data (2024-2026)'!$E:$E,D$4)</f>
        <v>1247</v>
      </c>
      <c r="E5" s="41">
        <f>SUMIFS('Streaming Data (2024-2026)'!$F:$F,'Streaming Data (2024-2026)'!$D:$D,$C5,'Streaming Data (2024-2026)'!$E:$E,E$4)</f>
        <v>52143</v>
      </c>
      <c r="F5" s="41">
        <f>SUMIFS('Streaming Data (2024-2026)'!$F:$F,'Streaming Data (2024-2026)'!$D:$D,$C5,'Streaming Data (2024-2026)'!$E:$E,F$4)</f>
        <v>397115</v>
      </c>
      <c r="H5" s="27">
        <f t="shared" ref="H5:H24" si="0">IFERROR((E5-D5)/D5,0)</f>
        <v>40.814755412991175</v>
      </c>
      <c r="I5" s="28">
        <f t="shared" ref="I5:I24" si="1">IFERROR((F5-E5)/E5,0)</f>
        <v>6.6158832441554951</v>
      </c>
      <c r="J5" s="29">
        <f t="shared" ref="J5:J24" si="2">IFERROR((F5-D5)/D5,0)</f>
        <v>317.45629510825984</v>
      </c>
      <c r="Q5" s="40" t="s">
        <v>547</v>
      </c>
      <c r="R5" s="40" t="s">
        <v>548</v>
      </c>
      <c r="S5" s="40"/>
    </row>
    <row r="6" spans="3:19" x14ac:dyDescent="0.2">
      <c r="C6" t="s">
        <v>65</v>
      </c>
      <c r="D6" s="2">
        <f>SUMIFS('Streaming Data (2024-2026)'!$F:$F,'Streaming Data (2024-2026)'!$D:$D,$C6,'Streaming Data (2024-2026)'!$E:$E,D$4)</f>
        <v>342137</v>
      </c>
      <c r="E6" s="2">
        <f>SUMIFS('Streaming Data (2024-2026)'!$F:$F,'Streaming Data (2024-2026)'!$D:$D,$C6,'Streaming Data (2024-2026)'!$E:$E,E$4)</f>
        <v>675671</v>
      </c>
      <c r="F6" s="2">
        <f>SUMIFS('Streaming Data (2024-2026)'!$F:$F,'Streaming Data (2024-2026)'!$D:$D,$C6,'Streaming Data (2024-2026)'!$E:$E,F$4)</f>
        <v>1273152</v>
      </c>
      <c r="H6" s="27">
        <f t="shared" si="0"/>
        <v>0.97485510190362346</v>
      </c>
      <c r="I6" s="28">
        <f t="shared" si="1"/>
        <v>0.88427799920375449</v>
      </c>
      <c r="J6" s="29">
        <f t="shared" si="2"/>
        <v>2.7211760201322863</v>
      </c>
    </row>
    <row r="7" spans="3:19" x14ac:dyDescent="0.2">
      <c r="C7" t="s">
        <v>287</v>
      </c>
      <c r="D7" s="2">
        <f>SUMIFS('Streaming Data (2024-2026)'!$F:$F,'Streaming Data (2024-2026)'!$D:$D,$C7,'Streaming Data (2024-2026)'!$E:$E,D$4)</f>
        <v>174</v>
      </c>
      <c r="E7" s="2">
        <f>SUMIFS('Streaming Data (2024-2026)'!$F:$F,'Streaming Data (2024-2026)'!$D:$D,$C7,'Streaming Data (2024-2026)'!$E:$E,E$4)</f>
        <v>26225</v>
      </c>
      <c r="F7" s="2">
        <f>SUMIFS('Streaming Data (2024-2026)'!$F:$F,'Streaming Data (2024-2026)'!$D:$D,$C7,'Streaming Data (2024-2026)'!$E:$E,F$4)</f>
        <v>79045</v>
      </c>
      <c r="H7" s="27">
        <f t="shared" si="0"/>
        <v>149.7183908045977</v>
      </c>
      <c r="I7" s="28">
        <f t="shared" si="1"/>
        <v>2.0141086749285035</v>
      </c>
      <c r="J7" s="29">
        <f t="shared" si="2"/>
        <v>453.28160919540232</v>
      </c>
    </row>
    <row r="8" spans="3:19" x14ac:dyDescent="0.2">
      <c r="C8" t="s">
        <v>478</v>
      </c>
      <c r="D8" s="2">
        <f>SUMIFS('Streaming Data (2024-2026)'!$F:$F,'Streaming Data (2024-2026)'!$D:$D,$C8,'Streaming Data (2024-2026)'!$E:$E,D$4)</f>
        <v>58965</v>
      </c>
      <c r="E8" s="2">
        <f>SUMIFS('Streaming Data (2024-2026)'!$F:$F,'Streaming Data (2024-2026)'!$D:$D,$C8,'Streaming Data (2024-2026)'!$E:$E,E$4)</f>
        <v>211452</v>
      </c>
      <c r="F8" s="2">
        <f>SUMIFS('Streaming Data (2024-2026)'!$F:$F,'Streaming Data (2024-2026)'!$D:$D,$C8,'Streaming Data (2024-2026)'!$E:$E,F$4)</f>
        <v>491635</v>
      </c>
      <c r="H8" s="27">
        <f t="shared" si="0"/>
        <v>2.5860595268379547</v>
      </c>
      <c r="I8" s="28">
        <f t="shared" si="1"/>
        <v>1.3250430357717118</v>
      </c>
      <c r="J8" s="29">
        <f t="shared" si="2"/>
        <v>7.3377427287373864</v>
      </c>
    </row>
    <row r="9" spans="3:19" x14ac:dyDescent="0.2">
      <c r="C9" t="s">
        <v>540</v>
      </c>
      <c r="D9" s="2">
        <f>SUMIFS('Streaming Data (2024-2026)'!$F:$F,'Streaming Data (2024-2026)'!$D:$D,$C9,'Streaming Data (2024-2026)'!$E:$E,D$4)</f>
        <v>32496</v>
      </c>
      <c r="E9" s="2">
        <f>SUMIFS('Streaming Data (2024-2026)'!$F:$F,'Streaming Data (2024-2026)'!$D:$D,$C9,'Streaming Data (2024-2026)'!$E:$E,E$4)</f>
        <v>193087</v>
      </c>
      <c r="F9" s="2">
        <f>SUMIFS('Streaming Data (2024-2026)'!$F:$F,'Streaming Data (2024-2026)'!$D:$D,$C9,'Streaming Data (2024-2026)'!$E:$E,F$4)</f>
        <v>318057</v>
      </c>
      <c r="H9" s="27">
        <f t="shared" si="0"/>
        <v>4.9418697685869031</v>
      </c>
      <c r="I9" s="28">
        <f t="shared" si="1"/>
        <v>0.64722120080585432</v>
      </c>
      <c r="J9" s="29">
        <f t="shared" si="2"/>
        <v>8.787573855243723</v>
      </c>
    </row>
    <row r="10" spans="3:19" x14ac:dyDescent="0.2">
      <c r="C10" t="s">
        <v>49</v>
      </c>
      <c r="D10" s="2">
        <f>SUMIFS('Streaming Data (2024-2026)'!$F:$F,'Streaming Data (2024-2026)'!$D:$D,$C10,'Streaming Data (2024-2026)'!$E:$E,D$4)</f>
        <v>92909</v>
      </c>
      <c r="E10" s="2">
        <f>SUMIFS('Streaming Data (2024-2026)'!$F:$F,'Streaming Data (2024-2026)'!$D:$D,$C10,'Streaming Data (2024-2026)'!$E:$E,E$4)</f>
        <v>632272</v>
      </c>
      <c r="F10" s="2">
        <f>SUMIFS('Streaming Data (2024-2026)'!$F:$F,'Streaming Data (2024-2026)'!$D:$D,$C10,'Streaming Data (2024-2026)'!$E:$E,F$4)</f>
        <v>1691439</v>
      </c>
      <c r="H10" s="27">
        <f t="shared" si="0"/>
        <v>5.8052825883391277</v>
      </c>
      <c r="I10" s="28">
        <f t="shared" si="1"/>
        <v>1.6751761899941797</v>
      </c>
      <c r="J10" s="29">
        <f t="shared" si="2"/>
        <v>17.205329946506797</v>
      </c>
    </row>
    <row r="11" spans="3:19" x14ac:dyDescent="0.2">
      <c r="C11" t="s">
        <v>45</v>
      </c>
      <c r="D11" s="2">
        <f>SUMIFS('Streaming Data (2024-2026)'!$F:$F,'Streaming Data (2024-2026)'!$D:$D,$C11,'Streaming Data (2024-2026)'!$E:$E,D$4)</f>
        <v>7124</v>
      </c>
      <c r="E11" s="2">
        <f>SUMIFS('Streaming Data (2024-2026)'!$F:$F,'Streaming Data (2024-2026)'!$D:$D,$C11,'Streaming Data (2024-2026)'!$E:$E,E$4)</f>
        <v>1021356</v>
      </c>
      <c r="F11" s="2">
        <f>SUMIFS('Streaming Data (2024-2026)'!$F:$F,'Streaming Data (2024-2026)'!$D:$D,$C11,'Streaming Data (2024-2026)'!$E:$E,F$4)</f>
        <v>1836645</v>
      </c>
      <c r="H11" s="27">
        <f t="shared" si="0"/>
        <v>142.36833239752949</v>
      </c>
      <c r="I11" s="28">
        <f t="shared" si="1"/>
        <v>0.79824174920399937</v>
      </c>
      <c r="J11" s="29">
        <f t="shared" si="2"/>
        <v>256.81092083099384</v>
      </c>
    </row>
    <row r="12" spans="3:19" x14ac:dyDescent="0.2">
      <c r="C12" t="s">
        <v>91</v>
      </c>
      <c r="D12" s="2">
        <f>SUMIFS('Streaming Data (2024-2026)'!$F:$F,'Streaming Data (2024-2026)'!$D:$D,$C12,'Streaming Data (2024-2026)'!$E:$E,D$4)</f>
        <v>391317</v>
      </c>
      <c r="E12" s="2">
        <f>SUMIFS('Streaming Data (2024-2026)'!$F:$F,'Streaming Data (2024-2026)'!$D:$D,$C12,'Streaming Data (2024-2026)'!$E:$E,E$4)</f>
        <v>572379</v>
      </c>
      <c r="F12" s="2">
        <f>SUMIFS('Streaming Data (2024-2026)'!$F:$F,'Streaming Data (2024-2026)'!$D:$D,$C12,'Streaming Data (2024-2026)'!$E:$E,F$4)</f>
        <v>802257</v>
      </c>
      <c r="H12" s="27">
        <f t="shared" si="0"/>
        <v>0.46269903939772616</v>
      </c>
      <c r="I12" s="28">
        <f t="shared" si="1"/>
        <v>0.40161850801654148</v>
      </c>
      <c r="J12" s="29">
        <f t="shared" si="2"/>
        <v>1.0501460452778693</v>
      </c>
    </row>
    <row r="13" spans="3:19" x14ac:dyDescent="0.2">
      <c r="C13" t="s">
        <v>479</v>
      </c>
      <c r="D13" s="2">
        <f>SUMIFS('Streaming Data (2024-2026)'!$F:$F,'Streaming Data (2024-2026)'!$D:$D,$C13,'Streaming Data (2024-2026)'!$E:$E,D$4)</f>
        <v>60061</v>
      </c>
      <c r="E13" s="2">
        <f>SUMIFS('Streaming Data (2024-2026)'!$F:$F,'Streaming Data (2024-2026)'!$D:$D,$C13,'Streaming Data (2024-2026)'!$E:$E,E$4)</f>
        <v>151166</v>
      </c>
      <c r="F13" s="2">
        <f>SUMIFS('Streaming Data (2024-2026)'!$F:$F,'Streaming Data (2024-2026)'!$D:$D,$C13,'Streaming Data (2024-2026)'!$E:$E,F$4)</f>
        <v>257555</v>
      </c>
      <c r="H13" s="27">
        <f t="shared" si="0"/>
        <v>1.5168745109139041</v>
      </c>
      <c r="I13" s="28">
        <f t="shared" si="1"/>
        <v>0.70378921185980969</v>
      </c>
      <c r="J13" s="29">
        <f t="shared" si="2"/>
        <v>3.2882236393000448</v>
      </c>
    </row>
    <row r="14" spans="3:19" x14ac:dyDescent="0.2">
      <c r="C14" t="s">
        <v>30</v>
      </c>
      <c r="D14" s="2">
        <f>SUMIFS('Streaming Data (2024-2026)'!$F:$F,'Streaming Data (2024-2026)'!$D:$D,$C14,'Streaming Data (2024-2026)'!$E:$E,D$4)</f>
        <v>1621714</v>
      </c>
      <c r="E14" s="2">
        <f>SUMIFS('Streaming Data (2024-2026)'!$F:$F,'Streaming Data (2024-2026)'!$D:$D,$C14,'Streaming Data (2024-2026)'!$E:$E,E$4)</f>
        <v>3176360</v>
      </c>
      <c r="F14" s="2">
        <f>SUMIFS('Streaming Data (2024-2026)'!$F:$F,'Streaming Data (2024-2026)'!$D:$D,$C14,'Streaming Data (2024-2026)'!$E:$E,F$4)</f>
        <v>4665879</v>
      </c>
      <c r="H14" s="27">
        <f t="shared" si="0"/>
        <v>0.95864375592737072</v>
      </c>
      <c r="I14" s="28">
        <f t="shared" si="1"/>
        <v>0.46893897417169339</v>
      </c>
      <c r="J14" s="29">
        <f t="shared" si="2"/>
        <v>1.8771281495997445</v>
      </c>
    </row>
    <row r="15" spans="3:19" x14ac:dyDescent="0.2">
      <c r="C15" t="s">
        <v>125</v>
      </c>
      <c r="D15" s="2">
        <f>SUMIFS('Streaming Data (2024-2026)'!$F:$F,'Streaming Data (2024-2026)'!$D:$D,$C15,'Streaming Data (2024-2026)'!$E:$E,D$4)</f>
        <v>262070</v>
      </c>
      <c r="E15" s="2">
        <f>SUMIFS('Streaming Data (2024-2026)'!$F:$F,'Streaming Data (2024-2026)'!$D:$D,$C15,'Streaming Data (2024-2026)'!$E:$E,E$4)</f>
        <v>347912</v>
      </c>
      <c r="F15" s="2">
        <f>SUMIFS('Streaming Data (2024-2026)'!$F:$F,'Streaming Data (2024-2026)'!$D:$D,$C15,'Streaming Data (2024-2026)'!$E:$E,F$4)</f>
        <v>439293</v>
      </c>
      <c r="H15" s="27">
        <f t="shared" si="0"/>
        <v>0.32755370702484071</v>
      </c>
      <c r="I15" s="28">
        <f t="shared" si="1"/>
        <v>0.26265549909172436</v>
      </c>
      <c r="J15" s="29">
        <f t="shared" si="2"/>
        <v>0.67624298851451903</v>
      </c>
    </row>
    <row r="16" spans="3:19" x14ac:dyDescent="0.2">
      <c r="C16" t="s">
        <v>32</v>
      </c>
      <c r="D16" s="2">
        <f>SUMIFS('Streaming Data (2024-2026)'!$F:$F,'Streaming Data (2024-2026)'!$D:$D,$C16,'Streaming Data (2024-2026)'!$E:$E,D$4)</f>
        <v>2405061</v>
      </c>
      <c r="E16" s="2">
        <f>SUMIFS('Streaming Data (2024-2026)'!$F:$F,'Streaming Data (2024-2026)'!$D:$D,$C16,'Streaming Data (2024-2026)'!$E:$E,E$4)</f>
        <v>3113325</v>
      </c>
      <c r="F16" s="2">
        <f>SUMIFS('Streaming Data (2024-2026)'!$F:$F,'Streaming Data (2024-2026)'!$D:$D,$C16,'Streaming Data (2024-2026)'!$E:$E,F$4)</f>
        <v>4456656</v>
      </c>
      <c r="H16" s="27">
        <f t="shared" si="0"/>
        <v>0.29448899632899123</v>
      </c>
      <c r="I16" s="28">
        <f t="shared" si="1"/>
        <v>0.43147792151477921</v>
      </c>
      <c r="J16" s="29">
        <f t="shared" si="2"/>
        <v>0.85303241788877704</v>
      </c>
    </row>
    <row r="17" spans="3:10" x14ac:dyDescent="0.2">
      <c r="C17" t="s">
        <v>26</v>
      </c>
      <c r="D17" s="2">
        <f>SUMIFS('Streaming Data (2024-2026)'!$F:$F,'Streaming Data (2024-2026)'!$D:$D,$C17,'Streaming Data (2024-2026)'!$E:$E,D$4)</f>
        <v>3943718</v>
      </c>
      <c r="E17" s="2">
        <f>SUMIFS('Streaming Data (2024-2026)'!$F:$F,'Streaming Data (2024-2026)'!$D:$D,$C17,'Streaming Data (2024-2026)'!$E:$E,E$4)</f>
        <v>6073080</v>
      </c>
      <c r="F17" s="2">
        <f>SUMIFS('Streaming Data (2024-2026)'!$F:$F,'Streaming Data (2024-2026)'!$D:$D,$C17,'Streaming Data (2024-2026)'!$E:$E,F$4)</f>
        <v>7903606</v>
      </c>
      <c r="H17" s="27">
        <f t="shared" si="0"/>
        <v>0.53993769331377139</v>
      </c>
      <c r="I17" s="28">
        <f t="shared" si="1"/>
        <v>0.30141641473519204</v>
      </c>
      <c r="J17" s="29">
        <f t="shared" si="2"/>
        <v>1.0041001917479901</v>
      </c>
    </row>
    <row r="18" spans="3:10" x14ac:dyDescent="0.2">
      <c r="C18" t="s">
        <v>58</v>
      </c>
      <c r="D18" s="2">
        <f>SUMIFS('Streaming Data (2024-2026)'!$F:$F,'Streaming Data (2024-2026)'!$D:$D,$C18,'Streaming Data (2024-2026)'!$E:$E,D$4)</f>
        <v>1004278</v>
      </c>
      <c r="E18" s="2">
        <f>SUMIFS('Streaming Data (2024-2026)'!$F:$F,'Streaming Data (2024-2026)'!$D:$D,$C18,'Streaming Data (2024-2026)'!$E:$E,E$4)</f>
        <v>1268281</v>
      </c>
      <c r="F18" s="2">
        <f>SUMIFS('Streaming Data (2024-2026)'!$F:$F,'Streaming Data (2024-2026)'!$D:$D,$C18,'Streaming Data (2024-2026)'!$E:$E,F$4)</f>
        <v>1570243</v>
      </c>
      <c r="H18" s="27">
        <f t="shared" si="0"/>
        <v>0.26287840617836894</v>
      </c>
      <c r="I18" s="28">
        <f t="shared" si="1"/>
        <v>0.2380876162301572</v>
      </c>
      <c r="J18" s="29">
        <f t="shared" si="2"/>
        <v>0.56355411549391699</v>
      </c>
    </row>
    <row r="19" spans="3:10" x14ac:dyDescent="0.2">
      <c r="C19" t="s">
        <v>56</v>
      </c>
      <c r="D19" s="2">
        <f>SUMIFS('Streaming Data (2024-2026)'!$F:$F,'Streaming Data (2024-2026)'!$D:$D,$C19,'Streaming Data (2024-2026)'!$E:$E,D$4)</f>
        <v>583594</v>
      </c>
      <c r="E19" s="2">
        <f>SUMIFS('Streaming Data (2024-2026)'!$F:$F,'Streaming Data (2024-2026)'!$D:$D,$C19,'Streaming Data (2024-2026)'!$E:$E,E$4)</f>
        <v>1118540</v>
      </c>
      <c r="F19" s="2">
        <f>SUMIFS('Streaming Data (2024-2026)'!$F:$F,'Streaming Data (2024-2026)'!$D:$D,$C19,'Streaming Data (2024-2026)'!$E:$E,F$4)</f>
        <v>1600525</v>
      </c>
      <c r="H19" s="27">
        <f t="shared" si="0"/>
        <v>0.91664067827976303</v>
      </c>
      <c r="I19" s="28">
        <f t="shared" si="1"/>
        <v>0.43090546605396318</v>
      </c>
      <c r="J19" s="29">
        <f t="shared" si="2"/>
        <v>1.7425316230118884</v>
      </c>
    </row>
    <row r="20" spans="3:10" x14ac:dyDescent="0.2">
      <c r="C20" t="s">
        <v>542</v>
      </c>
      <c r="D20" s="2">
        <f>SUMIFS('Streaming Data (2024-2026)'!$F:$F,'Streaming Data (2024-2026)'!$D:$D,$C20,'Streaming Data (2024-2026)'!$E:$E,D$4)</f>
        <v>1441046</v>
      </c>
      <c r="E20" s="2">
        <f>SUMIFS('Streaming Data (2024-2026)'!$F:$F,'Streaming Data (2024-2026)'!$D:$D,$C20,'Streaming Data (2024-2026)'!$E:$E,E$4)</f>
        <v>1882889</v>
      </c>
      <c r="F20" s="2">
        <f>SUMIFS('Streaming Data (2024-2026)'!$F:$F,'Streaming Data (2024-2026)'!$D:$D,$C20,'Streaming Data (2024-2026)'!$E:$E,F$4)</f>
        <v>2145000</v>
      </c>
      <c r="H20" s="27">
        <f t="shared" si="0"/>
        <v>0.30661269661065643</v>
      </c>
      <c r="I20" s="28">
        <f t="shared" si="1"/>
        <v>0.13920682525629499</v>
      </c>
      <c r="J20" s="29">
        <f t="shared" si="2"/>
        <v>0.48850210194539245</v>
      </c>
    </row>
    <row r="21" spans="3:10" x14ac:dyDescent="0.2">
      <c r="C21" t="s">
        <v>81</v>
      </c>
      <c r="D21" s="2">
        <f>SUMIFS('Streaming Data (2024-2026)'!$F:$F,'Streaming Data (2024-2026)'!$D:$D,$C21,'Streaming Data (2024-2026)'!$E:$E,D$4)</f>
        <v>497129</v>
      </c>
      <c r="E21" s="2">
        <f>SUMIFS('Streaming Data (2024-2026)'!$F:$F,'Streaming Data (2024-2026)'!$D:$D,$C21,'Streaming Data (2024-2026)'!$E:$E,E$4)</f>
        <v>710237</v>
      </c>
      <c r="F21" s="2">
        <f>SUMIFS('Streaming Data (2024-2026)'!$F:$F,'Streaming Data (2024-2026)'!$D:$D,$C21,'Streaming Data (2024-2026)'!$E:$E,F$4)</f>
        <v>934958</v>
      </c>
      <c r="H21" s="27">
        <f t="shared" si="0"/>
        <v>0.42867746600982842</v>
      </c>
      <c r="I21" s="28">
        <f t="shared" si="1"/>
        <v>0.31640283454677803</v>
      </c>
      <c r="J21" s="29">
        <f t="shared" si="2"/>
        <v>0.88071506590844628</v>
      </c>
    </row>
    <row r="22" spans="3:10" x14ac:dyDescent="0.2">
      <c r="C22" t="s">
        <v>61</v>
      </c>
      <c r="D22" s="2">
        <f>SUMIFS('Streaming Data (2024-2026)'!$F:$F,'Streaming Data (2024-2026)'!$D:$D,$C22,'Streaming Data (2024-2026)'!$E:$E,D$4)</f>
        <v>1164307</v>
      </c>
      <c r="E22" s="2">
        <f>SUMIFS('Streaming Data (2024-2026)'!$F:$F,'Streaming Data (2024-2026)'!$D:$D,$C22,'Streaming Data (2024-2026)'!$E:$E,E$4)</f>
        <v>1397766</v>
      </c>
      <c r="F22" s="2">
        <f>SUMIFS('Streaming Data (2024-2026)'!$F:$F,'Streaming Data (2024-2026)'!$D:$D,$C22,'Streaming Data (2024-2026)'!$E:$E,F$4)</f>
        <v>1534731</v>
      </c>
      <c r="H22" s="27">
        <f t="shared" si="0"/>
        <v>0.20051326668997094</v>
      </c>
      <c r="I22" s="28">
        <f t="shared" si="1"/>
        <v>9.7988504513631031E-2</v>
      </c>
      <c r="J22" s="29">
        <f t="shared" si="2"/>
        <v>0.31814976634169512</v>
      </c>
    </row>
    <row r="23" spans="3:10" x14ac:dyDescent="0.2">
      <c r="C23" t="s">
        <v>41</v>
      </c>
      <c r="D23" s="2">
        <f>SUMIFS('Streaming Data (2024-2026)'!$F:$F,'Streaming Data (2024-2026)'!$D:$D,$C23,'Streaming Data (2024-2026)'!$E:$E,D$4)</f>
        <v>1186007</v>
      </c>
      <c r="E23" s="2">
        <f>SUMIFS('Streaming Data (2024-2026)'!$F:$F,'Streaming Data (2024-2026)'!$D:$D,$C23,'Streaming Data (2024-2026)'!$E:$E,E$4)</f>
        <v>1877742</v>
      </c>
      <c r="F23" s="2">
        <f>SUMIFS('Streaming Data (2024-2026)'!$F:$F,'Streaming Data (2024-2026)'!$D:$D,$C23,'Streaming Data (2024-2026)'!$E:$E,F$4)</f>
        <v>2097476</v>
      </c>
      <c r="H23" s="27">
        <f t="shared" si="0"/>
        <v>0.58324697914936419</v>
      </c>
      <c r="I23" s="28">
        <f t="shared" si="1"/>
        <v>0.11702033612711438</v>
      </c>
      <c r="J23" s="29">
        <f t="shared" si="2"/>
        <v>0.76851907282166121</v>
      </c>
    </row>
    <row r="24" spans="3:10" x14ac:dyDescent="0.2">
      <c r="C24" t="s">
        <v>60</v>
      </c>
      <c r="D24" s="2">
        <f>SUMIFS('Streaming Data (2024-2026)'!$F:$F,'Streaming Data (2024-2026)'!$D:$D,$C24,'Streaming Data (2024-2026)'!$E:$E,D$4)</f>
        <v>882610</v>
      </c>
      <c r="E24" s="2">
        <f>SUMIFS('Streaming Data (2024-2026)'!$F:$F,'Streaming Data (2024-2026)'!$D:$D,$C24,'Streaming Data (2024-2026)'!$E:$E,E$4)</f>
        <v>1417457</v>
      </c>
      <c r="F24" s="2">
        <f>SUMIFS('Streaming Data (2024-2026)'!$F:$F,'Streaming Data (2024-2026)'!$D:$D,$C24,'Streaming Data (2024-2026)'!$E:$E,F$4)</f>
        <v>1550966</v>
      </c>
      <c r="H24" s="27">
        <f t="shared" si="0"/>
        <v>0.60598339017232983</v>
      </c>
      <c r="I24" s="28">
        <f t="shared" si="1"/>
        <v>9.4189100621747263E-2</v>
      </c>
      <c r="J24" s="29">
        <f t="shared" si="2"/>
        <v>0.75724952130612611</v>
      </c>
    </row>
    <row r="25" spans="3:10" x14ac:dyDescent="0.2">
      <c r="H25" s="30"/>
      <c r="I25" s="31"/>
      <c r="J25" s="32"/>
    </row>
    <row r="27" spans="3:10" x14ac:dyDescent="0.2">
      <c r="C27" s="16" t="s">
        <v>482</v>
      </c>
      <c r="D27" s="17"/>
      <c r="E27" s="17"/>
      <c r="F27" s="18"/>
      <c r="H27" s="19" t="s">
        <v>538</v>
      </c>
      <c r="I27" s="20"/>
      <c r="J27" s="21"/>
    </row>
    <row r="28" spans="3:10" x14ac:dyDescent="0.2">
      <c r="C28" s="1" t="s">
        <v>480</v>
      </c>
      <c r="D28" s="39" t="d">
        <v>2024-07-01</v>
      </c>
      <c r="E28" s="39" t="d">
        <v>2025-07-01</v>
      </c>
      <c r="F28" s="39" t="d">
        <v>2026-07-01</v>
      </c>
      <c r="H28" s="38" t="s">
        <v>543</v>
      </c>
      <c r="I28" s="37" t="s">
        <v>544</v>
      </c>
      <c r="J28" s="36" t="s">
        <v>545</v>
      </c>
    </row>
    <row r="29" spans="3:10" x14ac:dyDescent="0.2">
      <c r="C29" t="s">
        <v>134</v>
      </c>
      <c r="D29" s="2">
        <f>SUMIFS('Streaming Data (2024-2026)'!$H:$H,'Streaming Data (2024-2026)'!$D:$D,$C29,'Streaming Data (2024-2026)'!$E:$E,D$28)</f>
        <v>1243608</v>
      </c>
      <c r="E29" s="2">
        <f>SUMIFS('Streaming Data (2024-2026)'!$H:$H,'Streaming Data (2024-2026)'!$D:$D,$C29,'Streaming Data (2024-2026)'!$E:$E,E$28)</f>
        <v>41627555</v>
      </c>
      <c r="F29" s="2">
        <f>SUMIFS('Streaming Data (2024-2026)'!$H:$H,'Streaming Data (2024-2026)'!$D:$D,$C29,'Streaming Data (2024-2026)'!$E:$E,F$28)</f>
        <v>232932135</v>
      </c>
      <c r="H29" s="27">
        <f t="shared" ref="H29:H48" si="3">IFERROR((E29-D29)/D29,0)</f>
        <v>32.473212620053907</v>
      </c>
      <c r="I29" s="28">
        <f t="shared" ref="I29:I48" si="4">IFERROR((F29-E29)/E29,0)</f>
        <v>4.5956237400923499</v>
      </c>
      <c r="J29" s="29">
        <f t="shared" ref="J29:J48" si="5">IFERROR((F29-D29)/D29,0)</f>
        <v>186.3035031939325</v>
      </c>
    </row>
    <row r="30" spans="3:10" x14ac:dyDescent="0.2">
      <c r="C30" t="s">
        <v>540</v>
      </c>
      <c r="D30" s="2">
        <f>SUMIFS('Streaming Data (2024-2026)'!$H:$H,'Streaming Data (2024-2026)'!$D:$D,$C30,'Streaming Data (2024-2026)'!$E:$E,D$28)</f>
        <v>10158248</v>
      </c>
      <c r="E30" s="2">
        <f>SUMIFS('Streaming Data (2024-2026)'!$H:$H,'Streaming Data (2024-2026)'!$D:$D,$C30,'Streaming Data (2024-2026)'!$E:$E,E$28)</f>
        <v>35771479</v>
      </c>
      <c r="F30" s="2">
        <f>SUMIFS('Streaming Data (2024-2026)'!$H:$H,'Streaming Data (2024-2026)'!$D:$D,$C30,'Streaming Data (2024-2026)'!$E:$E,F$28)</f>
        <v>97973981</v>
      </c>
      <c r="H30" s="27">
        <f t="shared" si="3"/>
        <v>2.5214220995589005</v>
      </c>
      <c r="I30" s="28">
        <f t="shared" si="4"/>
        <v>1.7388853840793108</v>
      </c>
      <c r="J30" s="29">
        <f t="shared" si="5"/>
        <v>8.6447715196557517</v>
      </c>
    </row>
    <row r="31" spans="3:10" x14ac:dyDescent="0.2">
      <c r="C31" t="s">
        <v>287</v>
      </c>
      <c r="D31" s="2">
        <f>SUMIFS('Streaming Data (2024-2026)'!$H:$H,'Streaming Data (2024-2026)'!$D:$D,$C31,'Streaming Data (2024-2026)'!$E:$E,D$28)</f>
        <v>6005169</v>
      </c>
      <c r="E31" s="2">
        <f>SUMIFS('Streaming Data (2024-2026)'!$H:$H,'Streaming Data (2024-2026)'!$D:$D,$C31,'Streaming Data (2024-2026)'!$E:$E,E$28)</f>
        <v>46061464</v>
      </c>
      <c r="F31" s="2">
        <f>SUMIFS('Streaming Data (2024-2026)'!$H:$H,'Streaming Data (2024-2026)'!$D:$D,$C31,'Streaming Data (2024-2026)'!$E:$E,F$28)</f>
        <v>150174429</v>
      </c>
      <c r="H31" s="27">
        <f t="shared" si="3"/>
        <v>6.6703027008898497</v>
      </c>
      <c r="I31" s="28">
        <f t="shared" si="4"/>
        <v>2.2603051652895791</v>
      </c>
      <c r="J31" s="29">
        <f t="shared" si="5"/>
        <v>24.007527515045787</v>
      </c>
    </row>
    <row r="32" spans="3:10" x14ac:dyDescent="0.2">
      <c r="C32" t="s">
        <v>478</v>
      </c>
      <c r="D32" s="2">
        <f>SUMIFS('Streaming Data (2024-2026)'!$H:$H,'Streaming Data (2024-2026)'!$D:$D,$C32,'Streaming Data (2024-2026)'!$E:$E,D$28)</f>
        <v>47167532</v>
      </c>
      <c r="E32" s="2">
        <f>SUMIFS('Streaming Data (2024-2026)'!$H:$H,'Streaming Data (2024-2026)'!$D:$D,$C32,'Streaming Data (2024-2026)'!$E:$E,E$28)</f>
        <v>127948206</v>
      </c>
      <c r="F32" s="2">
        <f>SUMIFS('Streaming Data (2024-2026)'!$H:$H,'Streaming Data (2024-2026)'!$D:$D,$C32,'Streaming Data (2024-2026)'!$E:$E,F$28)</f>
        <v>286537146</v>
      </c>
      <c r="H32" s="27">
        <f t="shared" si="3"/>
        <v>1.712633045968994</v>
      </c>
      <c r="I32" s="28">
        <f t="shared" si="4"/>
        <v>1.2394776367556104</v>
      </c>
      <c r="J32" s="29">
        <f t="shared" si="5"/>
        <v>5.0748810431718159</v>
      </c>
    </row>
    <row r="33" spans="3:10" x14ac:dyDescent="0.2">
      <c r="C33" t="s">
        <v>479</v>
      </c>
      <c r="D33" s="2">
        <f>SUMIFS('Streaming Data (2024-2026)'!$H:$H,'Streaming Data (2024-2026)'!$D:$D,$C33,'Streaming Data (2024-2026)'!$E:$E,D$28)</f>
        <v>13335851</v>
      </c>
      <c r="E33" s="2">
        <f>SUMIFS('Streaming Data (2024-2026)'!$H:$H,'Streaming Data (2024-2026)'!$D:$D,$C33,'Streaming Data (2024-2026)'!$E:$E,E$28)</f>
        <v>62639693</v>
      </c>
      <c r="F33" s="2">
        <f>SUMIFS('Streaming Data (2024-2026)'!$H:$H,'Streaming Data (2024-2026)'!$D:$D,$C33,'Streaming Data (2024-2026)'!$E:$E,F$28)</f>
        <v>127213464</v>
      </c>
      <c r="H33" s="27">
        <f t="shared" si="3"/>
        <v>3.6970900469718804</v>
      </c>
      <c r="I33" s="28">
        <f t="shared" si="4"/>
        <v>1.0308762368934343</v>
      </c>
      <c r="J33" s="29">
        <f t="shared" si="5"/>
        <v>8.5392085589438569</v>
      </c>
    </row>
    <row r="34" spans="3:10" x14ac:dyDescent="0.2">
      <c r="C34" t="s">
        <v>45</v>
      </c>
      <c r="D34" s="2">
        <f>SUMIFS('Streaming Data (2024-2026)'!$H:$H,'Streaming Data (2024-2026)'!$D:$D,$C34,'Streaming Data (2024-2026)'!$E:$E,D$28)</f>
        <v>0</v>
      </c>
      <c r="E34" s="2">
        <f>SUMIFS('Streaming Data (2024-2026)'!$H:$H,'Streaming Data (2024-2026)'!$D:$D,$C34,'Streaming Data (2024-2026)'!$E:$E,E$28)</f>
        <v>249181795</v>
      </c>
      <c r="F34" s="2">
        <f>SUMIFS('Streaming Data (2024-2026)'!$H:$H,'Streaming Data (2024-2026)'!$D:$D,$C34,'Streaming Data (2024-2026)'!$E:$E,F$28)</f>
        <v>461440317</v>
      </c>
      <c r="H34" s="27">
        <f t="shared" si="3"/>
        <v>0</v>
      </c>
      <c r="I34" s="28">
        <f t="shared" si="4"/>
        <v>0.85182194790755084</v>
      </c>
      <c r="J34" s="29">
        <f t="shared" si="5"/>
        <v>0</v>
      </c>
    </row>
    <row r="35" spans="3:10" x14ac:dyDescent="0.2">
      <c r="C35" t="s">
        <v>65</v>
      </c>
      <c r="D35" s="2">
        <f>SUMIFS('Streaming Data (2024-2026)'!$H:$H,'Streaming Data (2024-2026)'!$D:$D,$C35,'Streaming Data (2024-2026)'!$E:$E,D$28)</f>
        <v>48097053</v>
      </c>
      <c r="E35" s="2">
        <f>SUMIFS('Streaming Data (2024-2026)'!$H:$H,'Streaming Data (2024-2026)'!$D:$D,$C35,'Streaming Data (2024-2026)'!$E:$E,E$28)</f>
        <v>85829838</v>
      </c>
      <c r="F35" s="2">
        <f>SUMIFS('Streaming Data (2024-2026)'!$H:$H,'Streaming Data (2024-2026)'!$D:$D,$C35,'Streaming Data (2024-2026)'!$E:$E,F$28)</f>
        <v>186403596</v>
      </c>
      <c r="H35" s="27">
        <f t="shared" si="3"/>
        <v>0.78451345033551223</v>
      </c>
      <c r="I35" s="28">
        <f t="shared" si="4"/>
        <v>1.1717808205579976</v>
      </c>
      <c r="J35" s="29">
        <f t="shared" si="5"/>
        <v>2.8755720854664424</v>
      </c>
    </row>
    <row r="36" spans="3:10" x14ac:dyDescent="0.2">
      <c r="C36" t="s">
        <v>49</v>
      </c>
      <c r="D36" s="2">
        <f>SUMIFS('Streaming Data (2024-2026)'!$H:$H,'Streaming Data (2024-2026)'!$D:$D,$C36,'Streaming Data (2024-2026)'!$E:$E,D$28)</f>
        <v>26877880</v>
      </c>
      <c r="E36" s="2">
        <f>SUMIFS('Streaming Data (2024-2026)'!$H:$H,'Streaming Data (2024-2026)'!$D:$D,$C36,'Streaming Data (2024-2026)'!$E:$E,E$28)</f>
        <v>118008775</v>
      </c>
      <c r="F36" s="2">
        <f>SUMIFS('Streaming Data (2024-2026)'!$H:$H,'Streaming Data (2024-2026)'!$D:$D,$C36,'Streaming Data (2024-2026)'!$E:$E,F$28)</f>
        <v>271481212</v>
      </c>
      <c r="H36" s="27">
        <f t="shared" si="3"/>
        <v>3.3905536820612339</v>
      </c>
      <c r="I36" s="28">
        <f t="shared" si="4"/>
        <v>1.3005171606941941</v>
      </c>
      <c r="J36" s="29">
        <f t="shared" si="5"/>
        <v>9.1005440905309491</v>
      </c>
    </row>
    <row r="37" spans="3:10" x14ac:dyDescent="0.2">
      <c r="C37" t="s">
        <v>58</v>
      </c>
      <c r="D37" s="2">
        <f>SUMIFS('Streaming Data (2024-2026)'!$H:$H,'Streaming Data (2024-2026)'!$D:$D,$C37,'Streaming Data (2024-2026)'!$E:$E,D$28)</f>
        <v>165284012</v>
      </c>
      <c r="E37" s="2">
        <f>SUMIFS('Streaming Data (2024-2026)'!$H:$H,'Streaming Data (2024-2026)'!$D:$D,$C37,'Streaming Data (2024-2026)'!$E:$E,E$28)</f>
        <v>252446380</v>
      </c>
      <c r="F37" s="2">
        <f>SUMIFS('Streaming Data (2024-2026)'!$H:$H,'Streaming Data (2024-2026)'!$D:$D,$C37,'Streaming Data (2024-2026)'!$E:$E,F$28)</f>
        <v>386216622</v>
      </c>
      <c r="H37" s="27">
        <f t="shared" si="3"/>
        <v>0.52734905781449692</v>
      </c>
      <c r="I37" s="28">
        <f t="shared" si="4"/>
        <v>0.52989566338800342</v>
      </c>
      <c r="J37" s="29">
        <f t="shared" si="5"/>
        <v>1.3366847000301518</v>
      </c>
    </row>
    <row r="38" spans="3:10" x14ac:dyDescent="0.2">
      <c r="C38" t="s">
        <v>56</v>
      </c>
      <c r="D38" s="2">
        <f>SUMIFS('Streaming Data (2024-2026)'!$H:$H,'Streaming Data (2024-2026)'!$D:$D,$C38,'Streaming Data (2024-2026)'!$E:$E,D$28)</f>
        <v>74458074</v>
      </c>
      <c r="E38" s="2">
        <f>SUMIFS('Streaming Data (2024-2026)'!$H:$H,'Streaming Data (2024-2026)'!$D:$D,$C38,'Streaming Data (2024-2026)'!$E:$E,E$28)</f>
        <v>143459484</v>
      </c>
      <c r="F38" s="2">
        <f>SUMIFS('Streaming Data (2024-2026)'!$H:$H,'Streaming Data (2024-2026)'!$D:$D,$C38,'Streaming Data (2024-2026)'!$E:$E,F$28)</f>
        <v>207928923</v>
      </c>
      <c r="H38" s="27">
        <f t="shared" si="3"/>
        <v>0.92671494564847323</v>
      </c>
      <c r="I38" s="28">
        <f t="shared" si="4"/>
        <v>0.4493912650626849</v>
      </c>
      <c r="J38" s="29">
        <f t="shared" si="5"/>
        <v>1.7925638124886227</v>
      </c>
    </row>
    <row r="39" spans="3:10" x14ac:dyDescent="0.2">
      <c r="C39" t="s">
        <v>26</v>
      </c>
      <c r="D39" s="2">
        <f>SUMIFS('Streaming Data (2024-2026)'!$H:$H,'Streaming Data (2024-2026)'!$D:$D,$C39,'Streaming Data (2024-2026)'!$E:$E,D$28)</f>
        <v>505367451</v>
      </c>
      <c r="E39" s="2">
        <f>SUMIFS('Streaming Data (2024-2026)'!$H:$H,'Streaming Data (2024-2026)'!$D:$D,$C39,'Streaming Data (2024-2026)'!$E:$E,E$28)</f>
        <v>770682482</v>
      </c>
      <c r="F39" s="2">
        <f>SUMIFS('Streaming Data (2024-2026)'!$H:$H,'Streaming Data (2024-2026)'!$D:$D,$C39,'Streaming Data (2024-2026)'!$E:$E,F$28)</f>
        <v>1148699708</v>
      </c>
      <c r="H39" s="27">
        <f t="shared" si="3"/>
        <v>0.52499429964277611</v>
      </c>
      <c r="I39" s="28">
        <f t="shared" si="4"/>
        <v>0.49049671535157585</v>
      </c>
      <c r="J39" s="29">
        <f t="shared" si="5"/>
        <v>1.2729989945474347</v>
      </c>
    </row>
    <row r="40" spans="3:10" x14ac:dyDescent="0.2">
      <c r="C40" t="s">
        <v>30</v>
      </c>
      <c r="D40" s="2">
        <f>SUMIFS('Streaming Data (2024-2026)'!$H:$H,'Streaming Data (2024-2026)'!$D:$D,$C40,'Streaming Data (2024-2026)'!$E:$E,D$28)</f>
        <v>167538498</v>
      </c>
      <c r="E40" s="2">
        <f>SUMIFS('Streaming Data (2024-2026)'!$H:$H,'Streaming Data (2024-2026)'!$D:$D,$C40,'Streaming Data (2024-2026)'!$E:$E,E$28)</f>
        <v>390221512</v>
      </c>
      <c r="F40" s="2">
        <f>SUMIFS('Streaming Data (2024-2026)'!$H:$H,'Streaming Data (2024-2026)'!$D:$D,$C40,'Streaming Data (2024-2026)'!$E:$E,F$28)</f>
        <v>620313166</v>
      </c>
      <c r="H40" s="27">
        <f t="shared" si="3"/>
        <v>1.3291453406726852</v>
      </c>
      <c r="I40" s="28">
        <f t="shared" si="4"/>
        <v>0.58964369447679243</v>
      </c>
      <c r="J40" s="29">
        <f t="shared" si="5"/>
        <v>2.7025112043203348</v>
      </c>
    </row>
    <row r="41" spans="3:10" x14ac:dyDescent="0.2">
      <c r="C41" t="s">
        <v>91</v>
      </c>
      <c r="D41" s="2">
        <f>SUMIFS('Streaming Data (2024-2026)'!$H:$H,'Streaming Data (2024-2026)'!$D:$D,$C41,'Streaming Data (2024-2026)'!$E:$E,D$28)</f>
        <v>72861607</v>
      </c>
      <c r="E41" s="2">
        <f>SUMIFS('Streaming Data (2024-2026)'!$H:$H,'Streaming Data (2024-2026)'!$D:$D,$C41,'Streaming Data (2024-2026)'!$E:$E,E$28)</f>
        <v>131199741</v>
      </c>
      <c r="F41" s="2">
        <f>SUMIFS('Streaming Data (2024-2026)'!$H:$H,'Streaming Data (2024-2026)'!$D:$D,$C41,'Streaming Data (2024-2026)'!$E:$E,F$28)</f>
        <v>198570357</v>
      </c>
      <c r="H41" s="27">
        <f t="shared" si="3"/>
        <v>0.80067042715651326</v>
      </c>
      <c r="I41" s="28">
        <f t="shared" si="4"/>
        <v>0.51349656246653719</v>
      </c>
      <c r="J41" s="29">
        <f t="shared" si="5"/>
        <v>1.7253085016365339</v>
      </c>
    </row>
    <row r="42" spans="3:10" x14ac:dyDescent="0.2">
      <c r="C42" t="s">
        <v>125</v>
      </c>
      <c r="D42" s="2">
        <f>SUMIFS('Streaming Data (2024-2026)'!$H:$H,'Streaming Data (2024-2026)'!$D:$D,$C42,'Streaming Data (2024-2026)'!$E:$E,D$28)</f>
        <v>55336394</v>
      </c>
      <c r="E42" s="2">
        <f>SUMIFS('Streaming Data (2024-2026)'!$H:$H,'Streaming Data (2024-2026)'!$D:$D,$C42,'Streaming Data (2024-2026)'!$E:$E,E$28)</f>
        <v>71159654</v>
      </c>
      <c r="F42" s="2">
        <f>SUMIFS('Streaming Data (2024-2026)'!$H:$H,'Streaming Data (2024-2026)'!$D:$D,$C42,'Streaming Data (2024-2026)'!$E:$E,F$28)</f>
        <v>91612788</v>
      </c>
      <c r="H42" s="27">
        <f t="shared" si="3"/>
        <v>0.28594671347757139</v>
      </c>
      <c r="I42" s="28">
        <f t="shared" si="4"/>
        <v>0.28742599001394809</v>
      </c>
      <c r="J42" s="29">
        <f t="shared" si="5"/>
        <v>0.6555612207040451</v>
      </c>
    </row>
    <row r="43" spans="3:10" x14ac:dyDescent="0.2">
      <c r="C43" t="s">
        <v>32</v>
      </c>
      <c r="D43" s="2">
        <f>SUMIFS('Streaming Data (2024-2026)'!$H:$H,'Streaming Data (2024-2026)'!$D:$D,$C43,'Streaming Data (2024-2026)'!$E:$E,D$28)</f>
        <v>656914065</v>
      </c>
      <c r="E43" s="2">
        <f>SUMIFS('Streaming Data (2024-2026)'!$H:$H,'Streaming Data (2024-2026)'!$D:$D,$C43,'Streaming Data (2024-2026)'!$E:$E,E$28)</f>
        <v>1015338775</v>
      </c>
      <c r="F43" s="2">
        <f>SUMIFS('Streaming Data (2024-2026)'!$H:$H,'Streaming Data (2024-2026)'!$D:$D,$C43,'Streaming Data (2024-2026)'!$E:$E,F$28)</f>
        <v>1462975291</v>
      </c>
      <c r="H43" s="27">
        <f t="shared" si="3"/>
        <v>0.54561887025512235</v>
      </c>
      <c r="I43" s="28">
        <f t="shared" si="4"/>
        <v>0.4408740481717543</v>
      </c>
      <c r="J43" s="29">
        <f t="shared" si="5"/>
        <v>1.2270421185151517</v>
      </c>
    </row>
    <row r="44" spans="3:10" x14ac:dyDescent="0.2">
      <c r="C44" t="s">
        <v>41</v>
      </c>
      <c r="D44" s="2">
        <f>SUMIFS('Streaming Data (2024-2026)'!$H:$H,'Streaming Data (2024-2026)'!$D:$D,$C44,'Streaming Data (2024-2026)'!$E:$E,D$28)</f>
        <v>205305662</v>
      </c>
      <c r="E44" s="2">
        <f>SUMIFS('Streaming Data (2024-2026)'!$H:$H,'Streaming Data (2024-2026)'!$D:$D,$C44,'Streaming Data (2024-2026)'!$E:$E,E$28)</f>
        <v>350590849</v>
      </c>
      <c r="F44" s="2">
        <f>SUMIFS('Streaming Data (2024-2026)'!$H:$H,'Streaming Data (2024-2026)'!$D:$D,$C44,'Streaming Data (2024-2026)'!$E:$E,F$28)</f>
        <v>465681178</v>
      </c>
      <c r="H44" s="27">
        <f t="shared" si="3"/>
        <v>0.70765309434086621</v>
      </c>
      <c r="I44" s="28">
        <f t="shared" si="4"/>
        <v>0.32827533670167186</v>
      </c>
      <c r="J44" s="29">
        <f t="shared" si="5"/>
        <v>1.268233488855266</v>
      </c>
    </row>
    <row r="45" spans="3:10" x14ac:dyDescent="0.2">
      <c r="C45" t="s">
        <v>81</v>
      </c>
      <c r="D45" s="2">
        <f>SUMIFS('Streaming Data (2024-2026)'!$H:$H,'Streaming Data (2024-2026)'!$D:$D,$C45,'Streaming Data (2024-2026)'!$E:$E,D$28)</f>
        <v>45159998</v>
      </c>
      <c r="E45" s="2">
        <f>SUMIFS('Streaming Data (2024-2026)'!$H:$H,'Streaming Data (2024-2026)'!$D:$D,$C45,'Streaming Data (2024-2026)'!$E:$E,E$28)</f>
        <v>92844300</v>
      </c>
      <c r="F45" s="2">
        <f>SUMIFS('Streaming Data (2024-2026)'!$H:$H,'Streaming Data (2024-2026)'!$D:$D,$C45,'Streaming Data (2024-2026)'!$E:$E,F$28)</f>
        <v>139287478</v>
      </c>
      <c r="H45" s="27">
        <f t="shared" si="3"/>
        <v>1.0558969023869311</v>
      </c>
      <c r="I45" s="28">
        <f t="shared" si="4"/>
        <v>0.50022648670946956</v>
      </c>
      <c r="J45" s="29">
        <f t="shared" si="5"/>
        <v>2.0843109869048266</v>
      </c>
    </row>
    <row r="46" spans="3:10" x14ac:dyDescent="0.2">
      <c r="C46" t="s">
        <v>60</v>
      </c>
      <c r="D46" s="2">
        <f>SUMIFS('Streaming Data (2024-2026)'!$H:$H,'Streaming Data (2024-2026)'!$D:$D,$C46,'Streaming Data (2024-2026)'!$E:$E,D$28)</f>
        <v>183685668</v>
      </c>
      <c r="E46" s="2">
        <f>SUMIFS('Streaming Data (2024-2026)'!$H:$H,'Streaming Data (2024-2026)'!$D:$D,$C46,'Streaming Data (2024-2026)'!$E:$E,E$28)</f>
        <v>315127094</v>
      </c>
      <c r="F46" s="2">
        <f>SUMIFS('Streaming Data (2024-2026)'!$H:$H,'Streaming Data (2024-2026)'!$D:$D,$C46,'Streaming Data (2024-2026)'!$E:$E,F$28)</f>
        <v>419724273</v>
      </c>
      <c r="H46" s="27">
        <f t="shared" si="3"/>
        <v>0.71557801668010379</v>
      </c>
      <c r="I46" s="28">
        <f t="shared" si="4"/>
        <v>0.33192061549617186</v>
      </c>
      <c r="J46" s="29">
        <f t="shared" si="5"/>
        <v>1.2850137279082656</v>
      </c>
    </row>
    <row r="47" spans="3:10" x14ac:dyDescent="0.2">
      <c r="C47" t="s">
        <v>542</v>
      </c>
      <c r="D47" s="2">
        <f>SUMIFS('Streaming Data (2024-2026)'!$H:$H,'Streaming Data (2024-2026)'!$D:$D,$C47,'Streaming Data (2024-2026)'!$E:$E,D$28)</f>
        <v>125403600</v>
      </c>
      <c r="E47" s="2">
        <f>SUMIFS('Streaming Data (2024-2026)'!$H:$H,'Streaming Data (2024-2026)'!$D:$D,$C47,'Streaming Data (2024-2026)'!$E:$E,E$28)</f>
        <v>172745907</v>
      </c>
      <c r="F47" s="2">
        <f>SUMIFS('Streaming Data (2024-2026)'!$H:$H,'Streaming Data (2024-2026)'!$D:$D,$C47,'Streaming Data (2024-2026)'!$E:$E,F$28)</f>
        <v>223532613</v>
      </c>
      <c r="H47" s="27">
        <f t="shared" si="3"/>
        <v>0.37751952097068986</v>
      </c>
      <c r="I47" s="28">
        <f t="shared" si="4"/>
        <v>0.29399658076992818</v>
      </c>
      <c r="J47" s="29">
        <f t="shared" si="5"/>
        <v>0.78250555007990197</v>
      </c>
    </row>
    <row r="48" spans="3:10" x14ac:dyDescent="0.2">
      <c r="C48" t="s">
        <v>61</v>
      </c>
      <c r="D48" s="2">
        <f>SUMIFS('Streaming Data (2024-2026)'!$H:$H,'Streaming Data (2024-2026)'!$D:$D,$C48,'Streaming Data (2024-2026)'!$E:$E,D$28)</f>
        <v>130360472</v>
      </c>
      <c r="E48" s="2">
        <f>SUMIFS('Streaming Data (2024-2026)'!$H:$H,'Streaming Data (2024-2026)'!$D:$D,$C48,'Streaming Data (2024-2026)'!$E:$E,E$28)</f>
        <v>166818380</v>
      </c>
      <c r="F48" s="2">
        <f>SUMIFS('Streaming Data (2024-2026)'!$H:$H,'Streaming Data (2024-2026)'!$D:$D,$C48,'Streaming Data (2024-2026)'!$E:$E,F$28)</f>
        <v>209221098</v>
      </c>
      <c r="H48" s="27">
        <f t="shared" si="3"/>
        <v>0.27966996007808259</v>
      </c>
      <c r="I48" s="28">
        <f t="shared" si="4"/>
        <v>0.25418492854324565</v>
      </c>
      <c r="J48" s="29">
        <f t="shared" si="5"/>
        <v>0.604942777439468</v>
      </c>
    </row>
    <row r="49" spans="3:10" x14ac:dyDescent="0.2">
      <c r="H49" s="30"/>
      <c r="I49" s="31"/>
      <c r="J49" s="32"/>
    </row>
    <row r="51" spans="3:10" x14ac:dyDescent="0.2">
      <c r="C51" s="16" t="s">
        <v>533</v>
      </c>
      <c r="D51" s="17"/>
      <c r="E51" s="17"/>
      <c r="F51" s="18"/>
      <c r="H51" s="19" t="s">
        <v>538</v>
      </c>
      <c r="I51" s="20"/>
      <c r="J51" s="21"/>
    </row>
    <row r="52" spans="3:10" x14ac:dyDescent="0.2">
      <c r="C52" s="1" t="s">
        <v>480</v>
      </c>
      <c r="D52" s="39" t="d">
        <v>2024-07-01</v>
      </c>
      <c r="E52" s="39" t="d">
        <v>2025-07-01</v>
      </c>
      <c r="F52" s="39" t="d">
        <v>2026-07-01</v>
      </c>
      <c r="H52" s="38" t="s">
        <v>543</v>
      </c>
      <c r="I52" s="37" t="s">
        <v>544</v>
      </c>
      <c r="J52" s="36" t="s">
        <v>545</v>
      </c>
    </row>
    <row r="53" spans="3:10" x14ac:dyDescent="0.2">
      <c r="C53" t="s">
        <v>287</v>
      </c>
      <c r="D53" s="2">
        <f>SUMIFS('Streaming Data (2024-2026)'!$J:$J,'Streaming Data (2024-2026)'!$D:$D,$C53,'Streaming Data (2024-2026)'!$E:$E,D$52)</f>
        <v>0</v>
      </c>
      <c r="E53" s="2">
        <f>SUMIFS('Streaming Data (2024-2026)'!$J:$J,'Streaming Data (2024-2026)'!$D:$D,$C53,'Streaming Data (2024-2026)'!$E:$E,E$52)</f>
        <v>1337841</v>
      </c>
      <c r="F53" s="2">
        <f>SUMIFS('Streaming Data (2024-2026)'!$J:$J,'Streaming Data (2024-2026)'!$D:$D,$C53,'Streaming Data (2024-2026)'!$E:$E,F$52)</f>
        <v>1514687</v>
      </c>
      <c r="H53" s="27">
        <f t="shared" ref="H53:H72" si="6">IFERROR((E53-D53)/D53,0)</f>
        <v>0</v>
      </c>
      <c r="I53" s="28">
        <f t="shared" ref="I53:I72" si="7">IFERROR((F53-E53)/E53,0)</f>
        <v>0.13218760674848506</v>
      </c>
      <c r="J53" s="29">
        <f t="shared" ref="J53:J72" si="8">IFERROR((F53-D53)/D53,0)</f>
        <v>0</v>
      </c>
    </row>
    <row r="54" spans="3:10" x14ac:dyDescent="0.2">
      <c r="C54" t="s">
        <v>26</v>
      </c>
      <c r="D54" s="2">
        <f>SUMIFS('Streaming Data (2024-2026)'!$J:$J,'Streaming Data (2024-2026)'!$D:$D,$C54,'Streaming Data (2024-2026)'!$E:$E,D$52)</f>
        <v>2333784</v>
      </c>
      <c r="E54" s="2">
        <f>SUMIFS('Streaming Data (2024-2026)'!$J:$J,'Streaming Data (2024-2026)'!$D:$D,$C54,'Streaming Data (2024-2026)'!$E:$E,E$52)</f>
        <v>2812208</v>
      </c>
      <c r="F54" s="2">
        <f>SUMIFS('Streaming Data (2024-2026)'!$J:$J,'Streaming Data (2024-2026)'!$D:$D,$C54,'Streaming Data (2024-2026)'!$E:$E,F$52)</f>
        <v>3831583</v>
      </c>
      <c r="H54" s="27">
        <f t="shared" si="6"/>
        <v>0.20499926299948923</v>
      </c>
      <c r="I54" s="28">
        <f t="shared" si="7"/>
        <v>0.3624820781393126</v>
      </c>
      <c r="J54" s="29">
        <f t="shared" si="8"/>
        <v>0.64178990000788416</v>
      </c>
    </row>
    <row r="55" spans="3:10" x14ac:dyDescent="0.2">
      <c r="C55" t="s">
        <v>56</v>
      </c>
      <c r="D55" s="2">
        <f>SUMIFS('Streaming Data (2024-2026)'!$J:$J,'Streaming Data (2024-2026)'!$D:$D,$C55,'Streaming Data (2024-2026)'!$E:$E,D$52)</f>
        <v>1538333</v>
      </c>
      <c r="E55" s="2">
        <f>SUMIFS('Streaming Data (2024-2026)'!$J:$J,'Streaming Data (2024-2026)'!$D:$D,$C55,'Streaming Data (2024-2026)'!$E:$E,E$52)</f>
        <v>1984837</v>
      </c>
      <c r="F55" s="2">
        <f>SUMIFS('Streaming Data (2024-2026)'!$J:$J,'Streaming Data (2024-2026)'!$D:$D,$C55,'Streaming Data (2024-2026)'!$E:$E,F$52)</f>
        <v>1540449</v>
      </c>
      <c r="H55" s="27">
        <f t="shared" si="6"/>
        <v>0.29025185054211278</v>
      </c>
      <c r="I55" s="28">
        <f t="shared" si="7"/>
        <v>-0.22389143289852012</v>
      </c>
      <c r="J55" s="29">
        <f t="shared" si="8"/>
        <v>1.3755149242719229E-3</v>
      </c>
    </row>
    <row r="56" spans="3:10" x14ac:dyDescent="0.2">
      <c r="C56" s="40" t="s">
        <v>134</v>
      </c>
      <c r="D56" s="41">
        <f>SUMIFS('Streaming Data (2024-2026)'!$J:$J,'Streaming Data (2024-2026)'!$D:$D,$C56,'Streaming Data (2024-2026)'!$E:$E,D$52)</f>
        <v>4603</v>
      </c>
      <c r="E56" s="41">
        <f>SUMIFS('Streaming Data (2024-2026)'!$J:$J,'Streaming Data (2024-2026)'!$D:$D,$C56,'Streaming Data (2024-2026)'!$E:$E,E$52)</f>
        <v>417971</v>
      </c>
      <c r="F56" s="41">
        <f>SUMIFS('Streaming Data (2024-2026)'!$J:$J,'Streaming Data (2024-2026)'!$D:$D,$C56,'Streaming Data (2024-2026)'!$E:$E,F$52)</f>
        <v>2064828</v>
      </c>
      <c r="H56" s="27">
        <f t="shared" si="6"/>
        <v>89.804040842928529</v>
      </c>
      <c r="I56" s="28">
        <f t="shared" si="7"/>
        <v>3.9401226400874703</v>
      </c>
      <c r="J56" s="29">
        <f t="shared" si="8"/>
        <v>447.58309797957855</v>
      </c>
    </row>
    <row r="57" spans="3:10" x14ac:dyDescent="0.2">
      <c r="C57" t="s">
        <v>125</v>
      </c>
      <c r="D57" s="2">
        <f>SUMIFS('Streaming Data (2024-2026)'!$J:$J,'Streaming Data (2024-2026)'!$D:$D,$C57,'Streaming Data (2024-2026)'!$E:$E,D$52)</f>
        <v>579997</v>
      </c>
      <c r="E57" s="2">
        <f>SUMIFS('Streaming Data (2024-2026)'!$J:$J,'Streaming Data (2024-2026)'!$D:$D,$C57,'Streaming Data (2024-2026)'!$E:$E,E$52)</f>
        <v>429697</v>
      </c>
      <c r="F57" s="2">
        <f>SUMIFS('Streaming Data (2024-2026)'!$J:$J,'Streaming Data (2024-2026)'!$D:$D,$C57,'Streaming Data (2024-2026)'!$E:$E,F$52)</f>
        <v>785092</v>
      </c>
      <c r="H57" s="27">
        <f t="shared" si="6"/>
        <v>-0.25913927141002452</v>
      </c>
      <c r="I57" s="28">
        <f t="shared" si="7"/>
        <v>0.82708280486016894</v>
      </c>
      <c r="J57" s="29">
        <f t="shared" si="8"/>
        <v>0.3536138980029207</v>
      </c>
    </row>
    <row r="58" spans="3:10" x14ac:dyDescent="0.2">
      <c r="C58" t="s">
        <v>540</v>
      </c>
      <c r="D58" s="2">
        <f>SUMIFS('Streaming Data (2024-2026)'!$J:$J,'Streaming Data (2024-2026)'!$D:$D,$C58,'Streaming Data (2024-2026)'!$E:$E,D$52)</f>
        <v>821376</v>
      </c>
      <c r="E58" s="2">
        <f>SUMIFS('Streaming Data (2024-2026)'!$J:$J,'Streaming Data (2024-2026)'!$D:$D,$C58,'Streaming Data (2024-2026)'!$E:$E,E$52)</f>
        <v>630167</v>
      </c>
      <c r="F58" s="2">
        <f>SUMIFS('Streaming Data (2024-2026)'!$J:$J,'Streaming Data (2024-2026)'!$D:$D,$C58,'Streaming Data (2024-2026)'!$E:$E,F$52)</f>
        <v>2007099</v>
      </c>
      <c r="H58" s="27">
        <f t="shared" si="6"/>
        <v>-0.23279107254168616</v>
      </c>
      <c r="I58" s="28">
        <f t="shared" si="7"/>
        <v>2.1850271435984427</v>
      </c>
      <c r="J58" s="29">
        <f t="shared" si="8"/>
        <v>1.4435812587657784</v>
      </c>
    </row>
    <row r="59" spans="3:10" x14ac:dyDescent="0.2">
      <c r="C59" t="s">
        <v>479</v>
      </c>
      <c r="D59" s="2">
        <f>SUMIFS('Streaming Data (2024-2026)'!$J:$J,'Streaming Data (2024-2026)'!$D:$D,$C59,'Streaming Data (2024-2026)'!$E:$E,D$52)</f>
        <v>1192163</v>
      </c>
      <c r="E59" s="2">
        <f>SUMIFS('Streaming Data (2024-2026)'!$J:$J,'Streaming Data (2024-2026)'!$D:$D,$C59,'Streaming Data (2024-2026)'!$E:$E,E$52)</f>
        <v>1720523</v>
      </c>
      <c r="F59" s="2">
        <f>SUMIFS('Streaming Data (2024-2026)'!$J:$J,'Streaming Data (2024-2026)'!$D:$D,$C59,'Streaming Data (2024-2026)'!$E:$E,F$52)</f>
        <v>1602704</v>
      </c>
      <c r="H59" s="27">
        <f t="shared" si="6"/>
        <v>0.44319442894973254</v>
      </c>
      <c r="I59" s="28">
        <f t="shared" si="7"/>
        <v>-6.8478596333789207E-2</v>
      </c>
      <c r="J59" s="29">
        <f t="shared" si="8"/>
        <v>0.3443665002185104</v>
      </c>
    </row>
    <row r="60" spans="3:10" x14ac:dyDescent="0.2">
      <c r="C60" t="s">
        <v>60</v>
      </c>
      <c r="D60" s="2">
        <f>SUMIFS('Streaming Data (2024-2026)'!$J:$J,'Streaming Data (2024-2026)'!$D:$D,$C60,'Streaming Data (2024-2026)'!$E:$E,D$52)</f>
        <v>2358889</v>
      </c>
      <c r="E60" s="2">
        <f>SUMIFS('Streaming Data (2024-2026)'!$J:$J,'Streaming Data (2024-2026)'!$D:$D,$C60,'Streaming Data (2024-2026)'!$E:$E,E$52)</f>
        <v>2271437</v>
      </c>
      <c r="F60" s="2">
        <f>SUMIFS('Streaming Data (2024-2026)'!$J:$J,'Streaming Data (2024-2026)'!$D:$D,$C60,'Streaming Data (2024-2026)'!$E:$E,F$52)</f>
        <v>2278505</v>
      </c>
      <c r="H60" s="27">
        <f t="shared" si="6"/>
        <v>-3.70733849706366E-2</v>
      </c>
      <c r="I60" s="28">
        <f t="shared" si="7"/>
        <v>3.1116865666976456E-3</v>
      </c>
      <c r="J60" s="29">
        <f t="shared" si="8"/>
        <v>-3.4077059157934096E-2</v>
      </c>
    </row>
    <row r="61" spans="3:10" x14ac:dyDescent="0.2">
      <c r="C61" t="s">
        <v>30</v>
      </c>
      <c r="D61" s="2">
        <f>SUMIFS('Streaming Data (2024-2026)'!$J:$J,'Streaming Data (2024-2026)'!$D:$D,$C61,'Streaming Data (2024-2026)'!$E:$E,D$52)</f>
        <v>1346568</v>
      </c>
      <c r="E61" s="2">
        <f>SUMIFS('Streaming Data (2024-2026)'!$J:$J,'Streaming Data (2024-2026)'!$D:$D,$C61,'Streaming Data (2024-2026)'!$E:$E,E$52)</f>
        <v>1907448</v>
      </c>
      <c r="F61" s="2">
        <f>SUMIFS('Streaming Data (2024-2026)'!$J:$J,'Streaming Data (2024-2026)'!$D:$D,$C61,'Streaming Data (2024-2026)'!$E:$E,F$52)</f>
        <v>1671453</v>
      </c>
      <c r="H61" s="27">
        <f t="shared" si="6"/>
        <v>0.41652556721977652</v>
      </c>
      <c r="I61" s="28">
        <f t="shared" si="7"/>
        <v>-0.12372290096505907</v>
      </c>
      <c r="J61" s="29">
        <f t="shared" si="8"/>
        <v>0.24126891475216997</v>
      </c>
    </row>
    <row r="62" spans="3:10" x14ac:dyDescent="0.2">
      <c r="C62" t="s">
        <v>58</v>
      </c>
      <c r="D62" s="2">
        <f>SUMIFS('Streaming Data (2024-2026)'!$J:$J,'Streaming Data (2024-2026)'!$D:$D,$C62,'Streaming Data (2024-2026)'!$E:$E,D$52)</f>
        <v>1055926</v>
      </c>
      <c r="E62" s="2">
        <f>SUMIFS('Streaming Data (2024-2026)'!$J:$J,'Streaming Data (2024-2026)'!$D:$D,$C62,'Streaming Data (2024-2026)'!$E:$E,E$52)</f>
        <v>947220</v>
      </c>
      <c r="F62" s="2">
        <f>SUMIFS('Streaming Data (2024-2026)'!$J:$J,'Streaming Data (2024-2026)'!$D:$D,$C62,'Streaming Data (2024-2026)'!$E:$E,F$52)</f>
        <v>2454330</v>
      </c>
      <c r="H62" s="27">
        <f t="shared" si="6"/>
        <v>-0.10294850207306194</v>
      </c>
      <c r="I62" s="28">
        <f t="shared" si="7"/>
        <v>1.5910876037245836</v>
      </c>
      <c r="J62" s="29">
        <f t="shared" si="8"/>
        <v>1.3243390161810582</v>
      </c>
    </row>
    <row r="63" spans="3:10" x14ac:dyDescent="0.2">
      <c r="C63" t="s">
        <v>61</v>
      </c>
      <c r="D63" s="2">
        <f>SUMIFS('Streaming Data (2024-2026)'!$J:$J,'Streaming Data (2024-2026)'!$D:$D,$C63,'Streaming Data (2024-2026)'!$E:$E,D$52)</f>
        <v>780740</v>
      </c>
      <c r="E63" s="2">
        <f>SUMIFS('Streaming Data (2024-2026)'!$J:$J,'Streaming Data (2024-2026)'!$D:$D,$C63,'Streaming Data (2024-2026)'!$E:$E,E$52)</f>
        <v>767059</v>
      </c>
      <c r="F63" s="2">
        <f>SUMIFS('Streaming Data (2024-2026)'!$J:$J,'Streaming Data (2024-2026)'!$D:$D,$C63,'Streaming Data (2024-2026)'!$E:$E,F$52)</f>
        <v>565021</v>
      </c>
      <c r="H63" s="27">
        <f t="shared" si="6"/>
        <v>-1.7523119092143352E-2</v>
      </c>
      <c r="I63" s="28">
        <f t="shared" si="7"/>
        <v>-0.26339303756295146</v>
      </c>
      <c r="J63" s="29">
        <f t="shared" si="8"/>
        <v>-0.27630068908983785</v>
      </c>
    </row>
    <row r="64" spans="3:10" x14ac:dyDescent="0.2">
      <c r="C64" t="s">
        <v>41</v>
      </c>
      <c r="D64" s="2">
        <f>SUMIFS('Streaming Data (2024-2026)'!$J:$J,'Streaming Data (2024-2026)'!$D:$D,$C64,'Streaming Data (2024-2026)'!$E:$E,D$52)</f>
        <v>1223611</v>
      </c>
      <c r="E64" s="2">
        <f>SUMIFS('Streaming Data (2024-2026)'!$J:$J,'Streaming Data (2024-2026)'!$D:$D,$C64,'Streaming Data (2024-2026)'!$E:$E,E$52)</f>
        <v>1447544</v>
      </c>
      <c r="F64" s="2">
        <f>SUMIFS('Streaming Data (2024-2026)'!$J:$J,'Streaming Data (2024-2026)'!$D:$D,$C64,'Streaming Data (2024-2026)'!$E:$E,F$52)</f>
        <v>1470211</v>
      </c>
      <c r="H64" s="27">
        <f t="shared" si="6"/>
        <v>0.18300995986469556</v>
      </c>
      <c r="I64" s="28">
        <f t="shared" si="7"/>
        <v>1.5658936792249493E-2</v>
      </c>
      <c r="J64" s="29">
        <f t="shared" si="8"/>
        <v>0.20153463805081845</v>
      </c>
    </row>
    <row r="65" spans="3:10" x14ac:dyDescent="0.2">
      <c r="C65" t="s">
        <v>81</v>
      </c>
      <c r="D65" s="2">
        <f>SUMIFS('Streaming Data (2024-2026)'!$J:$J,'Streaming Data (2024-2026)'!$D:$D,$C65,'Streaming Data (2024-2026)'!$E:$E,D$52)</f>
        <v>263704</v>
      </c>
      <c r="E65" s="2">
        <f>SUMIFS('Streaming Data (2024-2026)'!$J:$J,'Streaming Data (2024-2026)'!$D:$D,$C65,'Streaming Data (2024-2026)'!$E:$E,E$52)</f>
        <v>897037</v>
      </c>
      <c r="F65" s="2">
        <f>SUMIFS('Streaming Data (2024-2026)'!$J:$J,'Streaming Data (2024-2026)'!$D:$D,$C65,'Streaming Data (2024-2026)'!$E:$E,F$52)</f>
        <v>782871</v>
      </c>
      <c r="H65" s="27">
        <f t="shared" si="6"/>
        <v>2.4016814306950218</v>
      </c>
      <c r="I65" s="28">
        <f t="shared" si="7"/>
        <v>-0.12727011260405088</v>
      </c>
      <c r="J65" s="29">
        <f t="shared" si="8"/>
        <v>1.9687490519673574</v>
      </c>
    </row>
    <row r="66" spans="3:10" x14ac:dyDescent="0.2">
      <c r="C66" t="s">
        <v>478</v>
      </c>
      <c r="D66" s="2">
        <f>SUMIFS('Streaming Data (2024-2026)'!$J:$J,'Streaming Data (2024-2026)'!$D:$D,$C66,'Streaming Data (2024-2026)'!$E:$E,D$52)</f>
        <v>429339</v>
      </c>
      <c r="E66" s="2">
        <f>SUMIFS('Streaming Data (2024-2026)'!$J:$J,'Streaming Data (2024-2026)'!$D:$D,$C66,'Streaming Data (2024-2026)'!$E:$E,E$52)</f>
        <v>2053068</v>
      </c>
      <c r="F66" s="2">
        <f>SUMIFS('Streaming Data (2024-2026)'!$J:$J,'Streaming Data (2024-2026)'!$D:$D,$C66,'Streaming Data (2024-2026)'!$E:$E,F$52)</f>
        <v>2281763</v>
      </c>
      <c r="H66" s="27">
        <f t="shared" si="6"/>
        <v>3.7819275677262025</v>
      </c>
      <c r="I66" s="28">
        <f t="shared" si="7"/>
        <v>0.11139182920390363</v>
      </c>
      <c r="J66" s="29">
        <f t="shared" si="8"/>
        <v>4.3145952266157979</v>
      </c>
    </row>
    <row r="67" spans="3:10" x14ac:dyDescent="0.2">
      <c r="C67" t="s">
        <v>32</v>
      </c>
      <c r="D67" s="2">
        <f>SUMIFS('Streaming Data (2024-2026)'!$J:$J,'Streaming Data (2024-2026)'!$D:$D,$C67,'Streaming Data (2024-2026)'!$E:$E,D$52)</f>
        <v>2624458</v>
      </c>
      <c r="E67" s="2">
        <f>SUMIFS('Streaming Data (2024-2026)'!$J:$J,'Streaming Data (2024-2026)'!$D:$D,$C67,'Streaming Data (2024-2026)'!$E:$E,E$52)</f>
        <v>3515461</v>
      </c>
      <c r="F67" s="2">
        <f>SUMIFS('Streaming Data (2024-2026)'!$J:$J,'Streaming Data (2024-2026)'!$D:$D,$C67,'Streaming Data (2024-2026)'!$E:$E,F$52)</f>
        <v>4697892</v>
      </c>
      <c r="H67" s="27">
        <f t="shared" si="6"/>
        <v>0.33949981291375209</v>
      </c>
      <c r="I67" s="28">
        <f t="shared" si="7"/>
        <v>0.33635161931820606</v>
      </c>
      <c r="J67" s="29">
        <f t="shared" si="8"/>
        <v>0.79004274406372665</v>
      </c>
    </row>
    <row r="68" spans="3:10" x14ac:dyDescent="0.2">
      <c r="C68" t="s">
        <v>65</v>
      </c>
      <c r="D68" s="2">
        <f>SUMIFS('Streaming Data (2024-2026)'!$J:$J,'Streaming Data (2024-2026)'!$D:$D,$C68,'Streaming Data (2024-2026)'!$E:$E,D$52)</f>
        <v>765067</v>
      </c>
      <c r="E68" s="2">
        <f>SUMIFS('Streaming Data (2024-2026)'!$J:$J,'Streaming Data (2024-2026)'!$D:$D,$C68,'Streaming Data (2024-2026)'!$E:$E,E$52)</f>
        <v>791594</v>
      </c>
      <c r="F68" s="2">
        <f>SUMIFS('Streaming Data (2024-2026)'!$J:$J,'Streaming Data (2024-2026)'!$D:$D,$C68,'Streaming Data (2024-2026)'!$E:$E,F$52)</f>
        <v>1689667</v>
      </c>
      <c r="H68" s="27">
        <f t="shared" si="6"/>
        <v>3.4672780292444978E-2</v>
      </c>
      <c r="I68" s="28">
        <f t="shared" si="7"/>
        <v>1.1345121362718766</v>
      </c>
      <c r="J68" s="29">
        <f t="shared" si="8"/>
        <v>1.2085216066043889</v>
      </c>
    </row>
    <row r="69" spans="3:10" x14ac:dyDescent="0.2">
      <c r="C69" t="s">
        <v>45</v>
      </c>
      <c r="D69" s="2">
        <f>SUMIFS('Streaming Data (2024-2026)'!$J:$J,'Streaming Data (2024-2026)'!$D:$D,$C69,'Streaming Data (2024-2026)'!$E:$E,D$52)</f>
        <v>11593</v>
      </c>
      <c r="E69" s="2">
        <f>SUMIFS('Streaming Data (2024-2026)'!$J:$J,'Streaming Data (2024-2026)'!$D:$D,$C69,'Streaming Data (2024-2026)'!$E:$E,E$52)</f>
        <v>1561214</v>
      </c>
      <c r="F69" s="2">
        <f>SUMIFS('Streaming Data (2024-2026)'!$J:$J,'Streaming Data (2024-2026)'!$D:$D,$C69,'Streaming Data (2024-2026)'!$E:$E,F$52)</f>
        <v>2828057</v>
      </c>
      <c r="H69" s="27">
        <f t="shared" si="6"/>
        <v>133.6686793754852</v>
      </c>
      <c r="I69" s="28">
        <f t="shared" si="7"/>
        <v>0.81144737364640596</v>
      </c>
      <c r="J69" s="29">
        <f t="shared" si="8"/>
        <v>242.94522556715259</v>
      </c>
    </row>
    <row r="70" spans="3:10" x14ac:dyDescent="0.2">
      <c r="C70" t="s">
        <v>49</v>
      </c>
      <c r="D70" s="2">
        <f>SUMIFS('Streaming Data (2024-2026)'!$J:$J,'Streaming Data (2024-2026)'!$D:$D,$C70,'Streaming Data (2024-2026)'!$E:$E,D$52)</f>
        <v>960479</v>
      </c>
      <c r="E70" s="2">
        <f>SUMIFS('Streaming Data (2024-2026)'!$J:$J,'Streaming Data (2024-2026)'!$D:$D,$C70,'Streaming Data (2024-2026)'!$E:$E,E$52)</f>
        <v>2192202</v>
      </c>
      <c r="F70" s="2">
        <f>SUMIFS('Streaming Data (2024-2026)'!$J:$J,'Streaming Data (2024-2026)'!$D:$D,$C70,'Streaming Data (2024-2026)'!$E:$E,F$52)</f>
        <v>2014789</v>
      </c>
      <c r="H70" s="27">
        <f t="shared" si="6"/>
        <v>1.2824049250426091</v>
      </c>
      <c r="I70" s="28">
        <f t="shared" si="7"/>
        <v>-8.0929129706112851E-2</v>
      </c>
      <c r="J70" s="29">
        <f t="shared" si="8"/>
        <v>1.0976918808219649</v>
      </c>
    </row>
    <row r="71" spans="3:10" x14ac:dyDescent="0.2">
      <c r="C71" t="s">
        <v>542</v>
      </c>
      <c r="D71" s="2">
        <f>SUMIFS('Streaming Data (2024-2026)'!$J:$J,'Streaming Data (2024-2026)'!$D:$D,$C71,'Streaming Data (2024-2026)'!$E:$E,D$52)</f>
        <v>657143</v>
      </c>
      <c r="E71" s="2">
        <f>SUMIFS('Streaming Data (2024-2026)'!$J:$J,'Streaming Data (2024-2026)'!$D:$D,$C71,'Streaming Data (2024-2026)'!$E:$E,E$52)</f>
        <v>832706</v>
      </c>
      <c r="F71" s="2">
        <f>SUMIFS('Streaming Data (2024-2026)'!$J:$J,'Streaming Data (2024-2026)'!$D:$D,$C71,'Streaming Data (2024-2026)'!$E:$E,F$52)</f>
        <v>806533</v>
      </c>
      <c r="H71" s="27">
        <f t="shared" si="6"/>
        <v>0.26716102887803722</v>
      </c>
      <c r="I71" s="28">
        <f t="shared" si="7"/>
        <v>-3.1431261453622288E-2</v>
      </c>
      <c r="J71" s="29">
        <f t="shared" si="8"/>
        <v>0.22733255927553059</v>
      </c>
    </row>
    <row r="72" spans="3:10" x14ac:dyDescent="0.2">
      <c r="C72" t="s">
        <v>91</v>
      </c>
      <c r="D72" s="2">
        <f>SUMIFS('Streaming Data (2024-2026)'!$J:$J,'Streaming Data (2024-2026)'!$D:$D,$C72,'Streaming Data (2024-2026)'!$E:$E,D$52)</f>
        <v>488397</v>
      </c>
      <c r="E72" s="2">
        <f>SUMIFS('Streaming Data (2024-2026)'!$J:$J,'Streaming Data (2024-2026)'!$D:$D,$C72,'Streaming Data (2024-2026)'!$E:$E,E$52)</f>
        <v>279494</v>
      </c>
      <c r="F72" s="2">
        <f>SUMIFS('Streaming Data (2024-2026)'!$J:$J,'Streaming Data (2024-2026)'!$D:$D,$C72,'Streaming Data (2024-2026)'!$E:$E,F$52)</f>
        <v>1000659</v>
      </c>
      <c r="H72" s="27">
        <f t="shared" si="6"/>
        <v>-0.42773194757543553</v>
      </c>
      <c r="I72" s="28">
        <f t="shared" si="7"/>
        <v>2.580252169992916</v>
      </c>
      <c r="J72" s="29">
        <f t="shared" si="8"/>
        <v>1.0488639365106665</v>
      </c>
    </row>
    <row r="73" spans="3:10" x14ac:dyDescent="0.2">
      <c r="H73" s="30"/>
      <c r="I73" s="31"/>
      <c r="J73" s="32"/>
    </row>
    <row r="75" spans="3:10" x14ac:dyDescent="0.2">
      <c r="C75" s="13" t="s">
        <v>539</v>
      </c>
      <c r="D75" s="14"/>
      <c r="E75" s="14"/>
      <c r="F75" s="15"/>
      <c r="H75" s="22" t="s">
        <v>538</v>
      </c>
      <c r="I75" s="23"/>
      <c r="J75" s="24"/>
    </row>
    <row r="76" spans="3:10" x14ac:dyDescent="0.2">
      <c r="C76" s="1" t="s">
        <v>546</v>
      </c>
      <c r="D76" s="39" t="d">
        <v>2024-07-01</v>
      </c>
      <c r="E76" s="39" t="d">
        <v>2025-07-01</v>
      </c>
      <c r="F76" s="39" t="d">
        <v>2026-07-01</v>
      </c>
      <c r="H76" s="38" t="s">
        <v>543</v>
      </c>
      <c r="I76" s="37" t="s">
        <v>544</v>
      </c>
      <c r="J76" s="36" t="s">
        <v>545</v>
      </c>
    </row>
    <row r="77" spans="3:10" x14ac:dyDescent="0.2">
      <c r="C77" t="s">
        <v>534</v>
      </c>
      <c r="D77" s="2">
        <f>SUMIFS('Streaming Data (2024-2026)'!$F:$F,'Streaming Data (2024-2026)'!$E:$E,D$76)</f>
        <v>15977964</v>
      </c>
      <c r="E77" s="2">
        <f>SUMIFS('Streaming Data (2024-2026)'!$F:$F,'Streaming Data (2024-2026)'!$E:$E,E$76)</f>
        <v>25919340</v>
      </c>
      <c r="F77" s="2">
        <f>SUMIFS('Streaming Data (2024-2026)'!$F:$F,'Streaming Data (2024-2026)'!$E:$E,F$76)</f>
        <v>38116082</v>
      </c>
      <c r="H77" s="33">
        <f>IFERROR((E77-D77)/D77,0)</f>
        <v>0.62219291519244879</v>
      </c>
      <c r="I77" s="34">
        <f>IFERROR((F77-E77)/E77,0)</f>
        <v>0.47056529988803725</v>
      </c>
      <c r="J77" s="35">
        <f>IFERROR((F77-D77)/D77,0)</f>
        <v>1.3855406108062329</v>
      </c>
    </row>
    <row r="78" spans="3:10" x14ac:dyDescent="0.2">
      <c r="C78" t="s">
        <v>535</v>
      </c>
      <c r="D78" s="2">
        <f>SUMIFS('Streaming Data (2024-2026)'!$H:$H,'Streaming Data (2024-2026)'!$E:$E,D$76)</f>
        <v>2540560842</v>
      </c>
      <c r="E78" s="2">
        <f>SUMIFS('Streaming Data (2024-2026)'!$H:$H,'Streaming Data (2024-2026)'!$E:$E,E$76)</f>
        <v>4639703363</v>
      </c>
      <c r="F78" s="2">
        <f>SUMIFS('Streaming Data (2024-2026)'!$H:$H,'Streaming Data (2024-2026)'!$E:$E,F$76)</f>
        <v>7980090839</v>
      </c>
      <c r="H78" s="33">
        <f t="shared" ref="H78:I79" si="9">IFERROR((E78-D78)/D78,0)</f>
        <v>0.82625162377433825</v>
      </c>
      <c r="I78" s="34">
        <f t="shared" si="9"/>
        <v>0.71995712110356314</v>
      </c>
      <c r="J78" s="35">
        <f t="shared" ref="J78:J79" si="10">IFERROR((F78-D78)/D78,0)</f>
        <v>2.1410744852376182</v>
      </c>
    </row>
    <row r="79" spans="3:10" x14ac:dyDescent="0.2">
      <c r="C79" t="s">
        <v>536</v>
      </c>
      <c r="D79" s="2">
        <f>SUMIFS('Streaming Data (2024-2026)'!$J:$J,'Streaming Data (2024-2026)'!$E:$E,D$76)</f>
        <v>19436170</v>
      </c>
      <c r="E79" s="2">
        <f>SUMIFS('Streaming Data (2024-2026)'!$J:$J,'Streaming Data (2024-2026)'!$E:$E,E$76)</f>
        <v>28796728</v>
      </c>
      <c r="F79" s="2">
        <f>SUMIFS('Streaming Data (2024-2026)'!$J:$J,'Streaming Data (2024-2026)'!$E:$E,F$76)</f>
        <v>41355267</v>
      </c>
      <c r="H79" s="33">
        <f t="shared" si="9"/>
        <v>0.48160506931149499</v>
      </c>
      <c r="I79" s="34">
        <f t="shared" si="9"/>
        <v>0.43610992887803085</v>
      </c>
      <c r="J79" s="35">
        <f t="shared" si="10"/>
        <v>1.127747750714261</v>
      </c>
    </row>
    <row r="80" spans="3:10" x14ac:dyDescent="0.2">
      <c r="H80" s="30"/>
      <c r="I80" s="31"/>
      <c r="J80" s="32"/>
    </row>
  </sheetData>
  <conditionalFormatting sqref="H5:H24">
    <cfRule type="colorScale" priority="9">
      <colorScale>
        <cfvo type="min"/>
        <cfvo type="max"/>
        <color rgb="FFFCFCFF"/>
        <color rgb="FF63BE7B"/>
      </colorScale>
    </cfRule>
  </conditionalFormatting>
  <conditionalFormatting sqref="I5:I24">
    <cfRule type="colorScale" priority="8">
      <colorScale>
        <cfvo type="min"/>
        <cfvo type="max"/>
        <color rgb="FFFCFCFF"/>
        <color rgb="FF63BE7B"/>
      </colorScale>
    </cfRule>
  </conditionalFormatting>
  <conditionalFormatting sqref="J5:J24">
    <cfRule type="colorScale" priority="7">
      <colorScale>
        <cfvo type="min"/>
        <cfvo type="max"/>
        <color rgb="FFFCFCFF"/>
        <color rgb="FF63BE7B"/>
      </colorScale>
    </cfRule>
  </conditionalFormatting>
  <conditionalFormatting sqref="H29:H48">
    <cfRule type="colorScale" priority="6">
      <colorScale>
        <cfvo type="min"/>
        <cfvo type="max"/>
        <color rgb="FFFCFCFF"/>
        <color rgb="FF63BE7B"/>
      </colorScale>
    </cfRule>
  </conditionalFormatting>
  <conditionalFormatting sqref="I29:I48">
    <cfRule type="colorScale" priority="5">
      <colorScale>
        <cfvo type="min"/>
        <cfvo type="max"/>
        <color rgb="FFFCFCFF"/>
        <color rgb="FF63BE7B"/>
      </colorScale>
    </cfRule>
  </conditionalFormatting>
  <conditionalFormatting sqref="J29:J48">
    <cfRule type="colorScale" priority="4">
      <colorScale>
        <cfvo type="min"/>
        <cfvo type="max"/>
        <color rgb="FFFCFCFF"/>
        <color rgb="FF63BE7B"/>
      </colorScale>
    </cfRule>
  </conditionalFormatting>
  <conditionalFormatting sqref="H53:H72">
    <cfRule type="colorScale" priority="3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I53:I72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J53:J72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4" sqref="B4"/>
    </sheetView>
  </sheetViews>
  <sheetFormatPr baseColWidth="10" defaultRowHeight="16" x14ac:dyDescent="0.2"/>
  <sheetData>
    <row r="1" spans="1:2" x14ac:dyDescent="0.2">
      <c r="A1" t="s">
        <v>484</v>
      </c>
      <c r="B1" t="s">
        <v>487</v>
      </c>
    </row>
    <row r="2" spans="1:2" x14ac:dyDescent="0.2">
      <c r="A2" s="3" t="d">
        <v>2026-07-01</v>
      </c>
      <c r="B2" t="s">
        <v>488</v>
      </c>
    </row>
    <row r="3" spans="1:2" x14ac:dyDescent="0.2">
      <c r="A3" s="3" t="d">
        <v>2026-07-02</v>
      </c>
      <c r="B3" t="s">
        <v>537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1:H21"/>
  <sheetViews>
    <sheetView topLeftCell="B1" zoomScale="144" workbookViewId="0">
      <selection activeCell="H11" sqref="H11"/>
    </sheetView>
  </sheetViews>
  <sheetFormatPr baseColWidth="10" defaultRowHeight="16" x14ac:dyDescent="0.2"/>
  <sheetData>
    <row r="1" spans="5:8" x14ac:dyDescent="0.2">
      <c r="E1" t="s">
        <v>491</v>
      </c>
      <c r="F1" t="s">
        <v>492</v>
      </c>
      <c r="H1" t="s">
        <v>496</v>
      </c>
    </row>
    <row r="2" spans="5:8" x14ac:dyDescent="0.2">
      <c r="E2" t="s">
        <v>540</v>
      </c>
      <c r="F2">
        <v>1</v>
      </c>
      <c r="H2" s="8">
        <v>1</v>
      </c>
    </row>
    <row r="3" spans="5:8" x14ac:dyDescent="0.2">
      <c r="E3" t="s">
        <v>134</v>
      </c>
      <c r="F3">
        <v>1</v>
      </c>
      <c r="H3" s="8">
        <v>2</v>
      </c>
    </row>
    <row r="4" spans="5:8" x14ac:dyDescent="0.2">
      <c r="E4" t="s">
        <v>478</v>
      </c>
      <c r="F4">
        <v>1</v>
      </c>
      <c r="H4" s="8">
        <v>3</v>
      </c>
    </row>
    <row r="5" spans="5:8" x14ac:dyDescent="0.2">
      <c r="E5" t="s">
        <v>45</v>
      </c>
      <c r="F5">
        <v>1</v>
      </c>
      <c r="H5" s="8">
        <v>4</v>
      </c>
    </row>
    <row r="6" spans="5:8" x14ac:dyDescent="0.2">
      <c r="E6" t="s">
        <v>61</v>
      </c>
      <c r="F6">
        <v>1</v>
      </c>
      <c r="H6" s="8">
        <v>5</v>
      </c>
    </row>
    <row r="7" spans="5:8" x14ac:dyDescent="0.2">
      <c r="E7" t="s">
        <v>81</v>
      </c>
      <c r="F7">
        <v>1</v>
      </c>
      <c r="H7" s="8">
        <v>6</v>
      </c>
    </row>
    <row r="8" spans="5:8" x14ac:dyDescent="0.2">
      <c r="E8" t="s">
        <v>287</v>
      </c>
      <c r="F8">
        <v>1</v>
      </c>
      <c r="H8" s="8">
        <v>7</v>
      </c>
    </row>
    <row r="9" spans="5:8" x14ac:dyDescent="0.2">
      <c r="E9" t="s">
        <v>125</v>
      </c>
      <c r="F9">
        <v>1</v>
      </c>
      <c r="H9" s="8">
        <v>8</v>
      </c>
    </row>
    <row r="10" spans="5:8" x14ac:dyDescent="0.2">
      <c r="E10" t="s">
        <v>479</v>
      </c>
      <c r="F10">
        <v>1</v>
      </c>
      <c r="H10" s="8">
        <v>9</v>
      </c>
    </row>
    <row r="11" spans="5:8" x14ac:dyDescent="0.2">
      <c r="E11" t="s">
        <v>32</v>
      </c>
      <c r="F11">
        <v>1</v>
      </c>
      <c r="H11" s="8">
        <v>10</v>
      </c>
    </row>
    <row r="12" spans="5:8" x14ac:dyDescent="0.2">
      <c r="E12" t="s">
        <v>60</v>
      </c>
      <c r="F12">
        <v>1</v>
      </c>
      <c r="H12" s="8">
        <v>11</v>
      </c>
    </row>
    <row r="13" spans="5:8" x14ac:dyDescent="0.2">
      <c r="E13" t="s">
        <v>58</v>
      </c>
      <c r="F13">
        <v>1</v>
      </c>
      <c r="H13" s="8">
        <v>12</v>
      </c>
    </row>
    <row r="14" spans="5:8" x14ac:dyDescent="0.2">
      <c r="E14" t="s">
        <v>41</v>
      </c>
      <c r="F14">
        <v>1</v>
      </c>
      <c r="H14" s="8">
        <v>13</v>
      </c>
    </row>
    <row r="15" spans="5:8" x14ac:dyDescent="0.2">
      <c r="E15" t="s">
        <v>65</v>
      </c>
      <c r="F15">
        <v>1</v>
      </c>
      <c r="H15" s="8">
        <v>14</v>
      </c>
    </row>
    <row r="16" spans="5:8" x14ac:dyDescent="0.2">
      <c r="E16" t="s">
        <v>49</v>
      </c>
      <c r="F16">
        <v>1</v>
      </c>
      <c r="H16" s="8">
        <v>15</v>
      </c>
    </row>
    <row r="17" spans="5:8" x14ac:dyDescent="0.2">
      <c r="E17" t="s">
        <v>26</v>
      </c>
      <c r="F17">
        <v>1</v>
      </c>
      <c r="H17" s="8">
        <v>16</v>
      </c>
    </row>
    <row r="18" spans="5:8" x14ac:dyDescent="0.2">
      <c r="E18" t="s">
        <v>39</v>
      </c>
      <c r="F18">
        <v>1</v>
      </c>
      <c r="H18" s="8">
        <v>17</v>
      </c>
    </row>
    <row r="19" spans="5:8" x14ac:dyDescent="0.2">
      <c r="E19" t="s">
        <v>56</v>
      </c>
      <c r="F19">
        <v>1</v>
      </c>
      <c r="H19" s="8">
        <v>18</v>
      </c>
    </row>
    <row r="20" spans="5:8" x14ac:dyDescent="0.2">
      <c r="E20" t="s">
        <v>30</v>
      </c>
      <c r="F20">
        <v>1</v>
      </c>
      <c r="H20" s="8">
        <v>19</v>
      </c>
    </row>
    <row r="21" spans="5:8" x14ac:dyDescent="0.2">
      <c r="E21" t="s">
        <v>91</v>
      </c>
      <c r="F21">
        <v>1</v>
      </c>
      <c r="H21" s="8">
        <v>20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Artist Profile Data (Weekly)</vt:lpstr>
      <vt:lpstr>Streaming Data (2024-2026)</vt:lpstr>
      <vt:lpstr>The Piano Index (Weekly)</vt:lpstr>
      <vt:lpstr>The Piano Index (3-Month)</vt:lpstr>
      <vt:lpstr>CY2026 YTD</vt:lpstr>
      <vt:lpstr>CY2026 YTD (Misc. Artists)</vt:lpstr>
      <vt:lpstr>The Piano Index (YoY)</vt:lpstr>
      <vt:lpstr>Change Log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Ihejurobi</dc:creator>
  <cp:lastModifiedBy>Brian Ihejurobi</cp:lastModifiedBy>
  <dcterms:created xsi:type="dcterms:W3CDTF">2026-07-02T04:42:00Z</dcterms:created>
  <dcterms:modified xsi:type="dcterms:W3CDTF">2026-07-07T01:15:32Z</dcterms:modified>
</cp:coreProperties>
</file>